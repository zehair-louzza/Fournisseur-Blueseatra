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27.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3.xml" ContentType="application/vnd.openxmlformats-officedocument.drawing+xml"/>
  <Override PartName="/xl/drawings/drawing17.xml" ContentType="application/vnd.openxmlformats-officedocument.drawing+xml"/>
  <Override PartName="/xl/drawings/drawing22.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11.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21.xml" ContentType="application/vnd.openxmlformats-officedocument.drawing+xml"/>
  <Override PartName="/xl/drawings/drawing6.xml" ContentType="application/vnd.openxmlformats-officedocument.drawing+xml"/>
  <Override PartName="/xl/drawings/drawing16.xml" ContentType="application/vnd.openxmlformats-officedocument.drawing+xml"/>
  <Override PartName="/xl/drawings/drawing1.xml" ContentType="application/vnd.openxmlformats-officedocument.drawing+xml"/>
  <Override PartName="/xl/drawings/drawing18.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Recherche" sheetId="2" state="visible" r:id="rId4"/>
    <sheet name="Synthèse" sheetId="3" state="visible" r:id="rId5"/>
    <sheet name="Comparatif fournisseurs" sheetId="4" state="visible" r:id="rId6"/>
    <sheet name="Contrôles qualité" sheetId="5" state="visible" r:id="rId7"/>
    <sheet name="Base articles" sheetId="6" state="visible" r:id="rId8"/>
    <sheet name="Paramètres" sheetId="7" state="visible" r:id="rId9"/>
    <sheet name="Sources" sheetId="8" state="visible" r:id="rId10"/>
    <sheet name="00 · Catalogue d'origine" sheetId="9" state="visible" r:id="rId11"/>
    <sheet name="01 · Électricité CFO" sheetId="10" state="visible" r:id="rId12"/>
    <sheet name="02 · Courants faibles" sheetId="11" state="visible" r:id="rId13"/>
    <sheet name="03 · Éclairage" sheetId="12" state="visible" r:id="rId14"/>
    <sheet name="04 · Plomberie sanitaire" sheetId="13" state="visible" r:id="rId15"/>
    <sheet name="05 · CVC" sheetId="14" state="visible" r:id="rId16"/>
    <sheet name="06 · Serrurerie" sheetId="15" state="visible" r:id="rId17"/>
    <sheet name="07 · Sécurité incendie" sheetId="16" state="visible" r:id="rId18"/>
    <sheet name="08 · Plâtrerie isolation" sheetId="17" state="visible" r:id="rId19"/>
    <sheet name="09 · Peinture" sheetId="18" state="visible" r:id="rId20"/>
    <sheet name="10 · Sols et carrelage" sheetId="19" state="visible" r:id="rId21"/>
    <sheet name="11 · Menuiserie" sheetId="20" state="visible" r:id="rId22"/>
    <sheet name="12 · Gros œuvre" sheetId="21" state="visible" r:id="rId23"/>
    <sheet name="13 · Quincaillerie" sheetId="22" state="visible" r:id="rId24"/>
    <sheet name="14 · Consommables EPI" sheetId="23" state="visible" r:id="rId25"/>
    <sheet name="15 · Outillage" sheetId="24" state="visible" r:id="rId26"/>
    <sheet name="16 · Maintenance" sheetId="25" state="visible" r:id="rId27"/>
    <sheet name="03b · Éclairage Icilux" sheetId="26" state="visible" r:id="rId28"/>
    <sheet name="99 · À compléter" sheetId="27" state="visible" r:id="rId29"/>
  </sheets>
  <definedNames>
    <definedName function="false" hidden="false" localSheetId="8" name="_xlnm.Print_Titles" vbProcedure="false">'00 · Catalogue d''origine'!$1:$1</definedName>
    <definedName function="false" hidden="true" localSheetId="8" name="_xlnm._FilterDatabase" vbProcedure="false">'00 · Catalogue d''origine'!$A$1:$G$225</definedName>
    <definedName function="false" hidden="false" localSheetId="9" name="_xlnm.Print_Titles" vbProcedure="false">'01 · Électricité CFO'!$1:$1</definedName>
    <definedName function="false" hidden="true" localSheetId="9" name="_xlnm._FilterDatabase" vbProcedure="false">'01 · Électricité CFO'!$A$1:$V$55</definedName>
    <definedName function="false" hidden="false" localSheetId="10" name="_xlnm.Print_Titles" vbProcedure="false">'02 · Courants faibles'!$1:$1</definedName>
    <definedName function="false" hidden="true" localSheetId="10" name="_xlnm._FilterDatabase" vbProcedure="false">'02 · Courants faibles'!$A$1:$V$27</definedName>
    <definedName function="false" hidden="false" localSheetId="11" name="_xlnm.Print_Titles" vbProcedure="false">'03 · Éclairage'!$1:$1</definedName>
    <definedName function="false" hidden="true" localSheetId="11" name="_xlnm._FilterDatabase" vbProcedure="false">'03 · Éclairage'!$A$1:$V$20</definedName>
    <definedName function="false" hidden="false" localSheetId="25" name="_xlnm.Print_Titles" vbProcedure="false">'03b · Éclairage Icilux'!$1:$1</definedName>
    <definedName function="false" hidden="true" localSheetId="25" name="_xlnm._FilterDatabase" vbProcedure="false">'03b · Éclairage Icilux'!$A$1:$L$151</definedName>
    <definedName function="false" hidden="false" localSheetId="12" name="_xlnm.Print_Titles" vbProcedure="false">'04 · Plomberie sanitaire'!$1:$1</definedName>
    <definedName function="false" hidden="true" localSheetId="12" name="_xlnm._FilterDatabase" vbProcedure="false">'04 · Plomberie sanitaire'!$A$1:$V$46</definedName>
    <definedName function="false" hidden="false" localSheetId="13" name="_xlnm.Print_Titles" vbProcedure="false">'05 · CVC'!$1:$1</definedName>
    <definedName function="false" hidden="true" localSheetId="13" name="_xlnm._FilterDatabase" vbProcedure="false">'05 · CVC'!$A$1:$V$29</definedName>
    <definedName function="false" hidden="false" localSheetId="14" name="_xlnm.Print_Titles" vbProcedure="false">'06 · Serrurerie'!$1:$1</definedName>
    <definedName function="false" hidden="true" localSheetId="14" name="_xlnm._FilterDatabase" vbProcedure="false">'06 · Serrurerie'!$A$1:$V$37</definedName>
    <definedName function="false" hidden="false" localSheetId="15" name="_xlnm.Print_Titles" vbProcedure="false">'07 · Sécurité incendie'!$1:$1</definedName>
    <definedName function="false" hidden="true" localSheetId="15" name="_xlnm._FilterDatabase" vbProcedure="false">'07 · Sécurité incendie'!$A$1:$V$18</definedName>
    <definedName function="false" hidden="false" localSheetId="16" name="_xlnm.Print_Titles" vbProcedure="false">'08 · Plâtrerie isolation'!$1:$1</definedName>
    <definedName function="false" hidden="true" localSheetId="16" name="_xlnm._FilterDatabase" vbProcedure="false">'08 · Plâtrerie isolation'!$A$1:$V$24</definedName>
    <definedName function="false" hidden="false" localSheetId="17" name="_xlnm.Print_Titles" vbProcedure="false">'09 · Peinture'!$1:$1</definedName>
    <definedName function="false" hidden="true" localSheetId="17" name="_xlnm._FilterDatabase" vbProcedure="false">'09 · Peinture'!$A$1:$V$24</definedName>
    <definedName function="false" hidden="false" localSheetId="18" name="_xlnm.Print_Titles" vbProcedure="false">'10 · Sols et carrelage'!$1:$1</definedName>
    <definedName function="false" hidden="true" localSheetId="18" name="_xlnm._FilterDatabase" vbProcedure="false">'10 · Sols et carrelage'!$A$1:$V$18</definedName>
    <definedName function="false" hidden="false" localSheetId="19" name="_xlnm.Print_Titles" vbProcedure="false">'11 · Menuiserie'!$1:$1</definedName>
    <definedName function="false" hidden="true" localSheetId="19" name="_xlnm._FilterDatabase" vbProcedure="false">'11 · Menuiserie'!$A$1:$V$17</definedName>
    <definedName function="false" hidden="false" localSheetId="20" name="_xlnm.Print_Titles" vbProcedure="false">'12 · Gros œuvre'!$1:$1</definedName>
    <definedName function="false" hidden="true" localSheetId="20" name="_xlnm._FilterDatabase" vbProcedure="false">'12 · Gros œuvre'!$A$1:$V$21</definedName>
    <definedName function="false" hidden="false" localSheetId="21" name="_xlnm.Print_Titles" vbProcedure="false">'13 · Quincaillerie'!$1:$1</definedName>
    <definedName function="false" hidden="true" localSheetId="21" name="_xlnm._FilterDatabase" vbProcedure="false">'13 · Quincaillerie'!$A$1:$V$21</definedName>
    <definedName function="false" hidden="false" localSheetId="22" name="_xlnm.Print_Titles" vbProcedure="false">'14 · Consommables EPI'!$1:$1</definedName>
    <definedName function="false" hidden="true" localSheetId="22" name="_xlnm._FilterDatabase" vbProcedure="false">'14 · Consommables EPI'!$A$1:$V$20</definedName>
    <definedName function="false" hidden="false" localSheetId="23" name="_xlnm.Print_Titles" vbProcedure="false">'15 · Outillage'!$1:$1</definedName>
    <definedName function="false" hidden="true" localSheetId="23" name="_xlnm._FilterDatabase" vbProcedure="false">'15 · Outillage'!$A$1:$V$17</definedName>
    <definedName function="false" hidden="false" localSheetId="24" name="_xlnm.Print_Titles" vbProcedure="false">'16 · Maintenance'!$1:$1</definedName>
    <definedName function="false" hidden="true" localSheetId="24" name="_xlnm._FilterDatabase" vbProcedure="false">'16 · Maintenance'!$A$1:$V$19</definedName>
    <definedName function="false" hidden="false" localSheetId="26" name="_xlnm.Print_Titles" vbProcedure="false">'99 · À compléter'!$1:$1</definedName>
    <definedName function="false" hidden="true" localSheetId="26" name="_xlnm._FilterDatabase" vbProcedure="false">'99 · À compléter'!$A$1:$I$22</definedName>
    <definedName function="false" hidden="false" localSheetId="5" name="_xlnm.Print_Titles" vbProcedure="false">'Base articles'!$1:$1</definedName>
    <definedName function="false" hidden="true" localSheetId="5" name="_xlnm._FilterDatabase" vbProcedure="false">'Base articles'!$A$1:$R$1153</definedName>
    <definedName function="false" hidden="false" localSheetId="3" name="_xlnm.Print_Titles" vbProcedure="false">'Comparatif fournisseurs'!$4:$4</definedName>
    <definedName function="false" hidden="true" localSheetId="3" name="_xlnm._FilterDatabase" vbProcedure="false">'Comparatif fournisseurs'!$A$4:$S$380</definedName>
    <definedName function="false" hidden="false" localSheetId="4" name="_xlnm.Print_Titles" vbProcedure="false">'Contrôles qualité'!$4:$4</definedName>
    <definedName function="false" hidden="true" localSheetId="4" name="_xlnm._FilterDatabase" vbProcedure="false">'Contrôles qualité'!$A$4:$F$172</definedName>
    <definedName function="false" hidden="false" localSheetId="0" name="_xlnm.Print_Titles" vbProcedure="false">'Lisez-moi'!$1:$1</definedName>
    <definedName function="false" hidden="false" localSheetId="6" name="_xlnm.Print_Titles" vbProcedure="false">Paramètres!$4:$4</definedName>
    <definedName function="false" hidden="false" localSheetId="1" name="_xlnm.Print_Area" vbProcedure="false">Recherche!$A$1:$J$46</definedName>
    <definedName function="false" hidden="false" localSheetId="1" name="_xlnm.Print_Titles" vbProcedure="false">Recherche!$6:$6</definedName>
    <definedName function="false" hidden="false" localSheetId="7" name="_xlnm.Print_Titles" vbProcedure="false">Sources!$4:$4</definedName>
    <definedName function="false" hidden="false" localSheetId="2" name="_xlnm.Print_Titles" vbProcedure="false">Synthèse!$4:$4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<sst xmlns="http://schemas.openxmlformats.org/spreadsheetml/2006/main" count="28058" uniqueCount="4512">
  <si>
    <t xml:space="preserve">CATALOGUE TCE — PRIX FOURNISSEURS RÉELS</t>
  </si>
  <si>
    <t xml:space="preserve">ANELEC Groupe / Blueseatra · version du 09/09/2026 · document interne</t>
  </si>
  <si>
    <t xml:space="preserve">articles au catalogue</t>
  </si>
  <si>
    <t xml:space="preserve">prix réels relevés</t>
  </si>
  <si>
    <t xml:space="preserve">articles comparés sur 2 enseignes ou plus</t>
  </si>
  <si>
    <t xml:space="preserve">lignes à compléter</t>
  </si>
  <si>
    <t xml:space="preserve">Comment lire ce catalogue</t>
  </si>
  <si>
    <t xml:space="preserve">Une feuille par corps d'état. Chaque ligne porte un produit réellement vendu par l'un de vos huit fournisseurs, avec sa marque, ses références, son prix d'achat HT horodaté et le lien vers la fiche. Les colonnes « Conditionnement » et « Point de contrôle » signalent ce qui reste à arbitrer.</t>
  </si>
  <si>
    <t xml:space="preserve">Prix retenu</t>
  </si>
  <si>
    <t xml:space="preserve">La colonne « Prix achat HT » contient toujours le meilleur prix disponible : votre tarif négocié quand vos comptes le donnent, sinon le prix public relevé. La colonne « Type de prix » précise lequel, et « Remise » chiffre l'écart quand les deux sont connus.</t>
  </si>
  <si>
    <t xml:space="preserve">Vos comptes pro</t>
  </si>
  <si>
    <t xml:space="preserve">Huit fournisseurs interrogés le même jour. Vos tarifs de compte : Point.P (fichier tarif de l'agence Aubervilliers, 58 250 références), YESSS Électrique (export de 14 rubriques), Rexel (n° 6564380), La Plateforme du Bâtiment (dépôt Aubervilliers), Prolians (Paris Aubervilliers) et SFIC (Pantin). Prix publics : Au Forum du Bâtiment, Chausson Matériaux et Icilux. Ces prix sont vos conditions commerciales : ils restent internes et ne figurent jamais sur un PDF client.</t>
  </si>
  <si>
    <t xml:space="preserve">Contrôles avant devis</t>
  </si>
  <si>
    <t xml:space="preserve">La feuille « Contrôles qualité » liste chaque ligne qui demande un arbitrage : unité fournisseur différente de votre unité de métré, prix donné pour un conditionnement complet, ou correspondance article/produit encore imparfaite. À traiter avant toute reprise en devis client.</t>
  </si>
  <si>
    <t xml:space="preserve">Aucun prix estimé</t>
  </si>
  <si>
    <t xml:space="preserve">Aucun prix moyen, indicatif ou reconstitué n'existe dans ce fichier. Une ligne sans prix vérifié reste vide et part en feuille « 99 · À compléter ».</t>
  </si>
  <si>
    <t xml:space="preserve">Marges et prix de vente</t>
  </si>
  <si>
    <t xml:space="preserve">Les colonnes Marge % et Prix vente HT sont volontairement vides. Saisissez une marge et le prix de vente se calcule automatiquement sur la ligne.</t>
  </si>
  <si>
    <t xml:space="preserve">TVA</t>
  </si>
  <si>
    <t xml:space="preserve">20 % par défaut sur les fournitures. Les taux 10 % et 5,5 % s'appliquent à la prestation posée selon la nature des travaux et l'ancienneté du bâtiment, attestation client à l'appui.</t>
  </si>
  <si>
    <t xml:space="preserve">Gel des prix</t>
  </si>
  <si>
    <t xml:space="preserve">Les prix sont horodatés. Dès qu'un devis est validé, son prix doit être figé (pricing_snapshot) : une évolution ultérieure du catalogue ne modifie jamais un devis déjà validé.</t>
  </si>
  <si>
    <t xml:space="preserve">CODE COULEUR</t>
  </si>
  <si>
    <t xml:space="preserve">   Votre tarif de compte</t>
  </si>
  <si>
    <t xml:space="preserve">Prix négocié issu de vos comptes Point.P, YESSS, Rexel, La Plateforme, Prolians ou SFIC.</t>
  </si>
  <si>
    <t xml:space="preserve">   À vérifier / à valider</t>
  </si>
  <si>
    <t xml:space="preserve">Prix réel relevé, mais la correspondance avec votre libellé interne est partielle : ouvrir la fiche avant de l'utiliser en devis.</t>
  </si>
  <si>
    <t xml:space="preserve">   À compléter</t>
  </si>
  <si>
    <t xml:space="preserve">Aucun produit correspondant trouvé chez vos huit fournisseurs.</t>
  </si>
  <si>
    <t xml:space="preserve">   Prix public</t>
  </si>
  <si>
    <t xml:space="preserve">Relevé chez Au Forum du Bâtiment, Chausson Matériaux ou Icilux.</t>
  </si>
  <si>
    <t xml:space="preserve">RECHERCHE D'UN ARTICLE</t>
  </si>
  <si>
    <t xml:space="preserve">Tapez un mot en B4 (ex. « disjoncteur », « BA13 », « mitigeur ») : toutes les offres correspondantes s'affichent, tous fournisseurs confondus. Pour un même article, l'offre la moins chère apparaît en premier.</t>
  </si>
  <si>
    <t xml:space="preserve">Je cherche :</t>
  </si>
  <si>
    <t xml:space="preserve">disjoncteur</t>
  </si>
  <si>
    <t xml:space="preserve">La recherche porte sur l'article ET sur la désignation du fournisseur.</t>
  </si>
  <si>
    <t xml:space="preserve">Article</t>
  </si>
  <si>
    <t xml:space="preserve">Fournisseur</t>
  </si>
  <si>
    <t xml:space="preserve">Prix HT</t>
  </si>
  <si>
    <t xml:space="preserve">Type de prix</t>
  </si>
  <si>
    <t xml:space="preserve">Désignation fournisseur</t>
  </si>
  <si>
    <t xml:space="preserve">Réf.</t>
  </si>
  <si>
    <t xml:space="preserve">Unité de vente</t>
  </si>
  <si>
    <t xml:space="preserve">Retrait / disponibilité</t>
  </si>
  <si>
    <t xml:space="preserve">Fiabilité</t>
  </si>
  <si>
    <t xml:space="preserve">Lot</t>
  </si>
  <si>
    <t xml:space="preserve">SYNTHÈSE PAR LOT</t>
  </si>
  <si>
    <t xml:space="preserve">Collecte du 09/09/2026 — 8 fournisseurs</t>
  </si>
  <si>
    <t xml:space="preserve">Articles</t>
  </si>
  <si>
    <t xml:space="preserve">Prix relevés</t>
  </si>
  <si>
    <t xml:space="preserve">Dont votre tarif</t>
  </si>
  <si>
    <t xml:space="preserve">Comparables (2+)</t>
  </si>
  <si>
    <t xml:space="preserve">À compléter</t>
  </si>
  <si>
    <t xml:space="preserve">Couverture</t>
  </si>
  <si>
    <t xml:space="preserve">Prix moyen HT</t>
  </si>
  <si>
    <t xml:space="preserve">01 · Électricité CFO</t>
  </si>
  <si>
    <t xml:space="preserve">02 · Courants faibles</t>
  </si>
  <si>
    <t xml:space="preserve">03 · Éclairage</t>
  </si>
  <si>
    <t xml:space="preserve">04 · Plomberie sanitaire</t>
  </si>
  <si>
    <t xml:space="preserve">05 · CVC</t>
  </si>
  <si>
    <t xml:space="preserve">06 · Serrurerie</t>
  </si>
  <si>
    <t xml:space="preserve">07 · Sécurité incendie</t>
  </si>
  <si>
    <t xml:space="preserve">08 · Plâtrerie isolation</t>
  </si>
  <si>
    <t xml:space="preserve">09 · Peinture</t>
  </si>
  <si>
    <t xml:space="preserve">10 · Sols et carrelage</t>
  </si>
  <si>
    <t xml:space="preserve">11 · Menuiserie</t>
  </si>
  <si>
    <t xml:space="preserve">12 · Gros œuvre</t>
  </si>
  <si>
    <t xml:space="preserve">13 · Quincaillerie</t>
  </si>
  <si>
    <t xml:space="preserve">14 · Consommables EPI</t>
  </si>
  <si>
    <t xml:space="preserve">15 · Outillage</t>
  </si>
  <si>
    <t xml:space="preserve">16 · Maintenance</t>
  </si>
  <si>
    <t xml:space="preserve">03b · Éclairage Icilux</t>
  </si>
  <si>
    <t xml:space="preserve">TOTAL</t>
  </si>
  <si>
    <t xml:space="preserve">COMPARATIF FOURNISSEURS</t>
  </si>
  <si>
    <t xml:space="preserve">Prix HT par enseigne pour un même article — la cellule verte est la moins chère. Attention aux conditionnements : comparez à unité équivalente.</t>
  </si>
  <si>
    <t xml:space="preserve">Unité</t>
  </si>
  <si>
    <t xml:space="preserve">Au Forum du Bâtiment</t>
  </si>
  <si>
    <t xml:space="preserve">YESSS Électrique</t>
  </si>
  <si>
    <t xml:space="preserve">Rexel</t>
  </si>
  <si>
    <t xml:space="preserve">La Plateforme du Bâtiment</t>
  </si>
  <si>
    <t xml:space="preserve">Chausson Matériaux</t>
  </si>
  <si>
    <t xml:space="preserve">Point.P</t>
  </si>
  <si>
    <t xml:space="preserve">Prolians</t>
  </si>
  <si>
    <t xml:space="preserve">SFIC</t>
  </si>
  <si>
    <t xml:space="preserve">Moins cher</t>
  </si>
  <si>
    <t xml:space="preserve">Écart max</t>
  </si>
  <si>
    <t xml:space="preserve">Enseignes</t>
  </si>
  <si>
    <t xml:space="preserve">Offres comparables ?</t>
  </si>
  <si>
    <t xml:space="preserve">Produit retenu</t>
  </si>
  <si>
    <t xml:space="preserve">Fiche produit</t>
  </si>
  <si>
    <t xml:space="preserve">Disjoncteur ph+N 10 A courbe C</t>
  </si>
  <si>
    <t xml:space="preserve">u</t>
  </si>
  <si>
    <t xml:space="preserve">Oui — produits proches</t>
  </si>
  <si>
    <t xml:space="preserve">Retrait agence · Livraison selon agence</t>
  </si>
  <si>
    <t xml:space="preserve">Disjoncteur FIXMATIC AUTO 10 A courbe C Phase + Neutre GEWISS GW90606F</t>
  </si>
  <si>
    <t xml:space="preserve">Voir la fiche</t>
  </si>
  <si>
    <t xml:space="preserve">Disjoncteur ph+N 16 A courbe C</t>
  </si>
  <si>
    <t xml:space="preserve">À vérifier — produits différents</t>
  </si>
  <si>
    <t xml:space="preserve">ABB SN201L Disjoncteur modulaire - 1P+N - 16A - courbe C - 4500A/6kA - peignable</t>
  </si>
  <si>
    <t xml:space="preserve">Disjoncteur ph+N 20 A courbe C</t>
  </si>
  <si>
    <t xml:space="preserve">Disjoncteur 20 A courbe C Phase + neutre GEWISS GW90608</t>
  </si>
  <si>
    <t xml:space="preserve">Disjoncteur ph+N 32 A courbe C</t>
  </si>
  <si>
    <t xml:space="preserve">Disjoncteur 32 A courbe C Phase + neutre GEWISS GW90610</t>
  </si>
  <si>
    <t xml:space="preserve">Disjoncteur tetrapolaire 4P 32 A courbe C</t>
  </si>
  <si>
    <t xml:space="preserve">Disjoncteur ACTI9 IC60N 4P courbe C 32 A SCHNEIDER ELECTRIC A9F77432</t>
  </si>
  <si>
    <t xml:space="preserve">Interrupteur differentiel 40 A 30 mA type AC</t>
  </si>
  <si>
    <t xml:space="preserve">HAGER Interrupteur différentiel 2 poles 40 A 30 mA Type AC à Borne décalée</t>
  </si>
  <si>
    <t xml:space="preserve">Interrupteur differentiel 63 A 30 mA type A</t>
  </si>
  <si>
    <t xml:space="preserve">Interrupteur différentiel DX3-ID 4PG 63 A type A 30 mA LEGRAND 411676</t>
  </si>
  <si>
    <t xml:space="preserve">Disjoncteur differentiel 20 A 30 mA</t>
  </si>
  <si>
    <t xml:space="preserve">LEGRAND Disjoncteur diff DX³ 4500 - vis/vis -U+N 230V~ 20A - typeAC -30mA -courbe C - 2M</t>
  </si>
  <si>
    <t xml:space="preserve">Parafoudre modulaire type 2</t>
  </si>
  <si>
    <t xml:space="preserve">ADEE ELECTRONIC Parafoudre Type 2 modulaire 2P avec déconnecteur intégré, In 5kA Isccr 25kA</t>
  </si>
  <si>
    <t xml:space="preserve">Interrupteur sectionneur 63 A</t>
  </si>
  <si>
    <t xml:space="preserve">Retrait agence Aubervilliers · Livraison selon agence</t>
  </si>
  <si>
    <t xml:space="preserve">Interrupteur sectionneur modulaire IS 63A 2P</t>
  </si>
  <si>
    <t xml:space="preserve">Contacteur jour/nuit 20 A</t>
  </si>
  <si>
    <t xml:space="preserve">HAGER Contacteur Jour-Nuit 20A 2F 1 module</t>
  </si>
  <si>
    <t xml:space="preserve">Telerupteur unipolaire 16 A</t>
  </si>
  <si>
    <t xml:space="preserve">Retrait agence Aubervilliers · En stock</t>
  </si>
  <si>
    <t xml:space="preserve">Télérupteur unipolaire 230 V alternatif - 16A - 1 module</t>
  </si>
  <si>
    <t xml:space="preserve">Minuterie modulaire d'escalier</t>
  </si>
  <si>
    <t xml:space="preserve">Minuterie modulaire 230 V 50 / 60 Hz sortie 16 A 250 V 1 module LEGRAND 412602</t>
  </si>
  <si>
    <t xml:space="preserve">Horloge programmable modulaire</t>
  </si>
  <si>
    <t xml:space="preserve">Horloge programmable analogique SUL 180 a 1 canal THEBEN 1800001</t>
  </si>
  <si>
    <t xml:space="preserve">Peigne d'alimentation ph+N 13 modules</t>
  </si>
  <si>
    <t xml:space="preserve">Peigne d'alimentation universel Phase + Neutre HX³ /  VX³ horizontale 1 P 13 modules LEGRAND 404926</t>
  </si>
  <si>
    <t xml:space="preserve">Coffret electrique 2 rangees 26 modules</t>
  </si>
  <si>
    <t xml:space="preserve">Coffret de distribution métal en saillie hauteur 450mm. équipé de 2 rangées de 24 modules et barreau laiton - pour la distribution électriqu</t>
  </si>
  <si>
    <t xml:space="preserve">Coffret electrique 3 rangees 39 modules</t>
  </si>
  <si>
    <t xml:space="preserve">Coffret etanche IP65 12 modules</t>
  </si>
  <si>
    <t xml:space="preserve">Coffret étanche IP65 400 V 12 modules GEWISS GW40103</t>
  </si>
  <si>
    <t xml:space="preserve">Repartiteur modulaire 4 poles</t>
  </si>
  <si>
    <t xml:space="preserve">Répartiteur modulaire à barreaux étagés XL³ IK05 bipolaire 100A 6 départs 4 modules nouveau modèle LEGRAND 400401</t>
  </si>
  <si>
    <t xml:space="preserve">Bornier de terre</t>
  </si>
  <si>
    <t xml:space="preserve">Bornier de répartition isolé 8 connexions 1,5 mm² à 16 mm² terre LEGRAND 004832</t>
  </si>
  <si>
    <t xml:space="preserve">Cable U-1000 R2V 3G1,5 mm2</t>
  </si>
  <si>
    <t xml:space="preserve">ml</t>
  </si>
  <si>
    <t xml:space="preserve">Non — unités différentes</t>
  </si>
  <si>
    <t xml:space="preserve">Câble rigide U-1000 R2V 3G1,5 mm² 10 m noir FILS &amp; CÂBLES 20218275C</t>
  </si>
  <si>
    <t xml:space="preserve">Cable U-1000 R2V 3G2,5 mm2</t>
  </si>
  <si>
    <t xml:space="preserve">Câble rigide U-1000 R2V 3G2,5 mm² 10 m noir FILS &amp; CÂBLES 20218285C</t>
  </si>
  <si>
    <t xml:space="preserve">Cable U-1000 R2V 5G6 mm2</t>
  </si>
  <si>
    <t xml:space="preserve">Câble rigide Nexans R2V Distingo cuivre 5G6 mm² en couronne de 25 m</t>
  </si>
  <si>
    <t xml:space="preserve">Fil H07V-U 1,5 mm2 couronne 100 m</t>
  </si>
  <si>
    <t xml:space="preserve">couronne</t>
  </si>
  <si>
    <t xml:space="preserve">Fil rigide H07VU 1,5 mm² Bleu en couronne de 100m</t>
  </si>
  <si>
    <t xml:space="preserve">Fil H07V-U 2,5 mm2 couronne 100 m</t>
  </si>
  <si>
    <t xml:space="preserve">Fil rigide H07VU 2,5 mm² Bleu en couronne de 100m</t>
  </si>
  <si>
    <t xml:space="preserve">Fil H07V-K souple 6 mm2</t>
  </si>
  <si>
    <t xml:space="preserve">Fil souple H07VK 6 mm² Vert/Jaune en couronne de 100m</t>
  </si>
  <si>
    <t xml:space="preserve">Cable CR1-C1 resistant au feu 3G1,5</t>
  </si>
  <si>
    <t xml:space="preserve">Câble d'alimentation cuivre anti-feu CR1-C1 3G1,5 - Touret de 500m</t>
  </si>
  <si>
    <t xml:space="preserve">Gaine ICTA 20 mm couronne 100 m</t>
  </si>
  <si>
    <t xml:space="preserve">COURANT Sponsorisé Flexpro+ noir tagp 20/100 - Gaine ICTA 3422 de qualité supérieure</t>
  </si>
  <si>
    <t xml:space="preserve">Gaine ICTA 25 mm couronne 100 m</t>
  </si>
  <si>
    <t xml:space="preserve">Gaine électrique  ICTA avec tire-fils gris foncé diamètre 25 mm GEWISS DX20525R</t>
  </si>
  <si>
    <t xml:space="preserve">Tube IRL 3321 gris 20 mm</t>
  </si>
  <si>
    <t xml:space="preserve">Tube IRL tulipé rigide lisse L3 m gris D16 mm GEWISS DX27716</t>
  </si>
  <si>
    <t xml:space="preserve">Goulotte PVC 60x40 mm</t>
  </si>
  <si>
    <t xml:space="preserve">Goulotte d'appareillage Obo Bettermann Rapid 45-2 en PVC H 53 mm l 100 - 6113000</t>
  </si>
  <si>
    <t xml:space="preserve">Goulotte PVC 100x50 mm</t>
  </si>
  <si>
    <t xml:space="preserve">Moulure PVC 20x12 mm</t>
  </si>
  <si>
    <t xml:space="preserve">Moulure DLPlus avec cloison - PVC blanc - section 20x12,5 mm - L. 2,1 m</t>
  </si>
  <si>
    <t xml:space="preserve">Chemin de cables tole perforee 100 mm</t>
  </si>
  <si>
    <t xml:space="preserve">Dalle chemin de câble PSN perforée 3 m 147 x 27 mm NIEDAX 001005</t>
  </si>
  <si>
    <t xml:space="preserve">Collier de fixation Colson 200 mm</t>
  </si>
  <si>
    <t xml:space="preserve">LEGRAND Lot de 100 colliers Colson SP largeur 9mm - longueur 262mm - noir</t>
  </si>
  <si>
    <t xml:space="preserve">Prise de courant 2P+T 16 A encastree</t>
  </si>
  <si>
    <t xml:space="preserve">Retrait agence Aubervilliers · Sur commande</t>
  </si>
  <si>
    <t xml:space="preserve">Détrompeur Mosaic pour fiche et prise de courant 2P+T</t>
  </si>
  <si>
    <t xml:space="preserve">Prise de courant 2P+T 16 A etanche IP55 saillie</t>
  </si>
  <si>
    <t xml:space="preserve">Prise de courant 2P+T étanche PLEXO Legrand 16 A 250 V pour fixation saillie gris (boîte de 10) - 069731L</t>
  </si>
  <si>
    <t xml:space="preserve">Prise 32 A tetrapolaire</t>
  </si>
  <si>
    <t xml:space="preserve">P17 prise mobile 32A 3P+T 415V IP44 (boite 10)</t>
  </si>
  <si>
    <t xml:space="preserve">Interrupteur va-et-vient encastre</t>
  </si>
  <si>
    <t xml:space="preserve">Interrupteur ou va-et-vient étanche PLEXO complet IP55 encastré gris LEGRAND 069811</t>
  </si>
  <si>
    <t xml:space="preserve">Bouton poussoir lumineux</t>
  </si>
  <si>
    <t xml:space="preserve">Bouton poussoir lumineux 6A nouveau Céliane avec doigt anneau</t>
  </si>
  <si>
    <t xml:space="preserve">Variateur de lumiere LED</t>
  </si>
  <si>
    <t xml:space="preserve">Interrupteur variateur DOOXIE universel 2 fils sans neutre 125 W LED LEGRAND 600060A</t>
  </si>
  <si>
    <t xml:space="preserve">Detecteur de mouvement mural interieur</t>
  </si>
  <si>
    <t xml:space="preserve">Détecteur de mouvement THELUXA mural extérieur S150 WH blanc THEBEN 1010500</t>
  </si>
  <si>
    <t xml:space="preserve">Boite d'encastrement simple 1 poste</t>
  </si>
  <si>
    <t xml:space="preserve">Boîte d'encastrement BATIBOX pour cloisons sèches 1 poste LEGRAND 080041</t>
  </si>
  <si>
    <t xml:space="preserve">Boite de derivation etanche IP55 100x100</t>
  </si>
  <si>
    <t xml:space="preserve">Boîte de dérivation étanche 450 V AC IP68 2 entrées MIIDEX LIGHTING 7230</t>
  </si>
  <si>
    <t xml:space="preserve">Borne de connexion automatique 3 entrees</t>
  </si>
  <si>
    <t xml:space="preserve">sachet</t>
  </si>
  <si>
    <t xml:space="preserve">Boîte de 50 bornes de connexion automatiques transparentes 3 fils (2,5 - 6 mm²) WAGO 773-173</t>
  </si>
  <si>
    <t xml:space="preserve">Dominos / barrette de connexion 10 mm2</t>
  </si>
  <si>
    <t xml:space="preserve">Barrette de connexion NYLBLOC avec capacité assignée 10 mm² noir LEGRAND 034215</t>
  </si>
  <si>
    <t xml:space="preserve">Plaque de finition simple</t>
  </si>
  <si>
    <t xml:space="preserve">Plaque CÉLIANE finition blanc Laqué 1 poste LEGRAND 066631</t>
  </si>
  <si>
    <t xml:space="preserve">Prise RJ45 categorie 6</t>
  </si>
  <si>
    <t xml:space="preserve">Mécanisme prise RJ45 OVALIS catégorie 6 STP grade 3 blanc SCHNEIDER ELECTRIC S320476</t>
  </si>
  <si>
    <t xml:space="preserve">Piquet de terre 1,50 m</t>
  </si>
  <si>
    <t xml:space="preserve">Piquet de terre</t>
  </si>
  <si>
    <t xml:space="preserve">Barrette de coupure de terre</t>
  </si>
  <si>
    <t xml:space="preserve">Barrette de coupure socle plastique FORSOND BAR-32</t>
  </si>
  <si>
    <t xml:space="preserve">Cosse a oeil / cosse de terre</t>
  </si>
  <si>
    <t xml:space="preserve">TE CONNECTIVITY (EX TYCO SIMEL) CDCT 75-10-Cosse cuivre de terre à sertir pour postes HT-75mm²-Bornage: 10mm</t>
  </si>
  <si>
    <t xml:space="preserve">Gaine thermoretractable assortiment</t>
  </si>
  <si>
    <t xml:space="preserve">boite</t>
  </si>
  <si>
    <t xml:space="preserve">Temporisation 12/24VDC 1 contact NF avec gaine thermorétractable SEWOSY TPNC</t>
  </si>
  <si>
    <t xml:space="preserve">Cable F/FTP categorie 6A</t>
  </si>
  <si>
    <t xml:space="preserve">Câble 4 paires S/FTP catégorie 6 LEXCOM HOME bobine 120 m blanc SCHNEIDER ELECTRIC VDIR534810</t>
  </si>
  <si>
    <t xml:space="preserve">Panneau de brassage 24 ports RJ45 cat 6</t>
  </si>
  <si>
    <t xml:space="preserve">LEGRAND Panneau de brassage Linkeo C à équiper de 24 connecteurs RJ45 Keystone</t>
  </si>
  <si>
    <t xml:space="preserve">Cordon de brassage RJ45 cat 6 2 m</t>
  </si>
  <si>
    <t xml:space="preserve">Cordon de brassage quadruple RJ45 téléphone pour réseau multimédia</t>
  </si>
  <si>
    <t xml:space="preserve">Coffret de brassage 9U</t>
  </si>
  <si>
    <t xml:space="preserve">Coffret multimédia basique DRIVIA avec brassage équipé et précâblé 4 prises RJ45 LEGRAND 413218</t>
  </si>
  <si>
    <t xml:space="preserve">Switch ethernet 8 ports PoE</t>
  </si>
  <si>
    <t xml:space="preserve">Switch PoE Fast Ethernet 5 ports</t>
  </si>
  <si>
    <t xml:space="preserve">Camera IP dome interieure</t>
  </si>
  <si>
    <t xml:space="preserve">CAMERA DOME INTERIEUR FACTICE</t>
  </si>
  <si>
    <t xml:space="preserve">Camera IP tube exterieure</t>
  </si>
  <si>
    <t xml:space="preserve">Caméra extérieure RHEITA100 connectée éclairage intégré THOMSON 512511</t>
  </si>
  <si>
    <t xml:space="preserve">Disque dur surveillance 4 To</t>
  </si>
  <si>
    <t xml:space="preserve">Disque diamant pour dalles et carrelage dur 180 x 25,4 mm DIAM INDUSTRIES CR90180/25</t>
  </si>
  <si>
    <t xml:space="preserve">Platine de rue interphone 2 fils</t>
  </si>
  <si>
    <t xml:space="preserve">Kit vidéo SOUL couleur 2 fils non polarisé WIFI 1 appel  - contenant : - 1 moniteur mains-libres couleur 7'' tactile WIFI avec mémoire d'ima</t>
  </si>
  <si>
    <t xml:space="preserve">Combine interphone interieur</t>
  </si>
  <si>
    <t xml:space="preserve">Combiné universel T-LINE GOLMAR UAV1407/010</t>
  </si>
  <si>
    <t xml:space="preserve">Portier video couleur</t>
  </si>
  <si>
    <t xml:space="preserve">XTS 7 WH WFBF Portier vidéo mains libres 100% tactile pour système X1, écran tactile TFT 7&amp;quot;, WI-FI et interface utilisateur graphique, </t>
  </si>
  <si>
    <t xml:space="preserve">Lecteur de badge mural</t>
  </si>
  <si>
    <t xml:space="preserve">Lecteur mural XS4 2.0 mifare carré noir - SALTO - WRDM0S4B</t>
  </si>
  <si>
    <t xml:space="preserve">Badge de proximite Mifare</t>
  </si>
  <si>
    <t xml:space="preserve">Badge de proximité Salto Mifare Ultralight C</t>
  </si>
  <si>
    <t xml:space="preserve">Clavier a code exterieur</t>
  </si>
  <si>
    <t xml:space="preserve">Clavier aluminium 30 codes FERMAX PL030</t>
  </si>
  <si>
    <t xml:space="preserve">Bouton de sortie inox</t>
  </si>
  <si>
    <t xml:space="preserve">Bouton sphérique en inox finition mate Didheya</t>
  </si>
  <si>
    <t xml:space="preserve">Centrale d'alarme intrusion filaire</t>
  </si>
  <si>
    <t xml:space="preserve">Kit centrale d'alarme HERACLES ARD-KIT</t>
  </si>
  <si>
    <t xml:space="preserve">Detecteur d'ouverture magnetique</t>
  </si>
  <si>
    <t xml:space="preserve">Détecteur d'ouverture de porte pour alarme Skyda HomeSecure AVIDSEN 100723</t>
  </si>
  <si>
    <t xml:space="preserve">Detecteur infrarouge volumetrique</t>
  </si>
  <si>
    <t xml:space="preserve">Détecteur de mouvement infrarouge LUMOS LITE pour projecteur Lumos Lite et Lumos Pro MIIDEX 100861</t>
  </si>
  <si>
    <t xml:space="preserve">Sirene exterieure autoalimentee</t>
  </si>
  <si>
    <t xml:space="preserve">Sirène extérieure solaire pour alarme Skyda et HomeSecure AVIDSEN 100728</t>
  </si>
  <si>
    <t xml:space="preserve">Prise TV coaxiale</t>
  </si>
  <si>
    <t xml:space="preserve">Odace - prise TV/FM - sorties coaxiales - blanc craie</t>
  </si>
  <si>
    <t xml:space="preserve">Cable coaxial 17 VATC</t>
  </si>
  <si>
    <t xml:space="preserve">Câble coaxial blanc 17VATC T500 5 m 60135013E</t>
  </si>
  <si>
    <t xml:space="preserve">Repartiteur TV 4 sorties</t>
  </si>
  <si>
    <t xml:space="preserve">Répartiteur ferrite TV 4 sorties LEBENOID 032528</t>
  </si>
  <si>
    <t xml:space="preserve">Pince a sertir RJ45</t>
  </si>
  <si>
    <t xml:space="preserve">GIGAMEDIA Pince à sertir économique pour RJ45 8 points</t>
  </si>
  <si>
    <t xml:space="preserve">Testeur de cable reseau</t>
  </si>
  <si>
    <t xml:space="preserve">FLUKE NETWORKS Testeur de câble et de réseau LinkIQ</t>
  </si>
  <si>
    <t xml:space="preserve">Spot LED encastre 7 W blanc neutre</t>
  </si>
  <si>
    <t xml:space="preserve">Spot encastré à LED intégré YOURHOME 500 lm blanc IP44 4000 K 840 SYLVANIA 90012</t>
  </si>
  <si>
    <t xml:space="preserve">Downlight LED 20 W diametre 200 mm</t>
  </si>
  <si>
    <t xml:space="preserve">Downlight LED SIRIUS BASSE LUM blanc rond basse luminance 2000 lm 25 W 4000 K MIIDEX LIGHTING 765482</t>
  </si>
  <si>
    <t xml:space="preserve">Dalle LED 600x600 36 W</t>
  </si>
  <si>
    <t xml:space="preserve">Dalle LED ANDROMEDE Backlit 25 W 4000 K prismatique MIIDEX 100998</t>
  </si>
  <si>
    <t xml:space="preserve">Reglette LED etanche 1,20 m 36 W IP65</t>
  </si>
  <si>
    <t xml:space="preserve">BAILEY LED Réglette étanche Basic Slim 1200 36W 4000K 3960lm IP65 125D 240V</t>
  </si>
  <si>
    <t xml:space="preserve">Reglette LED 0,60 m 18 W</t>
  </si>
  <si>
    <t xml:space="preserve">Réglette LED IP20 BATTEN 4000 K 16 W simple L1200 mm SYLVANIA 0045159</t>
  </si>
  <si>
    <t xml:space="preserve">Rail 3 allumages 2 m</t>
  </si>
  <si>
    <t xml:space="preserve">Spot LED sur rail noir 35 W 4000 K 3000 lm + adaptateur rail 3 allumages MIIDEX LIGHTING S8358</t>
  </si>
  <si>
    <t xml:space="preserve">Projecteur sur rail LED 30 W</t>
  </si>
  <si>
    <t xml:space="preserve">Projecteur extérieur LED - 10 W</t>
  </si>
  <si>
    <t xml:space="preserve">Ruban LED 24 V 14 W/m</t>
  </si>
  <si>
    <t xml:space="preserve">ARIC Ruban LED COB IP20 24V FREECUT 3000K 9W/m 750lm/m découpe au mm, rouleau 20m</t>
  </si>
  <si>
    <t xml:space="preserve">Alimentation LED 24 V 100 W</t>
  </si>
  <si>
    <t xml:space="preserve">Alimentation pour LED IP67 100W 24V DC MIIDEX LIGHTING 75371</t>
  </si>
  <si>
    <t xml:space="preserve">Ampoule LED E27 10 W</t>
  </si>
  <si>
    <t xml:space="preserve">Ampoule LED E27 10 W SMD R80 3000 K pack de 2 MIIDEX LIGHTING 76661</t>
  </si>
  <si>
    <t xml:space="preserve">Ampoule LED GU10 5 W</t>
  </si>
  <si>
    <t xml:space="preserve">Ampoule LED GU10 spot 5 W 2700 K MIIDEX LIGHTING 78401</t>
  </si>
  <si>
    <t xml:space="preserve">Tube LED T8 1,20 m 18 W</t>
  </si>
  <si>
    <t xml:space="preserve">Boitier étanche LED IROISE sans ballast P/N même côté pour 1 TUBE T8 de 600 mm MIIDEX LIGHTING 75891</t>
  </si>
  <si>
    <t xml:space="preserve">Projecteur LED exterieur 50 W IP65</t>
  </si>
  <si>
    <t xml:space="preserve">Projecteur Led de chantier Multi Battery System 4000 MA - rechargeable - 40 W - 4500 lm - 6500 K - IP65 - compatible avec 5 standards de bat</t>
  </si>
  <si>
    <t xml:space="preserve">Hublot LED exterieur 18 W avec detecteur</t>
  </si>
  <si>
    <t xml:space="preserve">Hublot LED RONDO avec détecteur infrarouge + crépusculaire 18 W IP65 3000 K MIIDEX LIGHTING 7790020</t>
  </si>
  <si>
    <t xml:space="preserve">Applique murale exterieure LED</t>
  </si>
  <si>
    <t xml:space="preserve">APPLIQUE MURALE EXTERIEUR LED WALLPACK 100 W 4000 K SLIM</t>
  </si>
  <si>
    <t xml:space="preserve">BAES evacuation SATI 45 lumens</t>
  </si>
  <si>
    <t xml:space="preserve">EATON LUMINOX BAES évacuation SATI - 45lm/1h - IP43 IK07 - Pose mur/plafond - Visibilité+</t>
  </si>
  <si>
    <t xml:space="preserve">BAES ambiance 400 lumens</t>
  </si>
  <si>
    <t xml:space="preserve">EATON LUMINOX BAES ambiance SATI - 400 lm/1h - IP43 IK07 - Design épuré - diffusion uniforme</t>
  </si>
  <si>
    <t xml:space="preserve">Telecommande de mise au repos BAES</t>
  </si>
  <si>
    <t xml:space="preserve">EATON LUMINOX Télécommande universelle pour 500 BAES - Fonction Visibilité+/locaux à sommeil</t>
  </si>
  <si>
    <t xml:space="preserve">Etiquette de balisage evacuation</t>
  </si>
  <si>
    <t xml:space="preserve">Click &amp; Collect 2 h gratuit · Livraison 24-48 h annoncée sur la fiche</t>
  </si>
  <si>
    <t xml:space="preserve">Plaque de signalisation « sortie de secours » souple</t>
  </si>
  <si>
    <t xml:space="preserve">Tube PER nu 16 mm couronne</t>
  </si>
  <si>
    <t xml:space="preserve">Raccord droit à souder PER sur tube cuivre 16 TC 14 GARIS 3315-16-14</t>
  </si>
  <si>
    <t xml:space="preserve">Tube PER gaine 16 mm couronne</t>
  </si>
  <si>
    <t xml:space="preserve">Tube PER pré gainé bleu 50 m 16/20 SOMATHERM 1113-20-50A</t>
  </si>
  <si>
    <t xml:space="preserve">Tube multicouche 16 mm</t>
  </si>
  <si>
    <t xml:space="preserve">Kit de sertissage pour tube multicouche 16x2 1/2'' COMISA 88.20.580</t>
  </si>
  <si>
    <t xml:space="preserve">Tube multicouche 20 mm</t>
  </si>
  <si>
    <t xml:space="preserve">Kit de sertissage Comisa pour tube multicouche - 88.20.580</t>
  </si>
  <si>
    <t xml:space="preserve">Tube cuivre ecroui 14 mm</t>
  </si>
  <si>
    <t xml:space="preserve">Raccord droit à souder PER sur tube cuivre 12 TC 14 GARIS 3315-12-14</t>
  </si>
  <si>
    <t xml:space="preserve">Raccord a sertir multicouche coude 16</t>
  </si>
  <si>
    <t xml:space="preserve">Retrait en agence sous 1 h · 40 000 produits en stock annoncés</t>
  </si>
  <si>
    <t xml:space="preserve">Raccord multicouche laiton à sertir Noyon &amp; Thiebault coude applique multi profils F 1/2" Ø 16 mm</t>
  </si>
  <si>
    <t xml:space="preserve">Raccord a compression PER 16 x 12/17</t>
  </si>
  <si>
    <t xml:space="preserve">Raccord à compression tube PER 16 20/16 pour collecteur GIACOMINI R170X051</t>
  </si>
  <si>
    <t xml:space="preserve">Manchon a sertir PER 16</t>
  </si>
  <si>
    <t xml:space="preserve">Manchon reduit à sertir pour tube PER 16/12 GARIS 3312-16-12</t>
  </si>
  <si>
    <t xml:space="preserve">Te reduit a sertir multicouche</t>
  </si>
  <si>
    <t xml:space="preserve">Raccord laiton male 15x21</t>
  </si>
  <si>
    <t xml:space="preserve">Raccord bague laiton biconique mâle 1/4 D 6 mm BOUTTE 3417152</t>
  </si>
  <si>
    <t xml:space="preserve">Collecteur sanitaire 4 departs</t>
  </si>
  <si>
    <t xml:space="preserve">Libre-service, retrait immédiat au dépôt · Dépôt Aubervilliers</t>
  </si>
  <si>
    <t xml:space="preserve">Collecteur mâle-femelle 3/4 - 3 départs 1/2</t>
  </si>
  <si>
    <t xml:space="preserve">Robinet d'arret equerre 12x17 male</t>
  </si>
  <si>
    <t xml:space="preserve">Robinet d'arrêt équerre à 1/4 de tour mâle femelle chromé 12x17mm 294-12CT1</t>
  </si>
  <si>
    <t xml:space="preserve">Vanne a spherique laiton 20x27</t>
  </si>
  <si>
    <t xml:space="preserve">Vanne à boisseau double femelle laiton sphérique avec purge - 20 x 27 mm - Manette rouge</t>
  </si>
  <si>
    <t xml:space="preserve">Mitigeur lavabo chrome</t>
  </si>
  <si>
    <t xml:space="preserve">Mitigeur lavabo Alterna PRIMEO 3 chromé C3 avec vidage</t>
  </si>
  <si>
    <t xml:space="preserve">Mitigeur evier bec haut</t>
  </si>
  <si>
    <t xml:space="preserve">Mitigeur d'évier de cuisine POLA bec bas à douchette chromé</t>
  </si>
  <si>
    <t xml:space="preserve">Mitigeur thermostatique douche</t>
  </si>
  <si>
    <t xml:space="preserve">Mitigeur douche thermostatique Primeo 3</t>
  </si>
  <si>
    <t xml:space="preserve">Robinet temporise lavabo</t>
  </si>
  <si>
    <t xml:space="preserve">Robinet temporisé Tempostop de lavabo mural 15 x 21 débit 4 litres par minutes corps en laiton massif chromé : réf. 746000</t>
  </si>
  <si>
    <t xml:space="preserve">Flexible sanitaire ACS 50 cm</t>
  </si>
  <si>
    <t xml:space="preserve">Flexibles sanitaire ACS femelle femelle Garis</t>
  </si>
  <si>
    <t xml:space="preserve">Tube PVC evacuation diametre 40 mm</t>
  </si>
  <si>
    <t xml:space="preserve">Tube évacuation PVC gris NFE + NF ME diamètre 40mm longueur 2m Réf.20052342</t>
  </si>
  <si>
    <t xml:space="preserve">Tube PVC evacuation diametre 100 mm</t>
  </si>
  <si>
    <t xml:space="preserve">Tube d'évacuation PVC CR4 Sotrabat+ - Ø 100 mm - L. 2 m</t>
  </si>
  <si>
    <t xml:space="preserve">Coude PVC 87 30 diametre 100</t>
  </si>
  <si>
    <t xml:space="preserve">Coude évacuation PVC MF 45° diamètre 100 mm</t>
  </si>
  <si>
    <t xml:space="preserve">Culotte PVC simple 100/40</t>
  </si>
  <si>
    <t xml:space="preserve">Culotte PVC simple mâle-femelle D 100 mm gris NICOLL BT16GT</t>
  </si>
  <si>
    <t xml:space="preserve">Siphon de sol inox 15x15</t>
  </si>
  <si>
    <t xml:space="preserve">Siphon de sol faible hauteur 15x15 cm gris foncé NICOLL SC456</t>
  </si>
  <si>
    <t xml:space="preserve">Siphon lavabo PVC reglable</t>
  </si>
  <si>
    <t xml:space="preserve">Siphon de lavabo plastique blanc réglable 48 à 103 mm D32 VALENTIN 00 610300 001 00</t>
  </si>
  <si>
    <t xml:space="preserve">Clapet anti-retour evacuation 100</t>
  </si>
  <si>
    <t xml:space="preserve">Clapet anti-retour de ventilation en métal Ø 100 mm</t>
  </si>
  <si>
    <t xml:space="preserve">Colle PVC pot 500 g</t>
  </si>
  <si>
    <t xml:space="preserve">pot</t>
  </si>
  <si>
    <t xml:space="preserve">Colle pour raccord en PVC gel pot en métal de 500 ml UNECOL 2676</t>
  </si>
  <si>
    <t xml:space="preserve">Lavabo ceramique 60 cm</t>
  </si>
  <si>
    <t xml:space="preserve">Couvre-joint latéral, lavabo COLLECTIF Lg : 40 cm Céramique Blanc réf. 763000000</t>
  </si>
  <si>
    <t xml:space="preserve">Vasque a poser ceramique</t>
  </si>
  <si>
    <t xml:space="preserve">Vasque à poser lave-mains mini Alterna PLENITUDE blanc brillant céramique</t>
  </si>
  <si>
    <t xml:space="preserve">WC suspendu avec bati-support</t>
  </si>
  <si>
    <t xml:space="preserve">ens</t>
  </si>
  <si>
    <t xml:space="preserve">Bâti-support DUOFIX pour WC suspendu GEBERIT 111.791.00.2</t>
  </si>
  <si>
    <t xml:space="preserve">Cuvette WC a poser sortie horizontale</t>
  </si>
  <si>
    <t xml:space="preserve">Cuvette WC à poser sortie horizontale NORMUS VITRA 6858L003-1028</t>
  </si>
  <si>
    <t xml:space="preserve">Abattant WC double</t>
  </si>
  <si>
    <t xml:space="preserve">Abattant WC MARINE double blanc OLFA 7MA0001</t>
  </si>
  <si>
    <t xml:space="preserve">Receveur de douche 90x90</t>
  </si>
  <si>
    <t xml:space="preserve">Receveur de douche carré Alterna CONCERTO blanc 90x90 ép. 4.5 cm PN12/Classe A Réf. 0</t>
  </si>
  <si>
    <t xml:space="preserve">Paroi de douche verre 90 cm</t>
  </si>
  <si>
    <t xml:space="preserve">Bande étanche Marmox pour parois et receveur de douche - largeur 125 MM - rouleau de 10 M</t>
  </si>
  <si>
    <t xml:space="preserve">Evier inox 1 bac egouttoir</t>
  </si>
  <si>
    <t xml:space="preserve">Evier monocuve inox MAN711-1000 avec égouttoir 1000 x 600 cm à poser FRANKE 013939</t>
  </si>
  <si>
    <t xml:space="preserve">Chauffe-eau electrique 200 L</t>
  </si>
  <si>
    <t xml:space="preserve">Chauffe-eau électrique 200 l INITIO XPERT blindé vertical sur socle D570 mm ARISTON 3000784</t>
  </si>
  <si>
    <t xml:space="preserve">Chauffe-eau electrique 100 L</t>
  </si>
  <si>
    <t xml:space="preserve">Chauffe-eau électrique 100 l INITIO XPERT blindé horizontal mural D560 mm ARISTON 3010782</t>
  </si>
  <si>
    <t xml:space="preserve">Groupe de securite chauffe-eau</t>
  </si>
  <si>
    <t xml:space="preserve">Kit de chauffe-eau avec groupe de sécurité NF Ø 3/4 droit + 1 siphon</t>
  </si>
  <si>
    <t xml:space="preserve">Pompe de relevage eaux usees</t>
  </si>
  <si>
    <t xml:space="preserve">Pompe de relevage pour eaux chargées 0,75 kW inox 12 m³/h RENSON 854293</t>
  </si>
  <si>
    <t xml:space="preserve">Broyeur sanitaire WC</t>
  </si>
  <si>
    <t xml:space="preserve">Broyeur indépendant avec 3 entrées sanitaire SFA MULTICOLLECTO</t>
  </si>
  <si>
    <t xml:space="preserve">Teflon PTFE 12 m</t>
  </si>
  <si>
    <t xml:space="preserve">rouleau</t>
  </si>
  <si>
    <t xml:space="preserve">Assortiment de Joint PTFE Teflon du Ø 3/8'' au Ø 1''1/2 sachet 100 pièces SIRIUS 104106</t>
  </si>
  <si>
    <t xml:space="preserve">Filasse de chanvre</t>
  </si>
  <si>
    <t xml:space="preserve">Filasse en lin peigné pour plombier poupée de 200 g</t>
  </si>
  <si>
    <t xml:space="preserve">Pate a joint plomberie</t>
  </si>
  <si>
    <t xml:space="preserve">Pâte lubrifiante PAM pour joints SBR tuyaux fonte - FTB01723</t>
  </si>
  <si>
    <t xml:space="preserve">Collier de fixation simple isophonique 20</t>
  </si>
  <si>
    <t xml:space="preserve">Collier sanitaire isophonique simple - Fixation tuyauteries Ø14 mm Acier zingué blanc - Lot de 20</t>
  </si>
  <si>
    <t xml:space="preserve">Mousse isolante tube 22 mm</t>
  </si>
  <si>
    <t xml:space="preserve">Tube isolant fendu + adhésif encollage bord à bord EP32Ø22mm</t>
  </si>
  <si>
    <t xml:space="preserve">Radiateur electrique inertie 1500 W</t>
  </si>
  <si>
    <t xml:space="preserve">Radiateur électrique fluide ALTECH horizontal 1500W Blanc</t>
  </si>
  <si>
    <t xml:space="preserve">Radiateur electrique panneau rayonnant 1000 W</t>
  </si>
  <si>
    <t xml:space="preserve">ATLANTIC RADIATEURS &amp; ECS Rayonnant Solius Neo horizontal 1000W blanc</t>
  </si>
  <si>
    <t xml:space="preserve">Seche-serviettes electrique 500 W</t>
  </si>
  <si>
    <t xml:space="preserve">Sèche-serviettes  électrique Alterna Primeo 500w 944/500 mm blanc</t>
  </si>
  <si>
    <t xml:space="preserve">Radiateur acier eau chaude 1000 W</t>
  </si>
  <si>
    <t xml:space="preserve">Radiateur électrique panneau rayonnant horizontal SOLIUS DIGITAL 1000 W ATLANTIC 423535</t>
  </si>
  <si>
    <t xml:space="preserve">Robinet thermostatique radiateur</t>
  </si>
  <si>
    <t xml:space="preserve">Robinet de radiateur thermostatique droit 3/8'' COMAP R809603</t>
  </si>
  <si>
    <t xml:space="preserve">Te de reglage radiateur</t>
  </si>
  <si>
    <t xml:space="preserve">Coude de réglage radiateur 3 fonctions droit nickelé 3/8'' COMAP 429303</t>
  </si>
  <si>
    <t xml:space="preserve">Purgeur automatique radiateur</t>
  </si>
  <si>
    <t xml:space="preserve">Purgeur d'air automatique pour radiateurs R200 Giacomini – R200X002</t>
  </si>
  <si>
    <t xml:space="preserve">Circulateur de chauffage a vitesse variable</t>
  </si>
  <si>
    <t xml:space="preserve">Circulateur électronique chauffage EVOSTA 2 entraxe 180 mm THERMADOR EVA24070180</t>
  </si>
  <si>
    <t xml:space="preserve">Vase d'expansion 18 L</t>
  </si>
  <si>
    <t xml:space="preserve">Gaz neutre M414 pour vase d?expansion chaudière - aérosol de 250 ml</t>
  </si>
  <si>
    <t xml:space="preserve">Thermostat d'ambiance programmable</t>
  </si>
  <si>
    <t xml:space="preserve">THERMOSTAT D'AMBIANCE TA2</t>
  </si>
  <si>
    <t xml:space="preserve">Rideau d'air chaud entree magasin</t>
  </si>
  <si>
    <t xml:space="preserve">FRICO Rideau d'air Compact électrique 12kW L 1,5 m, débit d'air 1800 m3/h</t>
  </si>
  <si>
    <t xml:space="preserve">VMC simple flux autoreglable</t>
  </si>
  <si>
    <t xml:space="preserve">VMC simple flux autoréglable Deco 2 N</t>
  </si>
  <si>
    <t xml:space="preserve">Bouche d'extraction hygroreglable cuisine</t>
  </si>
  <si>
    <t xml:space="preserve">Bouche d'extraction ou insufflation pour cuisine diamètre 125mm en vrac</t>
  </si>
  <si>
    <t xml:space="preserve">Bouche d'extraction sanitaire 80 mm</t>
  </si>
  <si>
    <t xml:space="preserve">Bouche d'extraction sanitaire 80 mm Autogyre - 400640</t>
  </si>
  <si>
    <t xml:space="preserve">Gaine souple isolee diametre 125</t>
  </si>
  <si>
    <t xml:space="preserve">Gaine souple PVC isolées série GP D 125 S&amp;P 813922</t>
  </si>
  <si>
    <t xml:space="preserve">Extracteur de gaine 150 mm</t>
  </si>
  <si>
    <t xml:space="preserve">Jeu de 6 extracteurs de goujons pour goujons de M3 à M24 KS TOOLS 150.1330</t>
  </si>
  <si>
    <t xml:space="preserve">Aerateur mural salle de bains</t>
  </si>
  <si>
    <t xml:space="preserve">Mitigeur bain douche OLYOS mural aérateur intégré PORCHER D2500AA</t>
  </si>
  <si>
    <t xml:space="preserve">Grille de ventilation exterieure inox</t>
  </si>
  <si>
    <t xml:space="preserve">Habillage pour grille de ventilation Inox-Inox/Inox-Galva - 90 cm2</t>
  </si>
  <si>
    <t xml:space="preserve">Chapeau de toiture ventilation</t>
  </si>
  <si>
    <t xml:space="preserve">Chapeau de ventilation UCC10 PVC ardoise diamètre embase 100 mm</t>
  </si>
  <si>
    <t xml:space="preserve">Split mural reversible 3,5 kW</t>
  </si>
  <si>
    <t xml:space="preserve">Ensemble mono-split CLIMATE 6000I BOSCH (groupe extérieur + unité intérieure)</t>
  </si>
  <si>
    <t xml:space="preserve">Liaison frigorifique 1/4-3/8</t>
  </si>
  <si>
    <t xml:space="preserve">Accessoire Thermodynamique Liaison Frigorifique 3/8-1/4 07M</t>
  </si>
  <si>
    <t xml:space="preserve">Support mural groupe exterieur</t>
  </si>
  <si>
    <t xml:space="preserve">Accessoire Thermodynamique Support mural Equerre pour unité Exterieure</t>
  </si>
  <si>
    <t xml:space="preserve">Pompe de relevage condensats</t>
  </si>
  <si>
    <t xml:space="preserve">Pompe de relevage à condensats SANICONDENS PRO 6,2 L/min SFA SK6</t>
  </si>
  <si>
    <t xml:space="preserve">Goulotte de climatisation 80 mm</t>
  </si>
  <si>
    <t xml:space="preserve">Sortie murale goulotte 80mm climatisation MC DISTRIBUTION 04/BLWC80</t>
  </si>
  <si>
    <t xml:space="preserve">Sonde de temperature exterieure</t>
  </si>
  <si>
    <t xml:space="preserve">SER 50 sonde de température extérieure</t>
  </si>
  <si>
    <t xml:space="preserve">Manometre chauffage 0-4 bar</t>
  </si>
  <si>
    <t xml:space="preserve">Manomètre radial 8/13 D50 4 bar 802-02</t>
  </si>
  <si>
    <t xml:space="preserve">Serrure a larder axe 50 mm</t>
  </si>
  <si>
    <t xml:space="preserve">MARC Serrure à larder 1 point coffre mince 719 blanche</t>
  </si>
  <si>
    <t xml:space="preserve">Serrure en applique 3 points</t>
  </si>
  <si>
    <t xml:space="preserve">Serrure applique Horizontale - Pêne dormant ½ tour 140 x 82mm Gauche 1 clé Réf. 00700121</t>
  </si>
  <si>
    <t xml:space="preserve">Serrure carenee 3 points A2P</t>
  </si>
  <si>
    <t xml:space="preserve">DEVISMES Serrure en applique 3 points carénée non A2P étroite 81 mm</t>
  </si>
  <si>
    <t xml:space="preserve">Cylindre europeen 30x30 varie</t>
  </si>
  <si>
    <t xml:space="preserve">Cylindre à bouton Abus B5LT Titalium à 5 goupilles pour serrure à profil européen - 3 clés - 30x30mm</t>
  </si>
  <si>
    <t xml:space="preserve">Cylindre europeen a bouton 30x30</t>
  </si>
  <si>
    <t xml:space="preserve">Cylindre haute securite A2P</t>
  </si>
  <si>
    <t xml:space="preserve">Jeu de cylindre rond IZIS laiton pour serrure CAVITH A2P** (ISEO)</t>
  </si>
  <si>
    <t xml:space="preserve">Verrou de surete a bouton</t>
  </si>
  <si>
    <t xml:space="preserve">Verrou éco TRIDENT avec simple bouton, emballage sachet Réf. 00802002</t>
  </si>
  <si>
    <t xml:space="preserve">Gache electrique a rupture 12 V</t>
  </si>
  <si>
    <t xml:space="preserve">Serrure à larder à cylindre - axe à 24.5 mm - pêne dormant et rouleau - pour gâche électrique Metalux 8</t>
  </si>
  <si>
    <t xml:space="preserve">Gache electrique a emission</t>
  </si>
  <si>
    <t xml:space="preserve">Ventouse electromagnetique 300 kg</t>
  </si>
  <si>
    <t xml:space="preserve">Ventouse électromagnétique 300 kg 24 V EFF EFF BVA300NAS</t>
  </si>
  <si>
    <t xml:space="preserve">Ventouse electromagnetique 500 kg</t>
  </si>
  <si>
    <t xml:space="preserve">CDVI Equerre de fixation en L pour ventouse électromagnétique intérieure 500 kg</t>
  </si>
  <si>
    <t xml:space="preserve">Ferme-porte a bras compas</t>
  </si>
  <si>
    <t xml:space="preserve">Ferme-porte 10 bras compas argent HERACLES - FIRST</t>
  </si>
  <si>
    <t xml:space="preserve">Ferme-porte a glissiere</t>
  </si>
  <si>
    <t xml:space="preserve">Plaque support DIN profil métallique Groom pour ferme-porte 3400 et 3500</t>
  </si>
  <si>
    <t xml:space="preserve">Barre anti-panique 1 point</t>
  </si>
  <si>
    <t xml:space="preserve">Barre anti-panique 1 point - Fluid - longueur 1165 mm - Aluminium anodisé</t>
  </si>
  <si>
    <t xml:space="preserve">Barre anti-panique 3 points</t>
  </si>
  <si>
    <t xml:space="preserve">Barre anti-panique 3 points latéraux - Fluid - longueur 1165 mm - Aluminium anodisé</t>
  </si>
  <si>
    <t xml:space="preserve">Poignee sur plaque inox</t>
  </si>
  <si>
    <t xml:space="preserve">Ensemble poignée de porte intérieure Vachette LC3 à béquille coudée à 90° sur rosace ronde - Inox brossé - Carré 7 mm</t>
  </si>
  <si>
    <t xml:space="preserve">Bequille double sur rosace</t>
  </si>
  <si>
    <t xml:space="preserve">Béquille double carré - noir - 8x110 mm - 1 portée</t>
  </si>
  <si>
    <t xml:space="preserve">Paumelle a souder 100 mm</t>
  </si>
  <si>
    <t xml:space="preserve">XHANDER Paumelle à souder bague laiton - 100 mm</t>
  </si>
  <si>
    <t xml:space="preserve">Paumelle a visser 120 mm</t>
  </si>
  <si>
    <t xml:space="preserve">Paumelle 164 120 x 11 mm gauche FAURE ET FILS 164N120-11L</t>
  </si>
  <si>
    <t xml:space="preserve">Butoir de porte a visser</t>
  </si>
  <si>
    <t xml:space="preserve">Butoir de porte caoutchouc blanc 31x35mm fixation murale - Boîte de 2</t>
  </si>
  <si>
    <t xml:space="preserve">Selecteur de fermeture 2 vantaux</t>
  </si>
  <si>
    <t xml:space="preserve">Sélecteur de fermeture argent HERACLES F-8535-ARG</t>
  </si>
  <si>
    <t xml:space="preserve">Joint isophonique de porte</t>
  </si>
  <si>
    <t xml:space="preserve">Porteur pour plafond suspendu Donn DX24 - joint de dilatation feu - super blanc - 38,0 MM x 24 MM - long. 3,70 M</t>
  </si>
  <si>
    <t xml:space="preserve">Bas de porte automatique</t>
  </si>
  <si>
    <t xml:space="preserve">JEAN JOURJON Plinthe automatique encastrée de bas de porte 89KEJ KLOMATIC</t>
  </si>
  <si>
    <t xml:space="preserve">Serrure de rideau metallique</t>
  </si>
  <si>
    <t xml:space="preserve">Serrure de rideau métallique pour profil européen PREFER 6221.001Z.0000</t>
  </si>
  <si>
    <t xml:space="preserve">Moteur tubulaire volet roulant 50 Nm</t>
  </si>
  <si>
    <t xml:space="preserve">Interrupteur de volets roulants nouveau Céliane pour commande directe de moteur</t>
  </si>
  <si>
    <t xml:space="preserve">Treuil de volet roulant</t>
  </si>
  <si>
    <t xml:space="preserve">Treuil à vis sans fin 10:1 pour volet roulant modèle C10/6P7 AFC zamak CHERUBINI 73117004ACH00</t>
  </si>
  <si>
    <t xml:space="preserve">Cadenas laiton anse 40 mm</t>
  </si>
  <si>
    <t xml:space="preserve">Cadenas type 1 corps laiton 40 mm grade 5 anse acier cémenté - 2 clés - Thirard</t>
  </si>
  <si>
    <t xml:space="preserve">Cadenas haute securite anse protegee</t>
  </si>
  <si>
    <t xml:space="preserve">Cadenas anse haute LONGO longueur 40 mm HERACLES I-CAD-L40</t>
  </si>
  <si>
    <t xml:space="preserve">Corniere acier 30x30x3</t>
  </si>
  <si>
    <t xml:space="preserve">Cornière angle 25 x 25 mm adhésive acier blanc 3 m.l DINAC 1306100</t>
  </si>
  <si>
    <t xml:space="preserve">Tole acier perforee</t>
  </si>
  <si>
    <t xml:space="preserve">m2</t>
  </si>
  <si>
    <t xml:space="preserve">Vis à tôle tête cylindrique large acier zingué blanc DIN 7981 2,9X6,5 boîte de 500 ULTIMA AFB7981AZ2965</t>
  </si>
  <si>
    <t xml:space="preserve">Electrode de soudure rutile 2,5 mm</t>
  </si>
  <si>
    <t xml:space="preserve">Electrode rutile 6013 en acier D 2,5 mm en étui de 250 pièces BESTER C11040-12-1</t>
  </si>
  <si>
    <t xml:space="preserve">Disque a tronconner metal 125 mm</t>
  </si>
  <si>
    <t xml:space="preserve">Disque à tronçonner X-Lock pour Metal 125 x 2,5 mm à tronçonner BOSCH 2608619257</t>
  </si>
  <si>
    <t xml:space="preserve">Peinture antirouille metal</t>
  </si>
  <si>
    <t xml:space="preserve">L</t>
  </si>
  <si>
    <t xml:space="preserve">Peinture antirouille Sintofer 0,75 l gris lumineux SINTO 901222</t>
  </si>
  <si>
    <t xml:space="preserve">Extincteur eau pulverisee 6 L</t>
  </si>
  <si>
    <t xml:space="preserve">Panneau ''Extincteur'' 330 x 75 mm NOVAP 4120393</t>
  </si>
  <si>
    <t xml:space="preserve">Extincteur poudre ABC 6 kg</t>
  </si>
  <si>
    <t xml:space="preserve">Extincteur à poudre ABC 6 kg 16458.9</t>
  </si>
  <si>
    <t xml:space="preserve">Panneau de signalisation extincteur</t>
  </si>
  <si>
    <t xml:space="preserve">Detecteur de fumee autonome DAAF</t>
  </si>
  <si>
    <t xml:space="preserve">Détecteur avertisseur autonome de fumée (DAAF) pile lithium 10 ans</t>
  </si>
  <si>
    <t xml:space="preserve">Detecteur optique de fumee adressable</t>
  </si>
  <si>
    <t xml:space="preserve">Détecteur autonome déclencheur optique de fumée</t>
  </si>
  <si>
    <t xml:space="preserve">Declencheur manuel d'alarme</t>
  </si>
  <si>
    <t xml:space="preserve">Capot de protection polycarbonate pour déclencheur manuel NEUTRONIC 4700</t>
  </si>
  <si>
    <t xml:space="preserve">Centrale d'alarme incendie type 4</t>
  </si>
  <si>
    <t xml:space="preserve">Diffuseur sonore d'alarme</t>
  </si>
  <si>
    <t xml:space="preserve">Bloc autonome d'alarme sonore manuel BAASL Ma équipé d'un diffuseur lumineux</t>
  </si>
  <si>
    <t xml:space="preserve">Coffret de commande desenfumage</t>
  </si>
  <si>
    <t xml:space="preserve">Coffret CO2 pour système de désenfumage à ouverture seule 20 g (Souchier-Boullet)</t>
  </si>
  <si>
    <t xml:space="preserve">Mousse coupe-feu cartouche</t>
  </si>
  <si>
    <t xml:space="preserve">cartouche</t>
  </si>
  <si>
    <t xml:space="preserve">Mousse PU Soudafoam FR HY manuelle coupe-feu 750 ml SOUDAL 146752</t>
  </si>
  <si>
    <t xml:space="preserve">Mastic coupe-feu cartouche</t>
  </si>
  <si>
    <t xml:space="preserve">Mastic d'étanchéité coupe-feu pour joint de construction Rubson CF55 - gris - cartouche de 300 ml</t>
  </si>
  <si>
    <t xml:space="preserve">Collier coupe-feu 110 mm</t>
  </si>
  <si>
    <t xml:space="preserve">ARMACELL FRANCE Collier coupe-feu Armaprotect FC1 D= 110 mm</t>
  </si>
  <si>
    <t xml:space="preserve">Plaque de platre BA13 standard 2,50x1,20</t>
  </si>
  <si>
    <t xml:space="preserve">Plaque de plâtre standard NF PLACOPLATRE® BA13 L. 2.6 x l. 1.2 m R=0.04 m².K/W</t>
  </si>
  <si>
    <t xml:space="preserve">Plaque de platre hydrofuge BA13</t>
  </si>
  <si>
    <t xml:space="preserve">Plaque de plâtre hydrofuge Prégydro BA13 - 2x1,2 m</t>
  </si>
  <si>
    <t xml:space="preserve">Plaque de platre coupe-feu BA13</t>
  </si>
  <si>
    <t xml:space="preserve">Plaque de plâtre feu Placoflam BA13 - 2,4x1,2 m - ép. 13 mm</t>
  </si>
  <si>
    <t xml:space="preserve">Plaque de platre phonique BA13</t>
  </si>
  <si>
    <t xml:space="preserve">Plaque de plâtre acoustique NF PLACO® PHONIQUE BA13 L. 2.5 x l. 1.2 m R=0.04 m².K/W</t>
  </si>
  <si>
    <t xml:space="preserve">Rail R48 longueur 3 m</t>
  </si>
  <si>
    <t xml:space="preserve">Retrait agence Pantin · Livraison chantier</t>
  </si>
  <si>
    <t xml:space="preserve">Rail PROFSTIL FR- R48 NF longueur 3m</t>
  </si>
  <si>
    <t xml:space="preserve">Montant M48 longueur 3 m</t>
  </si>
  <si>
    <t xml:space="preserve">Montant Prégymétal M48-35/6 - acier galvanisé - L. 2,6 m - ailes 35 mm</t>
  </si>
  <si>
    <t xml:space="preserve">Fourrure F530 plafond</t>
  </si>
  <si>
    <t xml:space="preserve">Fourrure d'ossature métallique Placo Stil F530 pour plafond et doublage - long. 3,00 M</t>
  </si>
  <si>
    <t xml:space="preserve">Suspente rapide plafond</t>
  </si>
  <si>
    <t xml:space="preserve">Suspente longue 170 mm pour fourrure 17-47 en acier galvanisé d'épaisseur 0,75 mm boîte de 100 PAI SL47NT170</t>
  </si>
  <si>
    <t xml:space="preserve">Corniere d'angle perforee 30x30</t>
  </si>
  <si>
    <t xml:space="preserve">Profilé PVC cornière pour angle blanc 30x30mm 2,60m</t>
  </si>
  <si>
    <t xml:space="preserve">Laine de verre 100 mm rouleau</t>
  </si>
  <si>
    <t xml:space="preserve">Laine de verre ecolaine 100 rouleau de 10x1,2m R=2,50 m².k/w ACERMI 02/018/052/13</t>
  </si>
  <si>
    <t xml:space="preserve">Laine de roche 100 mm panneau</t>
  </si>
  <si>
    <t xml:space="preserve">Panneau laine de roche Rockmur nu pour mur intérieur - ép. 100 mm - 1,35x0,6 m - R=2,85 m².W/K</t>
  </si>
  <si>
    <t xml:space="preserve">Panneau polystyrene expanse 60 mm</t>
  </si>
  <si>
    <t xml:space="preserve">Panneau polystyrène expansé Knauf Therm ITEx TH38 SE 20mm 1,2X0,6m R=0,50m².k/w</t>
  </si>
  <si>
    <t xml:space="preserve">Isolant mince multicouche reflecteur</t>
  </si>
  <si>
    <t xml:space="preserve">Isolant mince thermo-réflecteur à bulles AIRFLEX 30 - 153885 - épaisseur de 10mm rouleau de 1,2x25m (30m²) R=1,64 m².k/w selon EN16012+A1</t>
  </si>
  <si>
    <t xml:space="preserve">Enduit de rebouchage sac 5 kg</t>
  </si>
  <si>
    <t xml:space="preserve">sac</t>
  </si>
  <si>
    <t xml:space="preserve">Enduit acrylique lissage et rebouchage 1 kg DURALEX 101100303</t>
  </si>
  <si>
    <t xml:space="preserve">Enduit de lissage pate 25 kg</t>
  </si>
  <si>
    <t xml:space="preserve">seau</t>
  </si>
  <si>
    <t xml:space="preserve">Enduit de lissage en poudre sac de 2,5 kg BOSTIK 30604301</t>
  </si>
  <si>
    <t xml:space="preserve">Bande a joint papier 150 m</t>
  </si>
  <si>
    <t xml:space="preserve">Bande à joint microperforée et prépliée pour plaque de plâtre - rouleau de 150 m</t>
  </si>
  <si>
    <t xml:space="preserve">Bande armee angle</t>
  </si>
  <si>
    <t xml:space="preserve">Bande armée rouleau de 30 m PAI BA30</t>
  </si>
  <si>
    <t xml:space="preserve">Vis TTPC 25 mm boite 1000</t>
  </si>
  <si>
    <t xml:space="preserve">Boite de 1000 vis TTPC 3.5 x 25 mm pour fixation de plaques de plâtre Phillips ULTIMA 16300001</t>
  </si>
  <si>
    <t xml:space="preserve">Vis TTPC 35 mm boite 1000</t>
  </si>
  <si>
    <t xml:space="preserve">Vis TTPC - Ø 3,5x25 mm - boîte de 1000 pcs</t>
  </si>
  <si>
    <t xml:space="preserve">Cheville metallique a expansion placo</t>
  </si>
  <si>
    <t xml:space="preserve">Cheville métallique multi-matériaux à large expansion SPIT PASLODE 050407</t>
  </si>
  <si>
    <t xml:space="preserve">Cheville a bascule placo</t>
  </si>
  <si>
    <t xml:space="preserve">Cheville à bascule KDH 5 avec crochet Fischer - 80188</t>
  </si>
  <si>
    <t xml:space="preserve">Dalle de plafond demontable 600x600</t>
  </si>
  <si>
    <t xml:space="preserve">Dalle de plafond acoustique Minerval A 12 - bord droit A - blanc - 600x600 mm - ép. 12 mm</t>
  </si>
  <si>
    <t xml:space="preserve">Ossature T24 plafond suspendu</t>
  </si>
  <si>
    <t xml:space="preserve">Entretoise T24 pour ossature faux plafond - 38x24 mm - L. 1,2 m</t>
  </si>
  <si>
    <t xml:space="preserve">Peinture acrylique blanc mat 10 L</t>
  </si>
  <si>
    <t xml:space="preserve">Peinture acrylique Duracryl Satin DX 61 blanc impérial 15 L DURALEX 111100207</t>
  </si>
  <si>
    <t xml:space="preserve">Peinture acrylique satin 10 L</t>
  </si>
  <si>
    <t xml:space="preserve">Peinture acrylique velours 5 L</t>
  </si>
  <si>
    <t xml:space="preserve">Peinture alkyde acrylique pochée hydrodiluable garnissant velours DX G 3  l DURALEX 128100122</t>
  </si>
  <si>
    <t xml:space="preserve">Peinture glycero laque brillante 2,5 L</t>
  </si>
  <si>
    <t xml:space="preserve">Laque brillante antirouille de finition Caravelle blanc 1 L DURALEX 108100502</t>
  </si>
  <si>
    <t xml:space="preserve">Sous-couche universelle 10 L</t>
  </si>
  <si>
    <t xml:space="preserve">Aérosol sous couche 400ml pour fer et métal SINTO 920415</t>
  </si>
  <si>
    <t xml:space="preserve">Peinture facade pliolite 10 L</t>
  </si>
  <si>
    <t xml:space="preserve">Peinture mate pour façade Hydro Pliolite - blanc base W05 - pot de 5 l</t>
  </si>
  <si>
    <t xml:space="preserve">Peinture anti-humidite / bloque-tache</t>
  </si>
  <si>
    <t xml:space="preserve">Peinture anti humidité fongicide et isolante en phase solvant pot de 0,75 L</t>
  </si>
  <si>
    <t xml:space="preserve">Peinture sol epoxy 5 L</t>
  </si>
  <si>
    <t xml:space="preserve">Peinture sol trafic extrême satin gris foncé 2.5 l</t>
  </si>
  <si>
    <t xml:space="preserve">Peinture antirouille primaire metal 2,5 L</t>
  </si>
  <si>
    <t xml:space="preserve">Peinture antirouille glycéro ANCORFER ® blanc brillant pot de 0,75 L</t>
  </si>
  <si>
    <t xml:space="preserve">Rouleau anti-goutte 180 mm</t>
  </si>
  <si>
    <t xml:space="preserve">Rouleau de peinture anti-goutte extra pour murs et plafonds - L'Outil Parfait - Largeur 180 mm</t>
  </si>
  <si>
    <t xml:space="preserve">Rouleau laque poils courts 110 mm</t>
  </si>
  <si>
    <t xml:space="preserve">Mini rouleau manchon laqueur - Velours pure laine 4 mm - L'Outil Parfait - Largeur 110 mm</t>
  </si>
  <si>
    <t xml:space="preserve">Manchon de rechange 250 mm</t>
  </si>
  <si>
    <t xml:space="preserve">Manchon 250mm mat 12mm 3 étoiles Réf. 31255</t>
  </si>
  <si>
    <t xml:space="preserve">Pinceau brosse plate 50 mm</t>
  </si>
  <si>
    <t xml:space="preserve">Pinceau brosse plate épaisseur moyenne L'Outil Parfait - Taille 50 - Soies et synthétiques 50 mm</t>
  </si>
  <si>
    <t xml:space="preserve">Bac a peinture + grille</t>
  </si>
  <si>
    <t xml:space="preserve">Grille métal pour bac et camion à peinture - L'Outil Parfait - Acier galvanisé - Largeur 180 mm</t>
  </si>
  <si>
    <t xml:space="preserve">Perche telescopique 3 m</t>
  </si>
  <si>
    <t xml:space="preserve">Perche télescopique réglable pour monture creuse de rouleau de peinture - Longueur 2 mètres</t>
  </si>
  <si>
    <t xml:space="preserve">Adhesif de masquage 30 mm</t>
  </si>
  <si>
    <t xml:space="preserve">Ruban adhésif de masquage 101E 50 m x 18 mm 3M 101E18</t>
  </si>
  <si>
    <t xml:space="preserve">Film de protection sol 25 m</t>
  </si>
  <si>
    <t xml:space="preserve">Film de protection de façade ULTIBAT épaisseur 50µ 1x75m soit 75m²</t>
  </si>
  <si>
    <t xml:space="preserve">Bache de protection 4x5 m</t>
  </si>
  <si>
    <t xml:space="preserve">Bâche de protection à œillet 4x5m CORDERIES TOURNONAISES 48640405</t>
  </si>
  <si>
    <t xml:space="preserve">Abrasif papier de verre grain 120</t>
  </si>
  <si>
    <t xml:space="preserve">Papier abrasif perforé SEA en corindon pour ponceuse vibrante - 93 x 230 mm - grain 120 - lot de 5</t>
  </si>
  <si>
    <t xml:space="preserve">Lessive de decapage / St Marc</t>
  </si>
  <si>
    <t xml:space="preserve">Lessive de soude pour décapage, décollage et débouchage - Mieuxa - Bouteille 1L</t>
  </si>
  <si>
    <t xml:space="preserve">Toile de verre a peindre maille</t>
  </si>
  <si>
    <t xml:space="preserve">Toile en fibre de verre tissée N0130 motif maille 130 g/m² L. 50 x l. 1m</t>
  </si>
  <si>
    <t xml:space="preserve">Colle pour toile de verre 20 kg</t>
  </si>
  <si>
    <t xml:space="preserve">Colle pour toiles de verre OVALIT V seau de 10 kg</t>
  </si>
  <si>
    <t xml:space="preserve">Papier peint intisse</t>
  </si>
  <si>
    <t xml:space="preserve">Décolleur papier peint et affiches D'COL 1 l DALEP 406001</t>
  </si>
  <si>
    <t xml:space="preserve">Carrelage gres cerame 60x60 interieur</t>
  </si>
  <si>
    <t xml:space="preserve">Carrelage grès cérame émaillé Carioca - sol/mur intérieur - blanc - 60x60 cm</t>
  </si>
  <si>
    <t xml:space="preserve">Faience murale 20x50</t>
  </si>
  <si>
    <t xml:space="preserve">Décor faïence murale effet "béton" CINTAS - 20x60 cm</t>
  </si>
  <si>
    <t xml:space="preserve">Plinthe carrelage assortie</t>
  </si>
  <si>
    <t xml:space="preserve">Plinthe carrelage effet parquet en grès cérame rectifié - New Derby - 120,0 CM x 6,50 CM - Betulla</t>
  </si>
  <si>
    <t xml:space="preserve">Colle carrelage C2 sac 25 kg</t>
  </si>
  <si>
    <t xml:space="preserve">Colle en poudre WEBERCOL GRES C2 gris sac de 25 kg</t>
  </si>
  <si>
    <t xml:space="preserve">Joint de carrelage 5 kg</t>
  </si>
  <si>
    <t xml:space="preserve">Joint carrelage fin tous terrains blanc sac de 5 kg BOSTIK 30121641</t>
  </si>
  <si>
    <t xml:space="preserve">Croisillon auto-nivelant 2 mm</t>
  </si>
  <si>
    <t xml:space="preserve">Sachet de 300 croisillons 2 mm pour joints RUBI 02901</t>
  </si>
  <si>
    <t xml:space="preserve">Natte de desolidarisation</t>
  </si>
  <si>
    <t xml:space="preserve">Natte d'étanchéité et de désolidarisation sous carrelage Schlüter-DITRA - 1,00 m x 30,00 m</t>
  </si>
  <si>
    <t xml:space="preserve">Systeme d'etancheite sous carrelage SEL</t>
  </si>
  <si>
    <t xml:space="preserve">kit</t>
  </si>
  <si>
    <t xml:space="preserve">Système d'étanchéité liquide sous carrelage Proli Imper 598 ParexGroup seau de 7 kg</t>
  </si>
  <si>
    <t xml:space="preserve">Parquet stratifie 8 mm classe 32</t>
  </si>
  <si>
    <t xml:space="preserve">Nettoyant doux 1 l pour parquets et sols stratifiés STARWAX 996</t>
  </si>
  <si>
    <t xml:space="preserve">Sous-couche acoustique parquet</t>
  </si>
  <si>
    <t xml:space="preserve">Sous-couche acoustique pour parquet Silent Walk - rouleau de 7m² - ép. 2 mm</t>
  </si>
  <si>
    <t xml:space="preserve">Plinthe PVC souple</t>
  </si>
  <si>
    <t xml:space="preserve">Profil bavette PVC pour plinthe 16/19 mm translucide 2 m 60 RCP1619</t>
  </si>
  <si>
    <t xml:space="preserve">Barre de seuil aluminium</t>
  </si>
  <si>
    <t xml:space="preserve">Barre de seuil de porte multi-niveaux Harmony aluminium plaxé teinte pin oslo 41x930 mm Réf. 772148D 00</t>
  </si>
  <si>
    <t xml:space="preserve">Ragreage autolissant 25 kg</t>
  </si>
  <si>
    <t xml:space="preserve">Ragréage autolissant CARROSOL 3 sols intérieurs 1,6 kg/m²/mm sac de 25 kg</t>
  </si>
  <si>
    <t xml:space="preserve">Primaire d'accrochage sol 5 L</t>
  </si>
  <si>
    <t xml:space="preserve">bidon</t>
  </si>
  <si>
    <t xml:space="preserve">Primaire d'accrochage  CombiPrimer® 750 ml RUST-OLEUM 3302.0.75</t>
  </si>
  <si>
    <t xml:space="preserve">Bloc-porte interieur alveolaire 83 cm</t>
  </si>
  <si>
    <t xml:space="preserve">Bloc-porte alvéolaire à rive droite - prépeint - huisserie H72 - serrure PDDT - poussant droit - 204x73 cm</t>
  </si>
  <si>
    <t xml:space="preserve">Bloc-porte coupe-feu 1/2 h</t>
  </si>
  <si>
    <t xml:space="preserve">Bloc-porte alvéolaire prépeint 204x93cm poussant gauche rive droite H86 Perf+ résineux avec joint 3 paumelles - serrure pêne dormant 1/2 tou</t>
  </si>
  <si>
    <t xml:space="preserve">Porte de service acier exterieure</t>
  </si>
  <si>
    <t xml:space="preserve">Bloc-porte de service acier réversible EUROPRO 2040 x 830mm RAL9016 2 paumelles blanc serrure 1 point poignée et garniture syntHnoire Réf. 6</t>
  </si>
  <si>
    <t xml:space="preserve">Huisserie metallique cloison</t>
  </si>
  <si>
    <t xml:space="preserve">Lame universel mâle pour huisserie métallique droite 35 x 43 mm acier zingué BOURG M-789081</t>
  </si>
  <si>
    <t xml:space="preserve">Tasseau sapin 27x40 mm</t>
  </si>
  <si>
    <t xml:space="preserve">Tasseau Sapin du Nord raboté 4 faces - Classe 2 incolore - 45 MM x 22,00 MM - Long. 4,20 M</t>
  </si>
  <si>
    <t xml:space="preserve">Panneau OSB 3 - 18 mm</t>
  </si>
  <si>
    <t xml:space="preserve">Panneau OSB 3 avec 4 bords droits - SterlingOSB3-Zero - West Fraser - 2500,0 MM x 1250 MM - ép. 18,00 MM</t>
  </si>
  <si>
    <t xml:space="preserve">Panneau MDF 19 mm</t>
  </si>
  <si>
    <t xml:space="preserve">Panneau de MDF brut milieu sec - Clairpan LF+ - densité 760 kg/m3 format 244x122cm ép. 3mm - Résineux - Réf. 52656</t>
  </si>
  <si>
    <t xml:space="preserve">Contreplaque CTBX 15 mm</t>
  </si>
  <si>
    <t xml:space="preserve">Contreplaqué Okoumé classe 3 ép. 15 x L. 2500 x l. 1220 mm</t>
  </si>
  <si>
    <t xml:space="preserve">Plinthe MDF 70 mm</t>
  </si>
  <si>
    <t xml:space="preserve">Plinthe arrondie en MDF prépeint en blanc - section de 10 mm x 70 mm - longueur 2440 mm</t>
  </si>
  <si>
    <t xml:space="preserve">Chant plaque melamine</t>
  </si>
  <si>
    <t xml:space="preserve">Baguette d'arrêt Siniat en PVC blanc pour la protection des chants de plaque de plâtre BA13 - 2,50 M</t>
  </si>
  <si>
    <t xml:space="preserve">Charniere invisible 35 mm</t>
  </si>
  <si>
    <t xml:space="preserve">Charnière invisible en acier nickelé 94° déport 17 mm ø 35 mm - 2 pièces</t>
  </si>
  <si>
    <t xml:space="preserve">Coulisse de tiroir 450 mm</t>
  </si>
  <si>
    <t xml:space="preserve">paire</t>
  </si>
  <si>
    <t xml:space="preserve">Coulisse à galets 30 kg blanc crème sortie simple 450 mm BLUM COU230450BC</t>
  </si>
  <si>
    <t xml:space="preserve">Verin a gaz pour abattant</t>
  </si>
  <si>
    <t xml:space="preserve">Vérin oléopneumatique Comtra à azote finition noir</t>
  </si>
  <si>
    <t xml:space="preserve">Poignee de meuble inox</t>
  </si>
  <si>
    <t xml:space="preserve">Poignée de meuble inox mat diamètre 10 mm entraxe 96 mm 155.01.231</t>
  </si>
  <si>
    <t xml:space="preserve">Vitrage feuillete 44.2</t>
  </si>
  <si>
    <t xml:space="preserve">Verre SGG Stadip 44/2 coupe brute (feuilleté 44.2)</t>
  </si>
  <si>
    <t xml:space="preserve">Joint silicone vitrage cartouche</t>
  </si>
  <si>
    <t xml:space="preserve">Mastic silicone pour joints de menuiseries et vitrages - SikaSeal 110 - Transparent - cartouche de 300 ml</t>
  </si>
  <si>
    <t xml:space="preserve">Ciment CEM II sac 25 kg</t>
  </si>
  <si>
    <t xml:space="preserve">Ciment prompt Vicat® sac de 1 kg BOSTIK 30602263</t>
  </si>
  <si>
    <t xml:space="preserve">Mortier pret a gacher 25 kg</t>
  </si>
  <si>
    <t xml:space="preserve">Mortier sec M10 pour travaux courants de maçonnerie - Obra - prêt à gâcher - sac de 25 kg</t>
  </si>
  <si>
    <t xml:space="preserve">Beton pret a l'emploi 25 kg</t>
  </si>
  <si>
    <t xml:space="preserve">Béton sans malaxage prêt à l'emploi - prise rapide - sac de 25 kg</t>
  </si>
  <si>
    <t xml:space="preserve">Ciment prompt 5 kg</t>
  </si>
  <si>
    <t xml:space="preserve">Sable a maconner 0/4 sac 35 kg</t>
  </si>
  <si>
    <t xml:space="preserve">Sable à maçonner 0/4 mm - Sac 25 kg</t>
  </si>
  <si>
    <t xml:space="preserve">Gravier 4/20 sac</t>
  </si>
  <si>
    <t xml:space="preserve">Gravier 4/20 mm - Sac 35 kg</t>
  </si>
  <si>
    <t xml:space="preserve">Parpaing creux 20x20x50</t>
  </si>
  <si>
    <t xml:space="preserve">AGGLO CREUX CH VRT NF 20X20X45 B.</t>
  </si>
  <si>
    <t xml:space="preserve">Brique platriere 5 cm</t>
  </si>
  <si>
    <t xml:space="preserve">Brique de cloison plâtrière à simple alvéole Biobric - R = 0,25 m².K/W - 385 MM x 200 MM - ép. 50,0 MM</t>
  </si>
  <si>
    <t xml:space="preserve">Carreau de platre 66x50x7</t>
  </si>
  <si>
    <t xml:space="preserve">Carreaux de plâtre hydrofuge LAFARGE 96337</t>
  </si>
  <si>
    <t xml:space="preserve">Treillis soude ST25</t>
  </si>
  <si>
    <t xml:space="preserve">Treillis soudé de structure ST25CS - 3,00x2,40 m - maille de 15 x 15 CM - fil Ø7 MM</t>
  </si>
  <si>
    <t xml:space="preserve">Fer a beton HA 10 mm</t>
  </si>
  <si>
    <t xml:space="preserve">Barre de fer à béton torsadée - en acier HLE - diamètre 10 MM - longueur 6,00 ml</t>
  </si>
  <si>
    <t xml:space="preserve">Chainage prefabrique 4 HA 8</t>
  </si>
  <si>
    <t xml:space="preserve">Chaînage acier zone 1 et 2 L. 6 m x l. 4 cm x h. 10 cm 2 filants Ø 10 mm espacement 46</t>
  </si>
  <si>
    <t xml:space="preserve">Film polyane 200 microns</t>
  </si>
  <si>
    <t xml:space="preserve">Film bâtiment polyéthylène étanche 200 µ 3 m 110 m² FISTTR25K320</t>
  </si>
  <si>
    <t xml:space="preserve">Enduit d'impermeabilisation soubassement</t>
  </si>
  <si>
    <t xml:space="preserve">kg</t>
  </si>
  <si>
    <t xml:space="preserve">Enduit épais d'imperméabilisation monocomposant WEBERDRY ENDUIT gris ciment sac de 25 kg</t>
  </si>
  <si>
    <t xml:space="preserve">Membrane d'etancheite bitumineuse</t>
  </si>
  <si>
    <t xml:space="preserve">Membrane d'étanchéité bitumineuse pour toiture-terrasse - HYRENE 25/25 TS Axter - Rouleau de 1 m x 7 ml</t>
  </si>
  <si>
    <t xml:space="preserve">Sac a gravats renforce</t>
  </si>
  <si>
    <t xml:space="preserve">Sac à gravats Baobag - Polyéthylène basse densité - 150 microns - Capacité 75 litres - Noir</t>
  </si>
  <si>
    <t xml:space="preserve">Big bag 1 m3</t>
  </si>
  <si>
    <t xml:space="preserve">Big-bag POINT.P 4 faces oranges vide - volume maxi 200 l (1/5 m3) - résistance maxi 400 kg</t>
  </si>
  <si>
    <t xml:space="preserve">Scellement chimique cartouche 300 ml</t>
  </si>
  <si>
    <t xml:space="preserve">Résine de scellement chimique hybride ton béton 300 ml ULTIMA CCAF02</t>
  </si>
  <si>
    <t xml:space="preserve">Tige filetee zinguee M10 1 m</t>
  </si>
  <si>
    <t xml:space="preserve">Tige filetée inox A2 DIN 976 1 m M10 ULTIMA 6265010</t>
  </si>
  <si>
    <t xml:space="preserve">Vis a bois tete fraisee 4x40 boite 200</t>
  </si>
  <si>
    <t xml:space="preserve">Vis à bois agglomérés tête fraisée Torx inox A2 4X40/24 boîte de 200 ULTIMA 12640040</t>
  </si>
  <si>
    <t xml:space="preserve">Vis a bois tete fraisee 5x70 boite 100</t>
  </si>
  <si>
    <t xml:space="preserve">Vis à bois agglomérés tête fraisée Pozidriv inox A2 5X30 boîte de 100 ULTIMA 12550030</t>
  </si>
  <si>
    <t xml:space="preserve">Vis autoperceuse tete hexagonale 6,3x25</t>
  </si>
  <si>
    <t xml:space="preserve">Vis auto-perceuse tête hexagonale avec embase zingué DIN 7504-K 6,3X25 boîte de 250 ULTIMA 15563254</t>
  </si>
  <si>
    <t xml:space="preserve">Vis a metaux M6x40 inox</t>
  </si>
  <si>
    <t xml:space="preserve">Vis à métaux tête hexagonale inox A2 classe 8.8 DIN 933 6X40 boîte de 200 ACTON 621016X40</t>
  </si>
  <si>
    <t xml:space="preserve">Tirefond 8x80 avec rondelle</t>
  </si>
  <si>
    <t xml:space="preserve">Tirefond tête hexagonale acier zingué 8x80-vybac x32</t>
  </si>
  <si>
    <t xml:space="preserve">Cheville nylon 8 mm boite 100</t>
  </si>
  <si>
    <t xml:space="preserve">Cheville à expansion nylon sans collerette 8 X 40 mm boîte de 100 SCELL-IT DS08</t>
  </si>
  <si>
    <t xml:space="preserve">Cheville a frapper 6x40</t>
  </si>
  <si>
    <t xml:space="preserve">Chevilles à frapper NS nylon 6X40 boîte de 50 FISCHER 50354</t>
  </si>
  <si>
    <t xml:space="preserve">Goujon d'ancrage M8x80</t>
  </si>
  <si>
    <t xml:space="preserve">Goujon d'ancrage FIX Z XTREM M8x90/40-27 A4 boite de 50 SPIT 058618</t>
  </si>
  <si>
    <t xml:space="preserve">Cheville chimique tamis</t>
  </si>
  <si>
    <t xml:space="preserve">Tamis plastique 12x45 (M6-M8) boîte de 10 SPIT 565012</t>
  </si>
  <si>
    <t xml:space="preserve">Boulon TH M8x60 zingue</t>
  </si>
  <si>
    <t xml:space="preserve">Boulon à tête hexagonale acier zingué blanc - classe 8.8 DIN 931/934 8X60 BTE100 ULTIMA AFB9888060</t>
  </si>
  <si>
    <t xml:space="preserve">Ecrou frein M8</t>
  </si>
  <si>
    <t xml:space="preserve">Ecrou frein nylstop zingué classe 8 M8 boite de 200 ULTIMA AFB9858</t>
  </si>
  <si>
    <t xml:space="preserve">Rondelle plate M8</t>
  </si>
  <si>
    <t xml:space="preserve">RONDELLE PLATE M8X18X1.5 50001174/000</t>
  </si>
  <si>
    <t xml:space="preserve">Equerre de fixation 70x70</t>
  </si>
  <si>
    <t xml:space="preserve">Équerre de fixation nervurée CQFD - 3 pans 70x70x30 mm épaisseur 1,5 mm - acier zingué</t>
  </si>
  <si>
    <t xml:space="preserve">Sabot de charpente 50x100</t>
  </si>
  <si>
    <t xml:space="preserve">Cheville sabot de charpente ING FIXATIONS A853035</t>
  </si>
  <si>
    <t xml:space="preserve">Feuillard perfore galvanise</t>
  </si>
  <si>
    <t xml:space="preserve">Feuillard perforé rouleau de 100m FP7 Ref. 64502</t>
  </si>
  <si>
    <t xml:space="preserve">Mastic acrylique blanc cartouche</t>
  </si>
  <si>
    <t xml:space="preserve">Mastic acrylique d'étanchéité ACRYL S blanc cartouche 310 ml BOSTIK 30613629</t>
  </si>
  <si>
    <t xml:space="preserve">Mastic silicone sanitaire cartouche</t>
  </si>
  <si>
    <t xml:space="preserve">Mastic silicone sanitaire blanc - MS305-BLANC</t>
  </si>
  <si>
    <t xml:space="preserve">Colle-mastic polymere MS cartouche</t>
  </si>
  <si>
    <t xml:space="preserve">Mastic-colle polymère hybride FIX ALL CRYSTAL cartouche 290 ml SOUDAL 110980</t>
  </si>
  <si>
    <t xml:space="preserve">Mousse expansive polyurethane 750 ml</t>
  </si>
  <si>
    <t xml:space="preserve">aerosol</t>
  </si>
  <si>
    <t xml:space="preserve">Mousse polyuréthane aérosol manuelle 750 ml ULTIMA 16090</t>
  </si>
  <si>
    <t xml:space="preserve">Colle neoprene contact 750 ml</t>
  </si>
  <si>
    <t xml:space="preserve">Colle néoprène contact gel bidon 4,25 kg PATTEX 1419285</t>
  </si>
  <si>
    <t xml:space="preserve">Casque de chantier avec jugulaire</t>
  </si>
  <si>
    <t xml:space="preserve">Jugulaire de casque de chantier - cuir - 12x50x1,2 mm</t>
  </si>
  <si>
    <t xml:space="preserve">Chaussures de securite S3</t>
  </si>
  <si>
    <t xml:space="preserve">Chaussures sécu basses T45 Séoul</t>
  </si>
  <si>
    <t xml:space="preserve">Gants de manutention taille 10</t>
  </si>
  <si>
    <t xml:space="preserve">Gant manutention de précision - milieu sec - tous travaux -taille 8 Novipro</t>
  </si>
  <si>
    <t xml:space="preserve">Lunettes de protection incolores</t>
  </si>
  <si>
    <t xml:space="preserve">OPSIAL Lunettes à branches OP'LINE - incolore - bleu</t>
  </si>
  <si>
    <t xml:space="preserve">Masque FFP2 boite de 20</t>
  </si>
  <si>
    <t xml:space="preserve">Boite de 20 masques pliables jetables FFP2 NR sans valve BFE &gt; 95 % MASQUES11</t>
  </si>
  <si>
    <t xml:space="preserve">Casque antibruit</t>
  </si>
  <si>
    <t xml:space="preserve">Casque antibruit silver 27</t>
  </si>
  <si>
    <t xml:space="preserve">Harnais antichute 2 points</t>
  </si>
  <si>
    <t xml:space="preserve">Kit harnais antichute Levac spécial nacelle avec longe de retenue et 2 mousquetons</t>
  </si>
  <si>
    <t xml:space="preserve">Gilet haute visibilite jaune</t>
  </si>
  <si>
    <t xml:space="preserve">Gilet haute visibilité Yard Coverguard avec fermeture centrale par scratchs jaune - Taille XL</t>
  </si>
  <si>
    <t xml:space="preserve">Disque diamant 125 mm multi-materiaux</t>
  </si>
  <si>
    <t xml:space="preserve">Disque diamant segments soudés laser - matériaux de construction - Novipro - diamètre 125 x 22,2 - hauteur segments 10 mm</t>
  </si>
  <si>
    <t xml:space="preserve">Foret beton SDS 10x160</t>
  </si>
  <si>
    <t xml:space="preserve">Foret béton SDS Plus 4 taillants diamètre 5 x 110 mm HANGER THOR 155721</t>
  </si>
  <si>
    <t xml:space="preserve">Embout de vissage PZ2 boite</t>
  </si>
  <si>
    <t xml:space="preserve">Assortiment de 3 embouts de vissage courts qualité extra-dure PH2 - PZ2 - S1x5,5 L 25 mm BOSCH 2607001766</t>
  </si>
  <si>
    <t xml:space="preserve">Lame de scie sauteuse bois</t>
  </si>
  <si>
    <t xml:space="preserve">Lame scie sauteuse bois pvc HCS B-11 Makita coupe fine et grossière - Lot de 5</t>
  </si>
  <si>
    <t xml:space="preserve">Cutter a lame secable + lames</t>
  </si>
  <si>
    <t xml:space="preserve">Lame cutter sécable</t>
  </si>
  <si>
    <t xml:space="preserve">Adhesif toile gaffer 50 mm</t>
  </si>
  <si>
    <t xml:space="preserve">Ruban adhésif toilé orange 50 mm x 25 m EUROCEL 031302357</t>
  </si>
  <si>
    <t xml:space="preserve">Chiffons d'essuyage carton</t>
  </si>
  <si>
    <t xml:space="preserve">carton</t>
  </si>
  <si>
    <t xml:space="preserve">Chiffon d'essuyage blanc optique coton qualité+ 10 kg PROUST B1</t>
  </si>
  <si>
    <t xml:space="preserve">Sac poubelle chantier 130 L</t>
  </si>
  <si>
    <t xml:space="preserve">100 sacs poubelle noirs 130 l PEBD standard TOUSSAC SAC130150</t>
  </si>
  <si>
    <t xml:space="preserve">Ruban de signalisation rouge et blanc</t>
  </si>
  <si>
    <t xml:space="preserve">Ruban de signalisation rouge et blanc 500 m x 50 mm TALIAPLAST 540501</t>
  </si>
  <si>
    <t xml:space="preserve">Cone de chantier 50 cm</t>
  </si>
  <si>
    <t xml:space="preserve">Cône de chantier PEBD H50 orange avec bandes fluo NOVAP 3225341</t>
  </si>
  <si>
    <t xml:space="preserve">Barriere de chantier</t>
  </si>
  <si>
    <t xml:space="preserve">Barrière de chantier rouge et blanche en acier 1,5 x 1 m avec plaque</t>
  </si>
  <si>
    <t xml:space="preserve">Perforateur SDS-Plus 18 V</t>
  </si>
  <si>
    <t xml:space="preserve">Foret SDS Plus-5 pour perforateur - Ø 8x100/165 mm</t>
  </si>
  <si>
    <t xml:space="preserve">Perceuse-visseuse 18 V 2 batteries</t>
  </si>
  <si>
    <t xml:space="preserve">Perceuse visseuse à percussion BPD 12 volts sans batterie</t>
  </si>
  <si>
    <t xml:space="preserve">Meuleuse d'angle 125 mm</t>
  </si>
  <si>
    <t xml:space="preserve">Meule de tronçonnage ultra mince pour meuleuse d'angle - métal inox - Ø125 mm - ép. 1,6 mm - alésage 22,2 mm</t>
  </si>
  <si>
    <t xml:space="preserve">Scie circulaire 190 mm</t>
  </si>
  <si>
    <t xml:space="preserve">Lame de scie circulaire diamètre 190mm 18 dents réf. 752436</t>
  </si>
  <si>
    <t xml:space="preserve">Aspirateur de chantier 30 L</t>
  </si>
  <si>
    <t xml:space="preserve">Aspirateur de chantier 1000 W AS 2-250 ELCP 25 L en boîte en carton MILWAUKEE 4933447480</t>
  </si>
  <si>
    <t xml:space="preserve">Telemetre laser 40 m</t>
  </si>
  <si>
    <t xml:space="preserve">Télémètre laser R-40 Edia - portée de 40 mètres - diode 635 nm Classe II - IP54</t>
  </si>
  <si>
    <t xml:space="preserve">Niveau laser croix automatique</t>
  </si>
  <si>
    <t xml:space="preserve">Niveau laser croix - Edia EDCR30M - rouge à pile filetage 1/4"</t>
  </si>
  <si>
    <t xml:space="preserve">Metre ruban 5 m</t>
  </si>
  <si>
    <t xml:space="preserve">Mètre à Ruban RUBIFLEX 5m x 19mm 75901</t>
  </si>
  <si>
    <t xml:space="preserve">Niveau a bulle 100 cm</t>
  </si>
  <si>
    <t xml:space="preserve">Niveau tubulaire aluminium 100 cm WILMART 522006</t>
  </si>
  <si>
    <t xml:space="preserve">Multimetre numerique TRMS</t>
  </si>
  <si>
    <t xml:space="preserve">Multimètre numérique de poche TT118</t>
  </si>
  <si>
    <t xml:space="preserve">Pince amperemetrique</t>
  </si>
  <si>
    <t xml:space="preserve">BOSCH Cordon de mesure MS 90 pour pince ampèremétrique GFM/GMC Testeur de tension GVT Multimètre GDM 1 noir et 1 rouge</t>
  </si>
  <si>
    <t xml:space="preserve">Caisse a outils electricien garnie</t>
  </si>
  <si>
    <t xml:space="preserve">SAM Caisse textile 39 Litres avec 122 outils pour électricien CP-ELEC1</t>
  </si>
  <si>
    <t xml:space="preserve">Pince coupante isolee 1000 V</t>
  </si>
  <si>
    <t xml:space="preserve">XHANDER Pince coupante isolée VDE 1000V manche bi-matière- Longueur : 160 mm - Capacité de coupe : 1.6 mm</t>
  </si>
  <si>
    <t xml:space="preserve">Tournevis isole jeu 6 pieces</t>
  </si>
  <si>
    <t xml:space="preserve">jeu</t>
  </si>
  <si>
    <t xml:space="preserve">Tournevis Phillips SoftFinish Isolé 1000 V PH1 x 80 mm</t>
  </si>
  <si>
    <t xml:space="preserve">Escabeau 5 marches</t>
  </si>
  <si>
    <t xml:space="preserve">Escabeau Théard - Escadouble - 3 marches Réf. 29403</t>
  </si>
  <si>
    <t xml:space="preserve">Echelle telescopique 3,80 m</t>
  </si>
  <si>
    <t xml:space="preserve">Échelle télescopique en aluminium X-SCOPIC Tubesca - hauteur pliée 0,90 M - hauteur dépliée 3,80 M - hauteur d'accès max 4,70 M</t>
  </si>
  <si>
    <t xml:space="preserve">Filtre a air G4 pour CTA</t>
  </si>
  <si>
    <t xml:space="preserve">Filtre à air pour souffleur STIHL 4229-120-1800</t>
  </si>
  <si>
    <t xml:space="preserve">Courroie trapezoidale moteur</t>
  </si>
  <si>
    <t xml:space="preserve">ATLANTIC CLIMATISATION &amp; VENTILATION Courroie trapézoïdale crantée - Pièce de rechange origine fabricant</t>
  </si>
  <si>
    <t xml:space="preserve">Roulement a billes 6204</t>
  </si>
  <si>
    <t xml:space="preserve">Roulement à billes de butée D16 FESTOOL 493062</t>
  </si>
  <si>
    <t xml:space="preserve">Fusible cylindrique 10x38 16 A</t>
  </si>
  <si>
    <t xml:space="preserve">MERSEN (EX FERRAZ SHAWMUT) Fusible cartouche cylindrique aM 10x38 CEI 500VAC 16A</t>
  </si>
  <si>
    <t xml:space="preserve">Relais thermique moteur</t>
  </si>
  <si>
    <t xml:space="preserve">SCHNEIDER ELECTRIC TeSys LRD - relais de protection thermique - 2,5..4A - classe 10A</t>
  </si>
  <si>
    <t xml:space="preserve">Contacteur de puissance 25 A</t>
  </si>
  <si>
    <t xml:space="preserve">Contacteur de puissance CX³ 2P 250 V 25 A 1 module LEGRAND 412523</t>
  </si>
  <si>
    <t xml:space="preserve">Presse-etoupe PE 16</t>
  </si>
  <si>
    <t xml:space="preserve">Embout presse-étoupe Plexo 1 entrée PG16 gris</t>
  </si>
  <si>
    <t xml:space="preserve">Degrippant lubrifiant 400 ml</t>
  </si>
  <si>
    <t xml:space="preserve">Dégrippant lubrifiant haute performance BX 112 en aérosol 650 ml - 400 ml - KF - 6055</t>
  </si>
  <si>
    <t xml:space="preserve">Graisse multi-usage cartouche</t>
  </si>
  <si>
    <t xml:space="preserve">Tube de graisse multi-usages Stihl MULTILUB 225 g - 0781-120-1110</t>
  </si>
  <si>
    <t xml:space="preserve">Nettoyant contacts electriques</t>
  </si>
  <si>
    <t xml:space="preserve">Nettoyant contacts Specialist - aérosol de 400 ml</t>
  </si>
  <si>
    <t xml:space="preserve">Deboucheur canalisation professionnel</t>
  </si>
  <si>
    <t xml:space="preserve">Kit débouche canalisations 15 m KÄRCHER 26377670</t>
  </si>
  <si>
    <t xml:space="preserve">Furet de debouchage 10 m</t>
  </si>
  <si>
    <t xml:space="preserve">Déboucheur manuel à tambour, canalisations 25 à 50 mm</t>
  </si>
  <si>
    <t xml:space="preserve">Anticalcaire chauffe-eau</t>
  </si>
  <si>
    <t xml:space="preserve">Filtre anticalcaire auto-nettoyant AQUANET 3 MERKUR 101183</t>
  </si>
  <si>
    <t xml:space="preserve">Pile alcaline LR6 pack de 10</t>
  </si>
  <si>
    <t xml:space="preserve">pack</t>
  </si>
  <si>
    <t xml:space="preserve">Piles alcalines HIGH ENERGY LR6 1,5 V AA VARTA 4906121428</t>
  </si>
  <si>
    <t xml:space="preserve">Pile lithium CR123 detecteur</t>
  </si>
  <si>
    <t xml:space="preserve">Pile lithium CR123 x 1 3 V 1430 mAh VARTA</t>
  </si>
  <si>
    <t xml:space="preserve">Batterie plomb 12 V 7 Ah alarme</t>
  </si>
  <si>
    <t xml:space="preserve">Niveau laser à 2 lignes 4V Milwaukee L4 CLLP-301C + aplomb + batterie 3 Ah - 4933478099</t>
  </si>
  <si>
    <t xml:space="preserve">ENSEIGNE LA MOINS CHÈRE PAR LOT</t>
  </si>
  <si>
    <t xml:space="preserve">Enseigne recommandée</t>
  </si>
  <si>
    <t xml:space="preserve">Articles gagnés</t>
  </si>
  <si>
    <t xml:space="preserve">Au 32 · Rexel 12 · YESSS 5 · Point.P 3</t>
  </si>
  <si>
    <t xml:space="preserve">Au 15 · YESSS 6 · Rexel 3</t>
  </si>
  <si>
    <t xml:space="preserve">Au 11 · Rexel 5 · Point.P 2 · Prolians 1</t>
  </si>
  <si>
    <t xml:space="preserve">Au 24 · Point.P 10 · Chausson 6 · La 4</t>
  </si>
  <si>
    <t xml:space="preserve">Au 14 · Point.P 7 · Rexel 2 · YESSS 2 · Chausson 1</t>
  </si>
  <si>
    <t xml:space="preserve">Au 12 · Chausson 11 · Prolians 6 · Point.P 3 · YESSS 1</t>
  </si>
  <si>
    <t xml:space="preserve">Au 6 · YESSS 2 · Prolians 2 · Point.P 1 · Rexel 1</t>
  </si>
  <si>
    <t xml:space="preserve">Point.P 11 · Au 7 · La 2 · SFIC 2 · Chausson 1</t>
  </si>
  <si>
    <t xml:space="preserve">Au 8 · Chausson 8 · La 4 · Point.P 3</t>
  </si>
  <si>
    <t xml:space="preserve">Au 5 · Chausson 4 · Point.P 3 · La 2</t>
  </si>
  <si>
    <t xml:space="preserve">Chausson 5 · Point.P 4 · Au 4 · La 2 · SFIC 1</t>
  </si>
  <si>
    <t xml:space="preserve">Chausson 7 · Au 6 · La 4 · Point.P 2</t>
  </si>
  <si>
    <t xml:space="preserve">Au 17 · Point.P 2 · Chausson 1</t>
  </si>
  <si>
    <t xml:space="preserve">Au 8 · Point.P 6 · Chausson 4 · Prolians 1</t>
  </si>
  <si>
    <t xml:space="preserve">Point.P 7 · Chausson 4 · Prolians 3 · Au 2</t>
  </si>
  <si>
    <t xml:space="preserve">Au 10 · Rexel 3 · YESSS 1 · Point.P 1 · Prolians 1</t>
  </si>
  <si>
    <t xml:space="preserve">CONTRÔLES DE COHÉRENCE</t>
  </si>
  <si>
    <t xml:space="preserve">Chaque ligne signalée demande une vérification avant reprise dans un devis client. Le catalogue ne contient aucun prix estimé : une ligne sans prix vérifié reste vide.</t>
  </si>
  <si>
    <t xml:space="preserve">Nature du contrôle</t>
  </si>
  <si>
    <t xml:space="preserve">Ce qu'il faut faire</t>
  </si>
  <si>
    <t xml:space="preserve">Correspondance article/produit à confirmer</t>
  </si>
  <si>
    <t xml:space="preserve">Ouvrir la fiche fournisseur et confirmer que le produit correspond bien à l'article</t>
  </si>
  <si>
    <t xml:space="preserve">Prix pour un conditionnement — ramener au prix unitaire</t>
  </si>
  <si>
    <t xml:space="preserve">Diviser par la quantité du conditionnement pour obtenir le prix unitaire</t>
  </si>
  <si>
    <t xml:space="preserve">Prise de courant plan de travail escamotable</t>
  </si>
  <si>
    <t xml:space="preserve">— à renseigner —</t>
  </si>
  <si>
    <t xml:space="preserve">Aucune offre chez vos 8 fournisseurs — article à sourcer</t>
  </si>
  <si>
    <t xml:space="preserve">Sourcer l'article chez un fournisseur spécialisé, ou le retirer de la nomenclature</t>
  </si>
  <si>
    <t xml:space="preserve">Repere de cablage / bague de reperage</t>
  </si>
  <si>
    <t xml:space="preserve">Cable U/UTP categorie 6 touret 100 m</t>
  </si>
  <si>
    <t xml:space="preserve">Enregistreur NVR 8 voies</t>
  </si>
  <si>
    <t xml:space="preserve">Montant élevé pour une unité « u » — vérifier qu'il ne s'agit pas d'un touret, d'une couronne ou d'un lot complet</t>
  </si>
  <si>
    <t xml:space="preserve">Vérifier si le prix porte sur une couronne, un touret ou un lot entier plutôt que sur l'unité</t>
  </si>
  <si>
    <t xml:space="preserve">Prolians ne couvre pas le lot « 03 · Éclairage » — rapprochement à revoir</t>
  </si>
  <si>
    <t xml:space="preserve">Chercher cet article chez le fournisseur du métier concerné : le rapprochement actuel est peu crédible</t>
  </si>
  <si>
    <t xml:space="preserve">Tube cuivre recuit 12 mm couronne</t>
  </si>
  <si>
    <t xml:space="preserve">Aerotherme electrique tertiaire</t>
  </si>
  <si>
    <t xml:space="preserve">Fluide frigorigene R32 bouteille</t>
  </si>
  <si>
    <t xml:space="preserve">Barillet sur organigramme</t>
  </si>
  <si>
    <t xml:space="preserve">Rideau metallique - lame de rechange</t>
  </si>
  <si>
    <t xml:space="preserve">Profil acier tube carre 40x40x2</t>
  </si>
  <si>
    <t xml:space="preserve">Extincteur CO2 2 kg</t>
  </si>
  <si>
    <t xml:space="preserve">Support mural extincteur</t>
  </si>
  <si>
    <t xml:space="preserve">Ouvrant de desenfumage - verin</t>
  </si>
  <si>
    <t xml:space="preserve">Plan d'evacuation format A3</t>
  </si>
  <si>
    <t xml:space="preserve">Bloc de porte coupe-feu - joint intumescent</t>
  </si>
  <si>
    <t xml:space="preserve">Sol PVC en le</t>
  </si>
  <si>
    <t xml:space="preserve">Dalle PVC plombante</t>
  </si>
  <si>
    <t xml:space="preserve">Colle sol souple 14 kg</t>
  </si>
  <si>
    <t xml:space="preserve">Enduit de scellement rapide</t>
  </si>
  <si>
    <t xml:space="preserve">Condensateur permanent 8 uF</t>
  </si>
  <si>
    <t xml:space="preserve">Ampoule de rechange secours</t>
  </si>
  <si>
    <t xml:space="preserve">RÉCAPITULATIF</t>
  </si>
  <si>
    <t xml:space="preserve">Unité fournisseur différente de l'unité de métré</t>
  </si>
  <si>
    <t xml:space="preserve">Prix donné pour un conditionnement (sac, boîte, lot)</t>
  </si>
  <si>
    <t xml:space="preserve">Montant élevé au regard de l'unité</t>
  </si>
  <si>
    <t xml:space="preserve">Fournisseur hors de son domaine métier</t>
  </si>
  <si>
    <t xml:space="preserve">Aucune offre chez vos fournisseurs</t>
  </si>
  <si>
    <t xml:space="preserve">Code</t>
  </si>
  <si>
    <t xml:space="preserve">Sous-famille</t>
  </si>
  <si>
    <t xml:space="preserve">Unité de métré</t>
  </si>
  <si>
    <t xml:space="preserve">Prix public</t>
  </si>
  <si>
    <t xml:space="preserve">Remise</t>
  </si>
  <si>
    <t xml:space="preserve">Marque</t>
  </si>
  <si>
    <t xml:space="preserve">Réf. fournisseur</t>
  </si>
  <si>
    <t xml:space="preserve">Conditionnement</t>
  </si>
  <si>
    <t xml:space="preserve">trouvé</t>
  </si>
  <si>
    <t xml:space="preserve">rang</t>
  </si>
  <si>
    <t xml:space="preserve">ELE-001</t>
  </si>
  <si>
    <t xml:space="preserve">Protection modulaire</t>
  </si>
  <si>
    <t xml:space="preserve">Prix public HT</t>
  </si>
  <si>
    <t xml:space="preserve">GEWISS</t>
  </si>
  <si>
    <t xml:space="preserve">753206</t>
  </si>
  <si>
    <t xml:space="preserve">Élevée</t>
  </si>
  <si>
    <t xml:space="preserve">Votre tarif client</t>
  </si>
  <si>
    <t xml:space="preserve">HAGER Disjoncteur Phase + Neutre 10A 3kA Courbe C bornes à vis 1 Module</t>
  </si>
  <si>
    <t xml:space="preserve">HAGMFN710</t>
  </si>
  <si>
    <t xml:space="preserve">Votre tarif — Rexel</t>
  </si>
  <si>
    <t xml:space="preserve">ELE-002</t>
  </si>
  <si>
    <t xml:space="preserve">ABB470238</t>
  </si>
  <si>
    <t xml:space="preserve">Pièce</t>
  </si>
  <si>
    <t xml:space="preserve">Disjoncteur 16 A courbe C Phase + neutre GEWISS GW90607</t>
  </si>
  <si>
    <t xml:space="preserve">753207</t>
  </si>
  <si>
    <t xml:space="preserve">ELE-003</t>
  </si>
  <si>
    <t xml:space="preserve">753209</t>
  </si>
  <si>
    <t xml:space="preserve">ABB SN201SL Disjoncteur modulaire - 1P+N - 20A - courbe C- 4500A/6kA-peignable-Auto</t>
  </si>
  <si>
    <t xml:space="preserve">ABB470439</t>
  </si>
  <si>
    <t xml:space="preserve">ELE-004</t>
  </si>
  <si>
    <t xml:space="preserve">753211</t>
  </si>
  <si>
    <t xml:space="preserve">HAGER Disjoncteur Phase + Neutre 32A 3kA Courbe C bornes à vis 1 Module</t>
  </si>
  <si>
    <t xml:space="preserve">HAGMFN732</t>
  </si>
  <si>
    <t xml:space="preserve">ELE-005</t>
  </si>
  <si>
    <t xml:space="preserve">SCHNEIDER ELECTRIC</t>
  </si>
  <si>
    <t xml:space="preserve">610554</t>
  </si>
  <si>
    <t xml:space="preserve">À vérifier</t>
  </si>
  <si>
    <t xml:space="preserve">ELE-006</t>
  </si>
  <si>
    <t xml:space="preserve">HAGCDC742F</t>
  </si>
  <si>
    <t xml:space="preserve">Interrupteur différentiel Schneider Resi9 - type AC - peignable - alim bas - 2P - 40 A - 30 mA</t>
  </si>
  <si>
    <t xml:space="preserve">105552-1</t>
  </si>
  <si>
    <t xml:space="preserve">Interrupteur différentiel DX³-ID 2P 230 V 40 A type AC 30 mA LEGRAND 411611</t>
  </si>
  <si>
    <t xml:space="preserve">LEGRAND</t>
  </si>
  <si>
    <t xml:space="preserve">513754</t>
  </si>
  <si>
    <t xml:space="preserve">ELE-007</t>
  </si>
  <si>
    <t xml:space="preserve">Interrupteur différentiel Schneider Resi9 - type A - peignable - alim bas - 2P - 63 A - 30 mA</t>
  </si>
  <si>
    <t xml:space="preserve">105551-1</t>
  </si>
  <si>
    <t xml:space="preserve">513789</t>
  </si>
  <si>
    <t xml:space="preserve">ELE-008</t>
  </si>
  <si>
    <t xml:space="preserve">LEG410706</t>
  </si>
  <si>
    <t xml:space="preserve">Disjoncteur différentiel RESI9 1P+N 30mA courbe C type Fsi 20A - SCHNEIDER ELECTRIC - R9PDCF20</t>
  </si>
  <si>
    <t xml:space="preserve">750704</t>
  </si>
  <si>
    <t xml:space="preserve">Votre tarif net</t>
  </si>
  <si>
    <t xml:space="preserve">Disjoncteur différentiel Uni+Neutre 230V~ 16A 30mA Mosaic 2 modules  -  blanc</t>
  </si>
  <si>
    <t xml:space="preserve">LEGRAND S.N.C.</t>
  </si>
  <si>
    <t xml:space="preserve">077532</t>
  </si>
  <si>
    <t xml:space="preserve">Votre tarif — YESSS Électrique</t>
  </si>
  <si>
    <t xml:space="preserve">ELE-009</t>
  </si>
  <si>
    <t xml:space="preserve">ADY161244</t>
  </si>
  <si>
    <t xml:space="preserve">Parafoudre T2 modulaire débrochable Tri+N Imax:40kA</t>
  </si>
  <si>
    <t xml:space="preserve">ERIS</t>
  </si>
  <si>
    <t xml:space="preserve">AN40T+</t>
  </si>
  <si>
    <t xml:space="preserve">ELE-010</t>
  </si>
  <si>
    <t xml:space="preserve">EATON ELECTRIC</t>
  </si>
  <si>
    <t xml:space="preserve">000276275</t>
  </si>
  <si>
    <t xml:space="preserve">SIEMENS SAS sentron, interrupteur-sectionneur 3ld, interrupteur de coupure d'urgence, 3- pl</t>
  </si>
  <si>
    <t xml:space="preserve">SIE3LD2504-0TK53</t>
  </si>
  <si>
    <t xml:space="preserve">Interrupteur-sectionneur TESYS VARIO VCF en coffret 3P 32 A SCHNEIDER ELECTRIC VCF2GE</t>
  </si>
  <si>
    <t xml:space="preserve">647531</t>
  </si>
  <si>
    <t xml:space="preserve">ELE-011</t>
  </si>
  <si>
    <t xml:space="preserve">Contacteur jour / nuit - Intensité 20A - Tension 230 V - 1 module - Bornes acier zingué - Gris</t>
  </si>
  <si>
    <t xml:space="preserve">699671-1</t>
  </si>
  <si>
    <t xml:space="preserve">HAGETS221B</t>
  </si>
  <si>
    <t xml:space="preserve">Contacteur Jour/Nuit ESBN 20A 2 NO 230VAC/DC</t>
  </si>
  <si>
    <t xml:space="preserve">ABB FRANCE BASSE TENSION</t>
  </si>
  <si>
    <t xml:space="preserve">H300469</t>
  </si>
  <si>
    <t xml:space="preserve">ELE-012</t>
  </si>
  <si>
    <t xml:space="preserve">Télérupteur modulaire unipolaire Schneider Resi9 - impulsion de 50 ms - NF - 1 NO - 16 A - blanc</t>
  </si>
  <si>
    <t xml:space="preserve">105555-1</t>
  </si>
  <si>
    <t xml:space="preserve">3098938</t>
  </si>
  <si>
    <t xml:space="preserve">Votre tarif — Point.P</t>
  </si>
  <si>
    <t xml:space="preserve">LEGRAND Télérupteur CX³ unipolaire silencieux 230V~ 16A - 1 module</t>
  </si>
  <si>
    <t xml:space="preserve">LEG092710</t>
  </si>
  <si>
    <t xml:space="preserve">Télérupteur unipolaire 10AX 230V~ 50Hz à 60Hz intensité maximum acceptée 50mA</t>
  </si>
  <si>
    <t xml:space="preserve">049120</t>
  </si>
  <si>
    <t xml:space="preserve">ELE-013</t>
  </si>
  <si>
    <t xml:space="preserve">513852</t>
  </si>
  <si>
    <t xml:space="preserve">THEBEN Minuterie escalier electron 30s a 20 mn ELPA 7</t>
  </si>
  <si>
    <t xml:space="preserve">THB0070002</t>
  </si>
  <si>
    <t xml:space="preserve">Votre tarif — à valider</t>
  </si>
  <si>
    <t xml:space="preserve">ELE-014</t>
  </si>
  <si>
    <t xml:space="preserve">THEBEN</t>
  </si>
  <si>
    <t xml:space="preserve">172476</t>
  </si>
  <si>
    <t xml:space="preserve">ELE-015</t>
  </si>
  <si>
    <t xml:space="preserve">514369</t>
  </si>
  <si>
    <t xml:space="preserve">Peigne monobloc horizontal Schneider Resi9 pour 8 modules - découpable - 1P+N - 63A - avec 5 cache-dents</t>
  </si>
  <si>
    <t xml:space="preserve">182734-1</t>
  </si>
  <si>
    <t xml:space="preserve">Peigne bipolaire d\'alimentation universel pour une rangée ou un groupe d\'appareils - 6 modules</t>
  </si>
  <si>
    <t xml:space="preserve">404946</t>
  </si>
  <si>
    <t xml:space="preserve">ELE-016</t>
  </si>
  <si>
    <t xml:space="preserve">Tableau</t>
  </si>
  <si>
    <t xml:space="preserve">1CO2R24S</t>
  </si>
  <si>
    <t xml:space="preserve">ELE-017</t>
  </si>
  <si>
    <t xml:space="preserve">ELE-018</t>
  </si>
  <si>
    <t xml:space="preserve">668371</t>
  </si>
  <si>
    <t xml:space="preserve">Mini coffret étanche Schneider Kaedra pour appareillage modulaire - en saillie - 12 modules - gris clair - IP65</t>
  </si>
  <si>
    <t xml:space="preserve">105574-1</t>
  </si>
  <si>
    <t xml:space="preserve">Coffret étanche Plexo³ 2+1 modules IP65 IK09 - Gris</t>
  </si>
  <si>
    <t xml:space="preserve">001902</t>
  </si>
  <si>
    <t xml:space="preserve">IBOCO Coffret modulaire étanche Pablo 12 modules 750°C IP65 12M G</t>
  </si>
  <si>
    <t xml:space="preserve">IBOB06540</t>
  </si>
  <si>
    <t xml:space="preserve">ELE-019</t>
  </si>
  <si>
    <t xml:space="preserve">788768</t>
  </si>
  <si>
    <t xml:space="preserve">LEGRAND Répartiteur modulaire 4P 100A - 4 modules</t>
  </si>
  <si>
    <t xml:space="preserve">LEG400405</t>
  </si>
  <si>
    <t xml:space="preserve">ELE-020</t>
  </si>
  <si>
    <t xml:space="preserve">410512</t>
  </si>
  <si>
    <t xml:space="preserve">Bornier de répartition isolé IP2X terre - 4 connexions 1,5-16mm²- vert long.47mm</t>
  </si>
  <si>
    <t xml:space="preserve">004830</t>
  </si>
  <si>
    <t xml:space="preserve">LEGRAND Bornier de répartition isolé IP2X terre - 8x1,5mm² à 16mm² vert - longueur 75mm</t>
  </si>
  <si>
    <t xml:space="preserve">LEG004832</t>
  </si>
  <si>
    <t xml:space="preserve">ELE-021</t>
  </si>
  <si>
    <t xml:space="preserve">Cables</t>
  </si>
  <si>
    <t xml:space="preserve">FILS &amp; CABLES</t>
  </si>
  <si>
    <t xml:space="preserve">552674</t>
  </si>
  <si>
    <t xml:space="preserve">Ajustée — à valider</t>
  </si>
  <si>
    <t xml:space="preserve">Câble électrique rigide Distingo U-1000 R2V 3G1,5 - couronne de 25 m</t>
  </si>
  <si>
    <t xml:space="preserve">NEXANS</t>
  </si>
  <si>
    <t xml:space="preserve">7758130</t>
  </si>
  <si>
    <t xml:space="preserve">Rouleau</t>
  </si>
  <si>
    <t xml:space="preserve">ELE-022</t>
  </si>
  <si>
    <t xml:space="preserve">552676</t>
  </si>
  <si>
    <t xml:space="preserve">Câble rigide Distingo NX'TAG U-1000 R2V 3G2,5 - couronne de 50 m</t>
  </si>
  <si>
    <t xml:space="preserve">4293393</t>
  </si>
  <si>
    <t xml:space="preserve">ELE-023</t>
  </si>
  <si>
    <t xml:space="preserve">FILR2V5G6B25</t>
  </si>
  <si>
    <t xml:space="preserve">Couronne 25 m</t>
  </si>
  <si>
    <t xml:space="preserve">ELE-024</t>
  </si>
  <si>
    <t xml:space="preserve">FILH07VU1,5BEC100</t>
  </si>
  <si>
    <t xml:space="preserve">Couronne 100 m</t>
  </si>
  <si>
    <t xml:space="preserve">Fil électrique H07V-U Passeo 1x1,5 bleu - couronne de 100 m</t>
  </si>
  <si>
    <t xml:space="preserve">7598193</t>
  </si>
  <si>
    <t xml:space="preserve">ELE-025</t>
  </si>
  <si>
    <t xml:space="preserve">FILH07VU2,5BEC100</t>
  </si>
  <si>
    <t xml:space="preserve">Fil électrique de phase noir H07V-U - conducteur 2,5 mm² - 450/750 V - Ø 3,9 mm - couronne de 100 m</t>
  </si>
  <si>
    <t xml:space="preserve">DAUMESNIL</t>
  </si>
  <si>
    <t xml:space="preserve">3272318</t>
  </si>
  <si>
    <t xml:space="preserve">ELE-026</t>
  </si>
  <si>
    <t xml:space="preserve">FILH07VK6VJC100</t>
  </si>
  <si>
    <t xml:space="preserve">ELE-027</t>
  </si>
  <si>
    <t xml:space="preserve">ADALTRA (CAE DATA)</t>
  </si>
  <si>
    <t xml:space="preserve">CRCA30150T500</t>
  </si>
  <si>
    <t xml:space="preserve">Touret 500 m · tarif publié pour 1 000 m</t>
  </si>
  <si>
    <t xml:space="preserve">ELE-028</t>
  </si>
  <si>
    <t xml:space="preserve">Conduits</t>
  </si>
  <si>
    <t xml:space="preserve">CNT13021540</t>
  </si>
  <si>
    <t xml:space="preserve">Gaine ICTA pour câbles électriques diamètre 20 mm longueur 100 m gris avec tire-fil</t>
  </si>
  <si>
    <t xml:space="preserve">215752-1</t>
  </si>
  <si>
    <t xml:space="preserve">Bonne</t>
  </si>
  <si>
    <t xml:space="preserve">ELE-029</t>
  </si>
  <si>
    <t xml:space="preserve">COURANT Sponsorisé Flexpro+ noir tagp 25/100 - Gaine ICTA 3422 de qualité supérieure</t>
  </si>
  <si>
    <t xml:space="preserve">CNT13021940</t>
  </si>
  <si>
    <t xml:space="preserve">761461</t>
  </si>
  <si>
    <t xml:space="preserve">ELE-030</t>
  </si>
  <si>
    <t xml:space="preserve">138163</t>
  </si>
  <si>
    <t xml:space="preserve">ELE-031</t>
  </si>
  <si>
    <t xml:space="preserve">HAGER Goulotte de câblage BA7A 60x40mm PVC gris pierre</t>
  </si>
  <si>
    <t xml:space="preserve">HAGBA7A60040</t>
  </si>
  <si>
    <t xml:space="preserve">OBO BETTERMANN</t>
  </si>
  <si>
    <t xml:space="preserve">M226742</t>
  </si>
  <si>
    <t xml:space="preserve">ELE-032</t>
  </si>
  <si>
    <t xml:space="preserve">ELE-033</t>
  </si>
  <si>
    <t xml:space="preserve">3620402</t>
  </si>
  <si>
    <t xml:space="preserve">Barre 2,1 m</t>
  </si>
  <si>
    <t xml:space="preserve">ELE-034</t>
  </si>
  <si>
    <t xml:space="preserve">NIEDAX</t>
  </si>
  <si>
    <t xml:space="preserve">239618</t>
  </si>
  <si>
    <t xml:space="preserve">ELE-035</t>
  </si>
  <si>
    <t xml:space="preserve">LEG200864</t>
  </si>
  <si>
    <t xml:space="preserve">Lot de 100</t>
  </si>
  <si>
    <t xml:space="preserve">ELE-036</t>
  </si>
  <si>
    <t xml:space="preserve">Appareillage</t>
  </si>
  <si>
    <t xml:space="preserve">Prise de courant 2P+T Schneider Odace à encastrer - avec support de fixation à visser - blanc - 16 A - 250 V</t>
  </si>
  <si>
    <t xml:space="preserve">105366-1</t>
  </si>
  <si>
    <t xml:space="preserve">1304505</t>
  </si>
  <si>
    <t xml:space="preserve">Prise de courant 2P+T PLEXO 16 A 250 V pour fixation en encastré gris LEGRAND 069831L</t>
  </si>
  <si>
    <t xml:space="preserve">799588</t>
  </si>
  <si>
    <t xml:space="preserve">Enjoliveur Céliane pour prise de courant 2P+T Surface et chargeur USB semi encastré  -  finition gra</t>
  </si>
  <si>
    <t xml:space="preserve">067916</t>
  </si>
  <si>
    <t xml:space="preserve">SCHNEIDER ELECTRIC Mureva Styl - Prise courant 2P+T renforcée pour VE - IP55 IK08 - encastre - gris</t>
  </si>
  <si>
    <t xml:space="preserve">SCHMUR36011</t>
  </si>
  <si>
    <t xml:space="preserve">ELE-037</t>
  </si>
  <si>
    <t xml:space="preserve">M168912</t>
  </si>
  <si>
    <t xml:space="preserve">Prise de courant 2P+T étanche cubyko IP55 orange complète installation saillie</t>
  </si>
  <si>
    <t xml:space="preserve">HAGER S.A.S</t>
  </si>
  <si>
    <t xml:space="preserve">WNC100E</t>
  </si>
  <si>
    <t xml:space="preserve">ELE-038</t>
  </si>
  <si>
    <t xml:space="preserve">801939</t>
  </si>
  <si>
    <t xml:space="preserve">ELE-039</t>
  </si>
  <si>
    <t xml:space="preserve">Interrupteur va-et-vient Schneider Asfora complet - à encastrer - blanc brillant - 10 A - 230 V</t>
  </si>
  <si>
    <t xml:space="preserve">105296-1</t>
  </si>
  <si>
    <t xml:space="preserve">418796</t>
  </si>
  <si>
    <t xml:space="preserve">Interrupteur ou va-et-vient 10AX 250V Plexo complet encastré gris</t>
  </si>
  <si>
    <t xml:space="preserve">069811L</t>
  </si>
  <si>
    <t xml:space="preserve">ELE-040</t>
  </si>
  <si>
    <t xml:space="preserve">Cutter SM Stanley avec bouton-poussoir multipositions 18 mm</t>
  </si>
  <si>
    <t xml:space="preserve">700677-1</t>
  </si>
  <si>
    <t xml:space="preserve">CM1030</t>
  </si>
  <si>
    <t xml:space="preserve">Bouton poussoir lumineux pour carillon mobile blanc HONEYWELL DCP911</t>
  </si>
  <si>
    <t xml:space="preserve">HONEYWELL</t>
  </si>
  <si>
    <t xml:space="preserve">667726</t>
  </si>
  <si>
    <t xml:space="preserve">Robinet temporisé Tempochasse apparent pour WC à bouton poussoir corps en laiton massif chromé mâle male 33 x 42 : réf. 760000</t>
  </si>
  <si>
    <t xml:space="preserve">DELABIE</t>
  </si>
  <si>
    <t xml:space="preserve">1031708</t>
  </si>
  <si>
    <t xml:space="preserve">ELE-041</t>
  </si>
  <si>
    <t xml:space="preserve">Variateur de lumière universel Schneider Odace à encastrer - 2 ou 3 fils - avec support de fixation à visser - Anthracite</t>
  </si>
  <si>
    <t xml:space="preserve">228219-1</t>
  </si>
  <si>
    <t xml:space="preserve">880192</t>
  </si>
  <si>
    <t xml:space="preserve">Odace - variateur de lumière universel cablage possible en 2 ou 3 fils- 3W 100W (LED) 10-200W(halogen) Lampes LED / Halogen / compatible LV </t>
  </si>
  <si>
    <t xml:space="preserve">SCHNEIDER ELECTRIC S.A.S.</t>
  </si>
  <si>
    <t xml:space="preserve">S520519</t>
  </si>
  <si>
    <t xml:space="preserve">ELE-042</t>
  </si>
  <si>
    <t xml:space="preserve">379021</t>
  </si>
  <si>
    <t xml:space="preserve">ELE-043</t>
  </si>
  <si>
    <t xml:space="preserve">Boîte d'encastrement simple Schneider Multifix pour cloison creuse - IP20 - Ø 67 mm - profondeur 40 mm</t>
  </si>
  <si>
    <t xml:space="preserve">105313-1</t>
  </si>
  <si>
    <t xml:space="preserve">419530</t>
  </si>
  <si>
    <t xml:space="preserve">Boîte d'encastrement simple Batibox multimatériaux Ø80mm profondeur 50mm</t>
  </si>
  <si>
    <t xml:space="preserve">080188</t>
  </si>
  <si>
    <t xml:space="preserve">EMX Boîte simple d'encastrement BBC D= 85 mm 1 poste profondeur 40 mm 32 A</t>
  </si>
  <si>
    <t xml:space="preserve">EMX101132</t>
  </si>
  <si>
    <t xml:space="preserve">ELE-044</t>
  </si>
  <si>
    <t xml:space="preserve">MIIDEX</t>
  </si>
  <si>
    <t xml:space="preserve">781705</t>
  </si>
  <si>
    <t xml:space="preserve">IBOCO Boîte de dérivation étanche Pico 100x100 Prof. 50 grise à tétines IP55 960°C</t>
  </si>
  <si>
    <t xml:space="preserve">IBOB05534</t>
  </si>
  <si>
    <t xml:space="preserve">BOITE DERIVATION 100X100X45MM 8E IP55</t>
  </si>
  <si>
    <t xml:space="preserve">3003</t>
  </si>
  <si>
    <t xml:space="preserve">ELE-045</t>
  </si>
  <si>
    <t xml:space="preserve">WAGO</t>
  </si>
  <si>
    <t xml:space="preserve">407395</t>
  </si>
  <si>
    <t xml:space="preserve">Borne de raccordement pour disjoncteur DX³ 3P+N à connexion automatique  -  section 6mm² à 25mm²  -  IP2X</t>
  </si>
  <si>
    <t xml:space="preserve">405206</t>
  </si>
  <si>
    <t xml:space="preserve">EMX Borne de connexion automatique 3 entrées transparente orange (x 150)</t>
  </si>
  <si>
    <t xml:space="preserve">EMX103403</t>
  </si>
  <si>
    <t xml:space="preserve">ELE-046</t>
  </si>
  <si>
    <t xml:space="preserve">414216</t>
  </si>
  <si>
    <t xml:space="preserve">ELE-047</t>
  </si>
  <si>
    <t xml:space="preserve">735373</t>
  </si>
  <si>
    <t xml:space="preserve">Plaque de finition simple Schneider Odace Styl pour 1 poste encastré - blanc brillant RAL 9003</t>
  </si>
  <si>
    <t xml:space="preserve">105371-1</t>
  </si>
  <si>
    <t xml:space="preserve">Kit de finition pour châssis Gold BASE pour simple cloison plaque de plâtre - bois tanganika - 1000x2150 mm</t>
  </si>
  <si>
    <t xml:space="preserve">SCRIGNO</t>
  </si>
  <si>
    <t xml:space="preserve">1390523</t>
  </si>
  <si>
    <t xml:space="preserve">ELE-049</t>
  </si>
  <si>
    <t xml:space="preserve">861384</t>
  </si>
  <si>
    <t xml:space="preserve">Prise RJ45 avec cadre en saillie Schneider Alréa - catégorie 6 UTP - blanc polaire</t>
  </si>
  <si>
    <t xml:space="preserve">105292-1</t>
  </si>
  <si>
    <t xml:space="preserve">Prise blindée RJ45 catégorie 6 STP dooxie finition noir - sachet</t>
  </si>
  <si>
    <t xml:space="preserve">095285</t>
  </si>
  <si>
    <t xml:space="preserve">Neptune new prise rj45 cat6 Réf.LEG91335</t>
  </si>
  <si>
    <t xml:space="preserve">6495563</t>
  </si>
  <si>
    <t xml:space="preserve">ELE-050</t>
  </si>
  <si>
    <t xml:space="preserve">Divers</t>
  </si>
  <si>
    <t xml:space="preserve">FORSOND</t>
  </si>
  <si>
    <t xml:space="preserve">M14582</t>
  </si>
  <si>
    <t xml:space="preserve">ELE-051</t>
  </si>
  <si>
    <t xml:space="preserve">Brique creuse à gorge et à barrettes en terre cuite - Terreal - 16 trous - 200 x 270 x 500 mm</t>
  </si>
  <si>
    <t xml:space="preserve">116267-1</t>
  </si>
  <si>
    <t xml:space="preserve">362601</t>
  </si>
  <si>
    <t xml:space="preserve">MICHAUD Barrette de coupure de terre basse pour colonne</t>
  </si>
  <si>
    <t xml:space="preserve">MIHN100</t>
  </si>
  <si>
    <t xml:space="preserve">Barrette de coupure de terre haute</t>
  </si>
  <si>
    <t xml:space="preserve">RAM</t>
  </si>
  <si>
    <t xml:space="preserve">7548908</t>
  </si>
  <si>
    <t xml:space="preserve">Barrette de coupure de terre basse</t>
  </si>
  <si>
    <t xml:space="preserve">N100</t>
  </si>
  <si>
    <t xml:space="preserve">ELE-052</t>
  </si>
  <si>
    <t xml:space="preserve">TYS086870</t>
  </si>
  <si>
    <t xml:space="preserve">PIQUET DE TERRE PLYNOX + COSSE</t>
  </si>
  <si>
    <t xml:space="preserve">460615-1</t>
  </si>
  <si>
    <t xml:space="preserve">ELE-054</t>
  </si>
  <si>
    <t xml:space="preserve">Assortiment de 170 gaines thermorétractables 100mm noires restreint 2:1</t>
  </si>
  <si>
    <t xml:space="preserve">782623-1</t>
  </si>
  <si>
    <t xml:space="preserve">SEWOSY</t>
  </si>
  <si>
    <t xml:space="preserve">570351</t>
  </si>
  <si>
    <t xml:space="preserve">Assortiment de gaines thermorétractables PLF 100 noir + couleurs - Ø 2,4 à 25,4 mm - coffret de 76 pcs</t>
  </si>
  <si>
    <t xml:space="preserve">KLAUKE</t>
  </si>
  <si>
    <t xml:space="preserve">6931559</t>
  </si>
  <si>
    <t xml:space="preserve">Boîte</t>
  </si>
  <si>
    <t xml:space="preserve">CFA-002</t>
  </si>
  <si>
    <t xml:space="preserve">Reseau</t>
  </si>
  <si>
    <t xml:space="preserve">AGINODE Câble F/FTP LANmark-6A Catégorie 6A AWG23 LSZH Dca s2d1a1 orange 4 paires 1000m</t>
  </si>
  <si>
    <t xml:space="preserve">NCSN100692GOD</t>
  </si>
  <si>
    <t xml:space="preserve">647541</t>
  </si>
  <si>
    <t xml:space="preserve">CFA-003</t>
  </si>
  <si>
    <t xml:space="preserve">LEG632850</t>
  </si>
  <si>
    <t xml:space="preserve">CFA-004</t>
  </si>
  <si>
    <t xml:space="preserve">413204</t>
  </si>
  <si>
    <t xml:space="preserve">CFA-005</t>
  </si>
  <si>
    <t xml:space="preserve">579604</t>
  </si>
  <si>
    <t xml:space="preserve">Coffret Multimédia Basique équipé sans brassage</t>
  </si>
  <si>
    <t xml:space="preserve">413217</t>
  </si>
  <si>
    <t xml:space="preserve">CFA-006</t>
  </si>
  <si>
    <t xml:space="preserve">FEP0511</t>
  </si>
  <si>
    <t xml:space="preserve">CFA-007</t>
  </si>
  <si>
    <t xml:space="preserve">Videosurveillance</t>
  </si>
  <si>
    <t xml:space="preserve">L2S SYSTORM</t>
  </si>
  <si>
    <t xml:space="preserve">051071</t>
  </si>
  <si>
    <t xml:space="preserve">Caméra intérieure motorisée connectée résolution 2k mode privé renforcé PHILIPS 531051</t>
  </si>
  <si>
    <t xml:space="preserve">PHILIPS</t>
  </si>
  <si>
    <t xml:space="preserve">842390</t>
  </si>
  <si>
    <t xml:space="preserve">CFA-008</t>
  </si>
  <si>
    <t xml:space="preserve">THOMSON</t>
  </si>
  <si>
    <t xml:space="preserve">842395</t>
  </si>
  <si>
    <t xml:space="preserve">CFA-010</t>
  </si>
  <si>
    <t xml:space="preserve">DIAM INDUSTRIES</t>
  </si>
  <si>
    <t xml:space="preserve">745579</t>
  </si>
  <si>
    <t xml:space="preserve">EZVIZ Caméra H3K PoE 4K (x4) NVR X5K (x1) Disque dur de 2To (x1)</t>
  </si>
  <si>
    <t xml:space="preserve">EZVBN4884</t>
  </si>
  <si>
    <t xml:space="preserve">CFA-011</t>
  </si>
  <si>
    <t xml:space="preserve">Interphonie</t>
  </si>
  <si>
    <t xml:space="preserve">EVICOM - GOLMAR</t>
  </si>
  <si>
    <t xml:space="preserve">GS5110/ART7W</t>
  </si>
  <si>
    <t xml:space="preserve">CFA-012</t>
  </si>
  <si>
    <t xml:space="preserve">GOLMAR</t>
  </si>
  <si>
    <t xml:space="preserve">612024</t>
  </si>
  <si>
    <t xml:space="preserve">CFA-013</t>
  </si>
  <si>
    <t xml:space="preserve">CAME FRANCE S.A.</t>
  </si>
  <si>
    <t xml:space="preserve">840CH-0050</t>
  </si>
  <si>
    <t xml:space="preserve">CFA-014</t>
  </si>
  <si>
    <t xml:space="preserve">Controle d'acces</t>
  </si>
  <si>
    <t xml:space="preserve">SALTO</t>
  </si>
  <si>
    <t xml:space="preserve">857197</t>
  </si>
  <si>
    <t xml:space="preserve">CFA-015</t>
  </si>
  <si>
    <t xml:space="preserve">M117686</t>
  </si>
  <si>
    <t xml:space="preserve">ACIE Badge passif de proximité mifare 1k format niso jeton porte clé,lecteur 13,56mhz</t>
  </si>
  <si>
    <t xml:space="preserve">AIEBA403M</t>
  </si>
  <si>
    <t xml:space="preserve">CFA-016</t>
  </si>
  <si>
    <t xml:space="preserve">FERMAX</t>
  </si>
  <si>
    <t xml:space="preserve">390521</t>
  </si>
  <si>
    <t xml:space="preserve">SELT1BDG - Sélecteur clavier à code BUS CXN d'extérieur. 12 touches, avec rétroéclairage bleu. Gris RAL7024 - Automatismes - Accessoires de </t>
  </si>
  <si>
    <t xml:space="preserve">806SL-0280</t>
  </si>
  <si>
    <t xml:space="preserve">CFA-017</t>
  </si>
  <si>
    <t xml:space="preserve">DIDHEYA</t>
  </si>
  <si>
    <t xml:space="preserve">M73558</t>
  </si>
  <si>
    <t xml:space="preserve">Platoir chapiste inox bout ogive 45 cm Novipro</t>
  </si>
  <si>
    <t xml:space="preserve">NOVIPRO</t>
  </si>
  <si>
    <t xml:space="preserve">7120803</t>
  </si>
  <si>
    <t xml:space="preserve">Bouton de sortie éclairé saillie ? Contact NO/NF ? Marquage PORTE ? Marquage BRAILLE ? Façade en INOX d'épaisseur 1.5 mm ? Petit modèle 40x8</t>
  </si>
  <si>
    <t xml:space="preserve">TT03I/SA</t>
  </si>
  <si>
    <t xml:space="preserve">CFA-018</t>
  </si>
  <si>
    <t xml:space="preserve">Alarme intrusion</t>
  </si>
  <si>
    <t xml:space="preserve">HERACLES</t>
  </si>
  <si>
    <t xml:space="preserve">390491</t>
  </si>
  <si>
    <t xml:space="preserve">CFA-019</t>
  </si>
  <si>
    <t xml:space="preserve">AVIDSEN</t>
  </si>
  <si>
    <t xml:space="preserve">842322</t>
  </si>
  <si>
    <t xml:space="preserve">CFA-020</t>
  </si>
  <si>
    <t xml:space="preserve">868337</t>
  </si>
  <si>
    <t xml:space="preserve">CFA-021</t>
  </si>
  <si>
    <t xml:space="preserve">842324</t>
  </si>
  <si>
    <t xml:space="preserve">CFA-022</t>
  </si>
  <si>
    <t xml:space="preserve">TV / multimedia</t>
  </si>
  <si>
    <t xml:space="preserve">S920451</t>
  </si>
  <si>
    <t xml:space="preserve">CFA-023</t>
  </si>
  <si>
    <t xml:space="preserve">NOTRE SELECTION</t>
  </si>
  <si>
    <t xml:space="preserve">552641</t>
  </si>
  <si>
    <t xml:space="preserve">Câble coaxial TV extérieur 17PATC - L. 100 m</t>
  </si>
  <si>
    <t xml:space="preserve">6267113</t>
  </si>
  <si>
    <t xml:space="preserve">Câble coaxial TV et Satellite - 17 VATCA - longueur 300 m</t>
  </si>
  <si>
    <t xml:space="preserve">275961-1</t>
  </si>
  <si>
    <t xml:space="preserve">CFA-024</t>
  </si>
  <si>
    <t xml:space="preserve">LEBENOID</t>
  </si>
  <si>
    <t xml:space="preserve">145992</t>
  </si>
  <si>
    <t xml:space="preserve">Regard béton RMJ 40 répartiteur 3 sorties avec joints 42 x 42 x 25 cm</t>
  </si>
  <si>
    <t xml:space="preserve">LEGOUEZ</t>
  </si>
  <si>
    <t xml:space="preserve">3396458</t>
  </si>
  <si>
    <t xml:space="preserve">Coffret Basique Grade 2 TV DRIVIA 13  -  4 prises RJ45 STP + répartiteur TV 2 sorties  -  TV sur RJ Ready</t>
  </si>
  <si>
    <t xml:space="preserve">413248</t>
  </si>
  <si>
    <t xml:space="preserve">CFA-025</t>
  </si>
  <si>
    <t xml:space="preserve">Outillage CFA</t>
  </si>
  <si>
    <t xml:space="preserve">GGM907H210N</t>
  </si>
  <si>
    <t xml:space="preserve">Pince à sertir pour fiches Western RJ11/RJ12 et RJ45 - 190x95x25 mm</t>
  </si>
  <si>
    <t xml:space="preserve">KNIPEX</t>
  </si>
  <si>
    <t xml:space="preserve">6895707</t>
  </si>
  <si>
    <t xml:space="preserve">CFA-026</t>
  </si>
  <si>
    <t xml:space="preserve">FLULIQ-100</t>
  </si>
  <si>
    <t xml:space="preserve">ECL-001</t>
  </si>
  <si>
    <t xml:space="preserve">Interieur</t>
  </si>
  <si>
    <t xml:space="preserve">SYLVANIA</t>
  </si>
  <si>
    <t xml:space="preserve">848958</t>
  </si>
  <si>
    <t xml:space="preserve">Spot encastré Onyx 30 RA - LED SMD 12V - 2700 K - IP67 - H. 59 mm</t>
  </si>
  <si>
    <t xml:space="preserve">LIGHT PRO</t>
  </si>
  <si>
    <t xml:space="preserve">4862878</t>
  </si>
  <si>
    <t xml:space="preserve">Protecteur thermique pour spot LED encastré - Knauf Spot Protector - H. 150 mm - Ø 248 mm - 4 pièces avec clous de verroullage</t>
  </si>
  <si>
    <t xml:space="preserve">328459-1</t>
  </si>
  <si>
    <t xml:space="preserve">ECL-002</t>
  </si>
  <si>
    <t xml:space="preserve">782618</t>
  </si>
  <si>
    <t xml:space="preserve">ECL-003</t>
  </si>
  <si>
    <t xml:space="preserve">879196</t>
  </si>
  <si>
    <t xml:space="preserve">ECL-004</t>
  </si>
  <si>
    <t xml:space="preserve">BIY144029</t>
  </si>
  <si>
    <t xml:space="preserve">ECL-005</t>
  </si>
  <si>
    <t xml:space="preserve">751259</t>
  </si>
  <si>
    <t xml:space="preserve">ECL-006</t>
  </si>
  <si>
    <t xml:space="preserve">783632</t>
  </si>
  <si>
    <t xml:space="preserve">ECL-007</t>
  </si>
  <si>
    <t xml:space="preserve">ENERGIZER</t>
  </si>
  <si>
    <t xml:space="preserve">7047009</t>
  </si>
  <si>
    <t xml:space="preserve">Projecteur de chantier portable à LED Brennenstuhl Jaro 3060 M - IP65 - 2300 lm - 20 W - 2 m de câble</t>
  </si>
  <si>
    <t xml:space="preserve">348863-1</t>
  </si>
  <si>
    <t xml:space="preserve">SWITCH LITE Bimpro - Projecteur triphasé LED alum. 35W 3000lm 840 36° BL</t>
  </si>
  <si>
    <t xml:space="preserve">ABIENTK3536W40</t>
  </si>
  <si>
    <t xml:space="preserve">ECL-008</t>
  </si>
  <si>
    <t xml:space="preserve">ARI51897</t>
  </si>
  <si>
    <t xml:space="preserve">Rouleau 20 m</t>
  </si>
  <si>
    <t xml:space="preserve">ECL-009</t>
  </si>
  <si>
    <t xml:space="preserve">782227</t>
  </si>
  <si>
    <t xml:space="preserve">ECL-010</t>
  </si>
  <si>
    <t xml:space="preserve">Sources</t>
  </si>
  <si>
    <t xml:space="preserve">Ampoule LED sphère verte Sylvania Deco pour guirlande - 1 W 28 lumens culot E27</t>
  </si>
  <si>
    <t xml:space="preserve">777280-1</t>
  </si>
  <si>
    <t xml:space="preserve">782643</t>
  </si>
  <si>
    <t xml:space="preserve">ECL-011</t>
  </si>
  <si>
    <t xml:space="preserve">782955</t>
  </si>
  <si>
    <t xml:space="preserve">ECL-012</t>
  </si>
  <si>
    <t xml:space="preserve">782384</t>
  </si>
  <si>
    <t xml:space="preserve">ECL-013</t>
  </si>
  <si>
    <t xml:space="preserve">Exterieur</t>
  </si>
  <si>
    <t xml:space="preserve">BRENNENSTUHL</t>
  </si>
  <si>
    <t xml:space="preserve">4305932</t>
  </si>
  <si>
    <t xml:space="preserve">Projecteur extérieur LED RGB IP65 + télécommande IR 50 W MIIDEX LIGHTING 8012</t>
  </si>
  <si>
    <t xml:space="preserve">783183</t>
  </si>
  <si>
    <t xml:space="preserve">ECL-014</t>
  </si>
  <si>
    <t xml:space="preserve">782883</t>
  </si>
  <si>
    <t xml:space="preserve">ECL-015</t>
  </si>
  <si>
    <t xml:space="preserve">781470</t>
  </si>
  <si>
    <t xml:space="preserve">ECL-016</t>
  </si>
  <si>
    <t xml:space="preserve">Securite</t>
  </si>
  <si>
    <t xml:space="preserve">LUM16125</t>
  </si>
  <si>
    <t xml:space="preserve">Bloc BAES d'évacuation saillie à LED SATI Connecté pour ERP et ERT IP43 LEGRAND 062525</t>
  </si>
  <si>
    <t xml:space="preserve">417985</t>
  </si>
  <si>
    <t xml:space="preserve">BAES d'évacuation saillie IP43 IK07 plastique SATI adressable pour ERP et ERT</t>
  </si>
  <si>
    <t xml:space="preserve">062625</t>
  </si>
  <si>
    <t xml:space="preserve">ECL-017</t>
  </si>
  <si>
    <t xml:space="preserve">LUM16143</t>
  </si>
  <si>
    <t xml:space="preserve">ECL-018</t>
  </si>
  <si>
    <t xml:space="preserve">LUM10312</t>
  </si>
  <si>
    <t xml:space="preserve">TELECOM BAES MULTI MARQUE - FNC MISE A L\'ARRET</t>
  </si>
  <si>
    <t xml:space="preserve">840766</t>
  </si>
  <si>
    <t xml:space="preserve">ECL-019</t>
  </si>
  <si>
    <t xml:space="preserve">14492356</t>
  </si>
  <si>
    <t xml:space="preserve">Votre tarif — Prolians</t>
  </si>
  <si>
    <t xml:space="preserve">PLB-001</t>
  </si>
  <si>
    <t xml:space="preserve">Alimentation</t>
  </si>
  <si>
    <t xml:space="preserve">GARIS</t>
  </si>
  <si>
    <t xml:space="preserve">762106</t>
  </si>
  <si>
    <t xml:space="preserve">Tube PER gainé Ø 13 x 16 mm bleu couronne de 25 m</t>
  </si>
  <si>
    <t xml:space="preserve">77735</t>
  </si>
  <si>
    <t xml:space="preserve">Votre tarif — La Plateforme du Bâtiment</t>
  </si>
  <si>
    <t xml:space="preserve">Tube PER prégainé bleu diamètre 13x16 couronne de 15m réf. B181615</t>
  </si>
  <si>
    <t xml:space="preserve">NOYON THIEBAULT</t>
  </si>
  <si>
    <t xml:space="preserve">1728089</t>
  </si>
  <si>
    <t xml:space="preserve">PLB-002</t>
  </si>
  <si>
    <t xml:space="preserve">SEAU DE 100 RAMCLIP GRIS DOUBLE Ø 16 EN NYLON (FIXATION POUR GAINES SOUPLES. TUBES GAINES. PER ET TUBES CUIVRE) FABRIQUE EN France (RAM WISS</t>
  </si>
  <si>
    <t xml:space="preserve">R.A.M. S.A.</t>
  </si>
  <si>
    <t xml:space="preserve">56816</t>
  </si>
  <si>
    <t xml:space="preserve">SOMATHERM</t>
  </si>
  <si>
    <t xml:space="preserve">409248</t>
  </si>
  <si>
    <t xml:space="preserve">PLB-003</t>
  </si>
  <si>
    <t xml:space="preserve">Raccord tube multicouche D16mm</t>
  </si>
  <si>
    <t xml:space="preserve">4648360</t>
  </si>
  <si>
    <t xml:space="preserve">COMISA</t>
  </si>
  <si>
    <t xml:space="preserve">610221</t>
  </si>
  <si>
    <t xml:space="preserve">TECElogo - Tube multicouche en PE-Xc/Al/</t>
  </si>
  <si>
    <t xml:space="preserve">TECE</t>
  </si>
  <si>
    <t xml:space="preserve">8700116</t>
  </si>
  <si>
    <t xml:space="preserve">TUBE MULTICOUCHE 16X2,0 100 M</t>
  </si>
  <si>
    <t xml:space="preserve">472860-1</t>
  </si>
  <si>
    <t xml:space="preserve">PLB-004</t>
  </si>
  <si>
    <t xml:space="preserve">M40372</t>
  </si>
  <si>
    <t xml:space="preserve">TUBE MULTICOUCHE 20X2,25 20 M</t>
  </si>
  <si>
    <t xml:space="preserve">471011-1</t>
  </si>
  <si>
    <t xml:space="preserve">PLB-005</t>
  </si>
  <si>
    <t xml:space="preserve">762105</t>
  </si>
  <si>
    <t xml:space="preserve">Raccord droit en cuivre et joint à souder tube Ø 14 mm x 2 écrou 1/2 pression maximum 500 mb</t>
  </si>
  <si>
    <t xml:space="preserve">30843</t>
  </si>
  <si>
    <t xml:space="preserve">TUBE CUIVRE ECROUI 8X10 (ML)</t>
  </si>
  <si>
    <t xml:space="preserve">COPPER DISTRIBUTION</t>
  </si>
  <si>
    <t xml:space="preserve">516650</t>
  </si>
  <si>
    <t xml:space="preserve">Ébavureur intérieur et extérieur pour tube PVC ou cuivre Ø 6/42 mm</t>
  </si>
  <si>
    <t xml:space="preserve">3396067</t>
  </si>
  <si>
    <t xml:space="preserve">PLB-007</t>
  </si>
  <si>
    <t xml:space="preserve">Raccords</t>
  </si>
  <si>
    <t xml:space="preserve">724901-1</t>
  </si>
  <si>
    <t xml:space="preserve">Raccord multicouche à sertir multiprofil - coude égale diam 16 mm - Réf. 310501</t>
  </si>
  <si>
    <t xml:space="preserve">6010367</t>
  </si>
  <si>
    <t xml:space="preserve">Raccord passerelle à sertir multicouche Ø 16 mm - Cuivre Ø 16 mm</t>
  </si>
  <si>
    <t xml:space="preserve">65893</t>
  </si>
  <si>
    <t xml:space="preserve">Raccord passerelle à sertir multicouche 16/2 sur cuivre 14 GIACOMINI RM103Y123</t>
  </si>
  <si>
    <t xml:space="preserve">GIACOMINI</t>
  </si>
  <si>
    <t xml:space="preserve">759112</t>
  </si>
  <si>
    <t xml:space="preserve">COUDE  A SERTIR 90° 50 x 4 - PPSU POUR SYSTEME MULTICOUCHES  -884.50.200- Raccords MC Alpex-Duo Ø 40-75</t>
  </si>
  <si>
    <t xml:space="preserve">PB TUB</t>
  </si>
  <si>
    <t xml:space="preserve">MCRC50P</t>
  </si>
  <si>
    <t xml:space="preserve">PLB-008</t>
  </si>
  <si>
    <t xml:space="preserve">166160</t>
  </si>
  <si>
    <t xml:space="preserve">PLB-009</t>
  </si>
  <si>
    <t xml:space="preserve">762093</t>
  </si>
  <si>
    <t xml:space="preserve">Manchon réduit à sertir - PER Ø16-Ø12</t>
  </si>
  <si>
    <t xml:space="preserve">461242-1</t>
  </si>
  <si>
    <t xml:space="preserve">MANCHON MULTICOUCHE A SERTIR MALE 16 MM 3/4'' 5 PIECES</t>
  </si>
  <si>
    <t xml:space="preserve">150105</t>
  </si>
  <si>
    <t xml:space="preserve">lot</t>
  </si>
  <si>
    <t xml:space="preserve">PLB-010</t>
  </si>
  <si>
    <t xml:space="preserve">Jonction réduite multicouche à sertir multiprofil ø20 - ø16  Réf. 310401</t>
  </si>
  <si>
    <t xml:space="preserve">4781403</t>
  </si>
  <si>
    <t xml:space="preserve">PLB-011</t>
  </si>
  <si>
    <t xml:space="preserve">BOUTTE</t>
  </si>
  <si>
    <t xml:space="preserve">658223</t>
  </si>
  <si>
    <t xml:space="preserve">Raccord droit mâle D12mm laiton 15x21mm</t>
  </si>
  <si>
    <t xml:space="preserve">4648326</t>
  </si>
  <si>
    <t xml:space="preserve">Raccord laiton pour polyéthyène mâle 20-15x21 mm</t>
  </si>
  <si>
    <t xml:space="preserve">13362</t>
  </si>
  <si>
    <t xml:space="preserve">RACCORD MALE LAITON DZR_GAMME U-CAN_DIAM EXT.20_FILETE 15X21_PAR 30</t>
  </si>
  <si>
    <t xml:space="preserve">469102-1</t>
  </si>
  <si>
    <t xml:space="preserve">PLB-012</t>
  </si>
  <si>
    <t xml:space="preserve">2190</t>
  </si>
  <si>
    <t xml:space="preserve">collecteur sanitaire en matière de synthèse 4 sorties</t>
  </si>
  <si>
    <t xml:space="preserve">444632-1</t>
  </si>
  <si>
    <t xml:space="preserve">Collecteur F1/2'' type A arrivée M3/4'' 4 départs M1/2'' WATTS 1403</t>
  </si>
  <si>
    <t xml:space="preserve">WATTS INDUSTRIES</t>
  </si>
  <si>
    <t xml:space="preserve">090584</t>
  </si>
  <si>
    <t xml:space="preserve">Collecteur mf g3/4 3 départs m g1/2 vrac étiqueté réf 30203ET</t>
  </si>
  <si>
    <t xml:space="preserve">6398915</t>
  </si>
  <si>
    <t xml:space="preserve">PLB-013</t>
  </si>
  <si>
    <t xml:space="preserve">Robinetterie</t>
  </si>
  <si>
    <t xml:space="preserve">1086868</t>
  </si>
  <si>
    <t xml:space="preserve">Robinet arrêt équerre TEMPOCHASSE F1'' F1''1/4 chromé DELABIE 765000</t>
  </si>
  <si>
    <t xml:space="preserve">090066</t>
  </si>
  <si>
    <t xml:space="preserve">PLB-014</t>
  </si>
  <si>
    <t xml:space="preserve">683962-1</t>
  </si>
  <si>
    <t xml:space="preserve">PLB-015</t>
  </si>
  <si>
    <t xml:space="preserve">ALTERNA</t>
  </si>
  <si>
    <t xml:space="preserve">3309186</t>
  </si>
  <si>
    <t xml:space="preserve">Mitigeur lavabo OLYOS monotrou C2 vidage plastique chromé</t>
  </si>
  <si>
    <t xml:space="preserve">160278</t>
  </si>
  <si>
    <t xml:space="preserve">Mitigeur de lavabo OKYRIS 2 CLINIC chromé avec bec professionnel PORCHER D2300AA</t>
  </si>
  <si>
    <t xml:space="preserve">PORCHER</t>
  </si>
  <si>
    <t xml:space="preserve">851059</t>
  </si>
  <si>
    <t xml:space="preserve">Mitigeur de lavabo Taille M Nam'o - Chromé - Cartouche technologie C3 - ROLF</t>
  </si>
  <si>
    <t xml:space="preserve">444515-1</t>
  </si>
  <si>
    <t xml:space="preserve">Mitigeur Robinet pour lavabo. Norme NF ECAU. Cartouche céramique Ø 35 mm C3. Corps laiton. Chromé. Vidage Métal.</t>
  </si>
  <si>
    <t xml:space="preserve">THERMADOR S.A.</t>
  </si>
  <si>
    <t xml:space="preserve">WPL17</t>
  </si>
  <si>
    <t xml:space="preserve">PLB-016</t>
  </si>
  <si>
    <t xml:space="preserve">818043-1</t>
  </si>
  <si>
    <t xml:space="preserve">Mitigeur évier ALTERNA VERSEAU 2 bec haut</t>
  </si>
  <si>
    <t xml:space="preserve">157436</t>
  </si>
  <si>
    <t xml:space="preserve">Mitigeur évier Alterna VERSEAU 2 chromé bec haut</t>
  </si>
  <si>
    <t xml:space="preserve">3384233</t>
  </si>
  <si>
    <t xml:space="preserve">Mitigeur évier norm'o bec haut c3</t>
  </si>
  <si>
    <t xml:space="preserve">AYOR Water and Heating Solutio</t>
  </si>
  <si>
    <t xml:space="preserve">501011102</t>
  </si>
  <si>
    <t xml:space="preserve">Mitigeur évier BAULOOP bec haut avec douchette extractible GROHE 30543000</t>
  </si>
  <si>
    <t xml:space="preserve">GROHE PROFESSIONNAL</t>
  </si>
  <si>
    <t xml:space="preserve">836089</t>
  </si>
  <si>
    <t xml:space="preserve">PLB-017</t>
  </si>
  <si>
    <t xml:space="preserve">3309193</t>
  </si>
  <si>
    <t xml:space="preserve">Mitigeur thermostatique de douche - Neotherm Eurosanit - Sécurité anti-brûlure 38°C - Corps en laiton chromé</t>
  </si>
  <si>
    <t xml:space="preserve">818039-1</t>
  </si>
  <si>
    <t xml:space="preserve">Mitigeur thermostatique douche ALTERNA CONCERTO 3 Chromé</t>
  </si>
  <si>
    <t xml:space="preserve">157456</t>
  </si>
  <si>
    <t xml:space="preserve">Mitigeur bain-douche thermostatique AQUAHEAT design rond C3 VITRA A47157EKM</t>
  </si>
  <si>
    <t xml:space="preserve">VITRA</t>
  </si>
  <si>
    <t xml:space="preserve">780073</t>
  </si>
  <si>
    <t xml:space="preserve">Mitigeur thermostatique bain et douche. Pose murale. Entraxe 150mm. Norme NF.</t>
  </si>
  <si>
    <t xml:space="preserve">JO74106CR</t>
  </si>
  <si>
    <t xml:space="preserve">PLB-018</t>
  </si>
  <si>
    <t xml:space="preserve">1031612</t>
  </si>
  <si>
    <t xml:space="preserve">Robinet de lavabo temporisé TEMPOSTOP à levier mural - DELABIE - 746410</t>
  </si>
  <si>
    <t xml:space="preserve">090489</t>
  </si>
  <si>
    <t xml:space="preserve">TEMPOSOFT 2 lavabo M1/2  robinet tempori</t>
  </si>
  <si>
    <t xml:space="preserve">740500</t>
  </si>
  <si>
    <t xml:space="preserve">PLB-019</t>
  </si>
  <si>
    <t xml:space="preserve">M1473</t>
  </si>
  <si>
    <t xml:space="preserve">Flexible sanitaire - Raccord 2 écrous tournants 1/2" - Longueur : 300mm - DN8</t>
  </si>
  <si>
    <t xml:space="preserve">450368-1</t>
  </si>
  <si>
    <t xml:space="preserve">Flexible d'alimentation sanitaire EPDM/inox - mâle-femelle 15x21 - Ø nominal 8 mm - l. 50 cm - 1 pc</t>
  </si>
  <si>
    <t xml:space="preserve">3377646</t>
  </si>
  <si>
    <t xml:space="preserve">Flexible sanitaire en inox TAQTITE® L. 3 cm femelle 3/8 Ø 12 mm</t>
  </si>
  <si>
    <t xml:space="preserve">38349</t>
  </si>
  <si>
    <t xml:space="preserve">PLB-020</t>
  </si>
  <si>
    <t xml:space="preserve">Evacuation</t>
  </si>
  <si>
    <t xml:space="preserve">-</t>
  </si>
  <si>
    <t xml:space="preserve">6781887</t>
  </si>
  <si>
    <t xml:space="preserve">Mètre</t>
  </si>
  <si>
    <t xml:space="preserve">Tube d'évacuation PVC 2 m M1 D 40 mm WAVIN 3066081</t>
  </si>
  <si>
    <t xml:space="preserve">WAVIN</t>
  </si>
  <si>
    <t xml:space="preserve">650936</t>
  </si>
  <si>
    <t xml:space="preserve">PLB-021</t>
  </si>
  <si>
    <t xml:space="preserve">DYKA</t>
  </si>
  <si>
    <t xml:space="preserve">6426559</t>
  </si>
  <si>
    <t xml:space="preserve">Tube PVC évacuation bâtiment NFE+NFME - Diamètre 100 mm - À l'unité 4,00 m</t>
  </si>
  <si>
    <t xml:space="preserve">128857-1</t>
  </si>
  <si>
    <t xml:space="preserve">mètre</t>
  </si>
  <si>
    <t xml:space="preserve">Tube PVC+ Ø 100 mm x L. 2 m gris</t>
  </si>
  <si>
    <t xml:space="preserve">157307</t>
  </si>
  <si>
    <t xml:space="preserve">Tube d'évacuation PVC 2 m M1 D 100 mm WAVIN 3066077</t>
  </si>
  <si>
    <t xml:space="preserve">650934</t>
  </si>
  <si>
    <t xml:space="preserve">PLB-022</t>
  </si>
  <si>
    <t xml:space="preserve">TUYPER</t>
  </si>
  <si>
    <t xml:space="preserve">6308889</t>
  </si>
  <si>
    <t xml:space="preserve">Coude PVC à coller Femelle - Femelle 87° diamètre 100 mm coloris gris</t>
  </si>
  <si>
    <t xml:space="preserve">1833-1</t>
  </si>
  <si>
    <t xml:space="preserve">PVC Secteur Coude MF 30° 100 GN</t>
  </si>
  <si>
    <t xml:space="preserve">WAVIN FRANCE S.A.S./CLIMASOL</t>
  </si>
  <si>
    <t xml:space="preserve">3025721</t>
  </si>
  <si>
    <t xml:space="preserve">Coude d'évacuation PVC 90 / 100 mm Duofix GEBERIT 367.002.00.1</t>
  </si>
  <si>
    <t xml:space="preserve">GEBERIT</t>
  </si>
  <si>
    <t xml:space="preserve">383911</t>
  </si>
  <si>
    <t xml:space="preserve">PLB-023</t>
  </si>
  <si>
    <t xml:space="preserve">NICOLL</t>
  </si>
  <si>
    <t xml:space="preserve">215368</t>
  </si>
  <si>
    <t xml:space="preserve">Culotte simple MF 45° gris PVC Nicoll diamètre 100/40 mm - Réf. BT74</t>
  </si>
  <si>
    <t xml:space="preserve">1997834</t>
  </si>
  <si>
    <t xml:space="preserve">PLB-024</t>
  </si>
  <si>
    <t xml:space="preserve">076653</t>
  </si>
  <si>
    <t xml:space="preserve">Siphon inox pour sol carrelé 15x15cm avec rosette libre garde d'eau 50 mm Limatec 1550</t>
  </si>
  <si>
    <t xml:space="preserve">LIMATEC</t>
  </si>
  <si>
    <t xml:space="preserve">1049380</t>
  </si>
  <si>
    <t xml:space="preserve">PLB-025</t>
  </si>
  <si>
    <t xml:space="preserve">VALENTIN</t>
  </si>
  <si>
    <t xml:space="preserve">064820</t>
  </si>
  <si>
    <t xml:space="preserve">SIPHON LAVABO REGLABLE EN HAUTEUR</t>
  </si>
  <si>
    <t xml:space="preserve">142111</t>
  </si>
  <si>
    <t xml:space="preserve">Siphon Altech lavabo réglable diamètre 32 blanc NF</t>
  </si>
  <si>
    <t xml:space="preserve">ALTECH</t>
  </si>
  <si>
    <t xml:space="preserve">7043815</t>
  </si>
  <si>
    <t xml:space="preserve">Siphon de lavabo à coller avec entrée verticale - Nicoll - Diamètre 40 mm - Garde d'eau 50 mm - PVC-C Gris</t>
  </si>
  <si>
    <t xml:space="preserve">233869-1</t>
  </si>
  <si>
    <t xml:space="preserve">Siphon lavabo laiton chromé, réglable 50</t>
  </si>
  <si>
    <t xml:space="preserve">130000 000 00</t>
  </si>
  <si>
    <t xml:space="preserve">PLB-026</t>
  </si>
  <si>
    <t xml:space="preserve">30699</t>
  </si>
  <si>
    <t xml:space="preserve">Clapet anti-retour diamètre 100mm en vrac Réf 476100</t>
  </si>
  <si>
    <t xml:space="preserve">AUTOGYRE</t>
  </si>
  <si>
    <t xml:space="preserve">1741030</t>
  </si>
  <si>
    <t xml:space="preserve">Aérateur extra-plat design, 80 m3/h, 10,7W, clapet anti-retour, D100 mm - DECOR-100 C DESIGN</t>
  </si>
  <si>
    <t xml:space="preserve">S&amp;P FRANCE SYSTEMES DE VENTILA</t>
  </si>
  <si>
    <t xml:space="preserve">401446</t>
  </si>
  <si>
    <t xml:space="preserve">Clapet anti-retour en PVC D100 mm NICOLL CART</t>
  </si>
  <si>
    <t xml:space="preserve">076424</t>
  </si>
  <si>
    <t xml:space="preserve">PLB-027</t>
  </si>
  <si>
    <t xml:space="preserve">858356</t>
  </si>
  <si>
    <t xml:space="preserve">Colle PVC rigide à prise rapide pour Tuyaux et Canalisations - Certifié ACS - Pot de 500 MLT</t>
  </si>
  <si>
    <t xml:space="preserve">508934-1</t>
  </si>
  <si>
    <t xml:space="preserve">Colle PVC eau potable - qualité alimentaire - pot de 500 ml</t>
  </si>
  <si>
    <t xml:space="preserve">1948659</t>
  </si>
  <si>
    <t xml:space="preserve">T-88 Colle PVC liquide 500 ML</t>
  </si>
  <si>
    <t xml:space="preserve">GRIFFON FRANCE</t>
  </si>
  <si>
    <t xml:space="preserve">6302441</t>
  </si>
  <si>
    <t xml:space="preserve">PLB-028</t>
  </si>
  <si>
    <t xml:space="preserve">Appareils</t>
  </si>
  <si>
    <t xml:space="preserve">1023234</t>
  </si>
  <si>
    <t xml:space="preserve">Mitigeur / Robinet pour lavabo. Norme NF ECAU. Cartouche céramique Ø 35 mm C3. Vidage ABS</t>
  </si>
  <si>
    <t xml:space="preserve">VOD15</t>
  </si>
  <si>
    <t xml:space="preserve">Lavabo en céramique sanitaire avec trop-plein 60 cm STARCK 3 DURAVIT 300600000</t>
  </si>
  <si>
    <t xml:space="preserve">DURAVIT</t>
  </si>
  <si>
    <t xml:space="preserve">646099</t>
  </si>
  <si>
    <t xml:space="preserve">PLB-029</t>
  </si>
  <si>
    <t xml:space="preserve">4936878</t>
  </si>
  <si>
    <t xml:space="preserve">Vasque a poser rectangle illico 50x35 cm</t>
  </si>
  <si>
    <t xml:space="preserve">143705</t>
  </si>
  <si>
    <t xml:space="preserve">Vasque à poser carrée 40x40 en céramique Blanc</t>
  </si>
  <si>
    <t xml:space="preserve">JURASSIENNE DE CERAMIQUE FRANC</t>
  </si>
  <si>
    <t xml:space="preserve">VQP2101.20/JCF</t>
  </si>
  <si>
    <t xml:space="preserve">Vasque à poser SQUARE 50 MATE 50x30 en Solid Surface THALASSOR SQUARE50</t>
  </si>
  <si>
    <t xml:space="preserve">THALASSOR</t>
  </si>
  <si>
    <t xml:space="preserve">838565</t>
  </si>
  <si>
    <t xml:space="preserve">PLB-030</t>
  </si>
  <si>
    <t xml:space="preserve">Bâti-support Duofix pour WC suspendu, 112 cm, avec réservoir Sigma 12 cm, plaque Sigma01 blanche</t>
  </si>
  <si>
    <t xml:space="preserve">150015</t>
  </si>
  <si>
    <t xml:space="preserve">Pack bâti-support et WC DUOFIX 112 cm avec réservoir à encastrer Sigma 12 cm plaque de déclenchement Sigma20 ronde WC suspendu RENOVA semi-c</t>
  </si>
  <si>
    <t xml:space="preserve">4989369</t>
  </si>
  <si>
    <t xml:space="preserve">869195</t>
  </si>
  <si>
    <t xml:space="preserve">PLB-031</t>
  </si>
  <si>
    <t xml:space="preserve">390127</t>
  </si>
  <si>
    <t xml:space="preserve">Cuvette WC au sol BASTIA sortie horizontale blanc Réf. 501.960.00.1</t>
  </si>
  <si>
    <t xml:space="preserve">4862440</t>
  </si>
  <si>
    <t xml:space="preserve">PLB-032</t>
  </si>
  <si>
    <t xml:space="preserve">OLFA</t>
  </si>
  <si>
    <t xml:space="preserve">430325</t>
  </si>
  <si>
    <t xml:space="preserve">Pack WC au sol standard normé NF - Double commande 3/6 litres - Abattant double</t>
  </si>
  <si>
    <t xml:space="preserve">444511-1</t>
  </si>
  <si>
    <t xml:space="preserve">Pack WC PMR SOL sans bride 3/6L - Double commande - Abattant anti-bactérien - Charnières en acier</t>
  </si>
  <si>
    <t xml:space="preserve">501512008</t>
  </si>
  <si>
    <t xml:space="preserve">PLB-033</t>
  </si>
  <si>
    <t xml:space="preserve">4955199</t>
  </si>
  <si>
    <t xml:space="preserve">Receveur de douche KINEROCK 90x90 anthracite recoupable KINEDO RD950A</t>
  </si>
  <si>
    <t xml:space="preserve">KINEDO</t>
  </si>
  <si>
    <t xml:space="preserve">757566</t>
  </si>
  <si>
    <t xml:space="preserve">PLB-034</t>
  </si>
  <si>
    <t xml:space="preserve">785336-1</t>
  </si>
  <si>
    <t xml:space="preserve">Paroi d'extension Alterna 30 cm fixe pour paroi de douche fermée CONCERTO, profilé argent brillant, verre transparent.</t>
  </si>
  <si>
    <t xml:space="preserve">4295706</t>
  </si>
  <si>
    <t xml:space="preserve">Paroi de douche EQUI fixe en verre clair ROTH 1406000056</t>
  </si>
  <si>
    <t xml:space="preserve">ROTH</t>
  </si>
  <si>
    <t xml:space="preserve">617181</t>
  </si>
  <si>
    <t xml:space="preserve">Paroi de douche 1/4 de cercle l.80 x 77 à 79 cm verre 6 mm</t>
  </si>
  <si>
    <t xml:space="preserve">39958</t>
  </si>
  <si>
    <t xml:space="preserve">PLB-035</t>
  </si>
  <si>
    <t xml:space="preserve">FRANKE</t>
  </si>
  <si>
    <t xml:space="preserve">379281</t>
  </si>
  <si>
    <t xml:space="preserve">Evier à poser inox MAN 711-900 1 bac + 1 égouttoir réversible nu L90xl60 cm</t>
  </si>
  <si>
    <t xml:space="preserve">124248</t>
  </si>
  <si>
    <t xml:space="preserve">Évier à encastrer Alterna PRIMEO blanc L100 cm P50 cm synthèse 1 bac + 1 égouttoir</t>
  </si>
  <si>
    <t xml:space="preserve">7696964</t>
  </si>
  <si>
    <t xml:space="preserve">PLB-036</t>
  </si>
  <si>
    <t xml:space="preserve">ARISTON</t>
  </si>
  <si>
    <t xml:space="preserve">859859</t>
  </si>
  <si>
    <t xml:space="preserve">Chauffe-eau électrique stable Sagéo 200 l - Ø 570 mm</t>
  </si>
  <si>
    <t xml:space="preserve">448857-1</t>
  </si>
  <si>
    <t xml:space="preserve">PLB-037</t>
  </si>
  <si>
    <t xml:space="preserve">859873</t>
  </si>
  <si>
    <t xml:space="preserve">Chauffe-eau électrique vertical mural Sagéo 100 l - Ø 505 mm</t>
  </si>
  <si>
    <t xml:space="preserve">448879-1</t>
  </si>
  <si>
    <t xml:space="preserve">Chauffe-eau thermodynamique AEROMAX 6 vertical mural CC 100 L</t>
  </si>
  <si>
    <t xml:space="preserve">157392</t>
  </si>
  <si>
    <t xml:space="preserve">Leve chauffe-eau 100% repliable</t>
  </si>
  <si>
    <t xml:space="preserve">VIRAX FRANCE</t>
  </si>
  <si>
    <t xml:space="preserve">263620</t>
  </si>
  <si>
    <t xml:space="preserve">PLB-038</t>
  </si>
  <si>
    <t xml:space="preserve">73687</t>
  </si>
  <si>
    <t xml:space="preserve">Groupe de sécurité droit SFR 3/4'' pour chauffe-eau WATTS 2252550</t>
  </si>
  <si>
    <t xml:space="preserve">409425</t>
  </si>
  <si>
    <t xml:space="preserve">Blister accessoires chauffe-eau comprenant groupe de sécurité 3/4&amp;quot; Thermador-Caleffi NF, siphon NF, 2 flexibles inox et évacuation PVC,</t>
  </si>
  <si>
    <t xml:space="preserve">BKCE</t>
  </si>
  <si>
    <t xml:space="preserve">GROUPE DE SECURITE 1' POUR CHAUFFE EAU HORIZONTAL</t>
  </si>
  <si>
    <t xml:space="preserve">448980-1</t>
  </si>
  <si>
    <t xml:space="preserve">PLB-039</t>
  </si>
  <si>
    <t xml:space="preserve">RENSON INTERNATIONAL-U2R</t>
  </si>
  <si>
    <t xml:space="preserve">739391</t>
  </si>
  <si>
    <t xml:space="preserve">Pompe de relevage automatique Feka 600R pour eaux usées, alimentation électrique : 230V - 0,50 kw - 3,1 a - débit max : 15m³/h réf.131172</t>
  </si>
  <si>
    <t xml:space="preserve">JETLY</t>
  </si>
  <si>
    <t xml:space="preserve">7851803</t>
  </si>
  <si>
    <t xml:space="preserve">Pompe de relevage eaux usées en fonte - Flygt DX 3069 HT 254 monophasé - Puissance 1,5 kW</t>
  </si>
  <si>
    <t xml:space="preserve">459576-1</t>
  </si>
  <si>
    <t xml:space="preserve">PLB-040</t>
  </si>
  <si>
    <t xml:space="preserve">ACTANA</t>
  </si>
  <si>
    <t xml:space="preserve">760199</t>
  </si>
  <si>
    <t xml:space="preserve">PLB-041</t>
  </si>
  <si>
    <t xml:space="preserve">Consommables</t>
  </si>
  <si>
    <t xml:space="preserve">Ruban téflon PTFE pour joints étanchéité - Largeur 12 mm - Fitt - Rouleau de 12 mètres</t>
  </si>
  <si>
    <t xml:space="preserve">683959-1</t>
  </si>
  <si>
    <t xml:space="preserve">SIRIUS</t>
  </si>
  <si>
    <t xml:space="preserve">087731</t>
  </si>
  <si>
    <t xml:space="preserve">PLB-042</t>
  </si>
  <si>
    <t xml:space="preserve">71961</t>
  </si>
  <si>
    <t xml:space="preserve">PLB-043</t>
  </si>
  <si>
    <t xml:space="preserve">Pâte à joint pour étanchéité tube 125 g NOVIPRO</t>
  </si>
  <si>
    <t xml:space="preserve">150404</t>
  </si>
  <si>
    <t xml:space="preserve">Pâte à joint pour étanchéité pot 250g Novipro</t>
  </si>
  <si>
    <t xml:space="preserve">4848402</t>
  </si>
  <si>
    <t xml:space="preserve">KOLMAT PÂTE À JOINT 450 G</t>
  </si>
  <si>
    <t xml:space="preserve">467432-1</t>
  </si>
  <si>
    <t xml:space="preserve">PONT A MOUSSON</t>
  </si>
  <si>
    <t xml:space="preserve">M127637</t>
  </si>
  <si>
    <t xml:space="preserve">PLB-044</t>
  </si>
  <si>
    <t xml:space="preserve">776520-1</t>
  </si>
  <si>
    <t xml:space="preserve">Collier de fixation Ramclip simple blanc diamètre 16mm pour PER prégainé diamètre 12mm x25pcs Réf. 55417</t>
  </si>
  <si>
    <t xml:space="preserve">4831631</t>
  </si>
  <si>
    <t xml:space="preserve">Sac-sachet</t>
  </si>
  <si>
    <t xml:space="preserve">Collier simple isophonique CSI 20 mm boîte de 100 FISCHER 18939</t>
  </si>
  <si>
    <t xml:space="preserve">FISCHER</t>
  </si>
  <si>
    <t xml:space="preserve">245779</t>
  </si>
  <si>
    <t xml:space="preserve">COLLIER FIXALPEX SIMPLE DE FIXATION MULTICOUCHES 16 - LE SEAU DE 100 Fixalpex et Bagalpex</t>
  </si>
  <si>
    <t xml:space="preserve">FIXALS16</t>
  </si>
  <si>
    <t xml:space="preserve">PLB-045</t>
  </si>
  <si>
    <t xml:space="preserve">474207-1</t>
  </si>
  <si>
    <t xml:space="preserve">Sous-couche Isol 20 - mousse de polyéthylène non réticulée - ép. 2 mm - rouleau de 25 m2</t>
  </si>
  <si>
    <t xml:space="preserve">PANAGET</t>
  </si>
  <si>
    <t xml:space="preserve">1984278</t>
  </si>
  <si>
    <t xml:space="preserve">CVC-001</t>
  </si>
  <si>
    <t xml:space="preserve">Chauffage</t>
  </si>
  <si>
    <t xml:space="preserve">4812110</t>
  </si>
  <si>
    <t xml:space="preserve">Radiateur chaleur douce NIRVANA+ NEO à inertie intelligent 1500 W blanc ATLANTIC 529942</t>
  </si>
  <si>
    <t xml:space="preserve">ATLANTIC</t>
  </si>
  <si>
    <t xml:space="preserve">899607</t>
  </si>
  <si>
    <t xml:space="preserve">CVC-002</t>
  </si>
  <si>
    <t xml:space="preserve">ATL425424</t>
  </si>
  <si>
    <t xml:space="preserve">Radiateur panneau rayonnant boîtier digital AMADEUS 3 - horizontal - blanc - 1000 W</t>
  </si>
  <si>
    <t xml:space="preserve">THERMOR</t>
  </si>
  <si>
    <t xml:space="preserve">4292912</t>
  </si>
  <si>
    <t xml:space="preserve">786919</t>
  </si>
  <si>
    <t xml:space="preserve">CVC-003</t>
  </si>
  <si>
    <t xml:space="preserve">6841973</t>
  </si>
  <si>
    <t xml:space="preserve">Sèche-serviettes électrique NEFERTITI Mât à droite 500 W blanc brillant ATLANTIC 850006</t>
  </si>
  <si>
    <t xml:space="preserve">867878</t>
  </si>
  <si>
    <t xml:space="preserve">CVC-004</t>
  </si>
  <si>
    <t xml:space="preserve">CVC-005</t>
  </si>
  <si>
    <t xml:space="preserve">COMAP</t>
  </si>
  <si>
    <t xml:space="preserve">408425</t>
  </si>
  <si>
    <t xml:space="preserve">Robinet thermostatique droit 1/2" à élément sensible liquide</t>
  </si>
  <si>
    <t xml:space="preserve">464524-1</t>
  </si>
  <si>
    <t xml:space="preserve">Kit droit 3 pièces pour radiateur, robinet avec tête thermostatique, 3/8&amp;quot;, coude ou té de réglage avec douille auto-étanche</t>
  </si>
  <si>
    <t xml:space="preserve">K3PE12DTR</t>
  </si>
  <si>
    <t xml:space="preserve">Kit robinet radiateur thermostatique Alterna DESIGN blanc droit 15 x 21</t>
  </si>
  <si>
    <t xml:space="preserve">3184347</t>
  </si>
  <si>
    <t xml:space="preserve">CVC-006</t>
  </si>
  <si>
    <t xml:space="preserve">408419</t>
  </si>
  <si>
    <t xml:space="preserve">CVC-007</t>
  </si>
  <si>
    <t xml:space="preserve">166790</t>
  </si>
  <si>
    <t xml:space="preserve">PURGEUR AUTOMATIQUE R2 AVEC CLAPET D'ISOLEMENT - 3/8 M</t>
  </si>
  <si>
    <t xml:space="preserve">449245-1</t>
  </si>
  <si>
    <t xml:space="preserve">CVC-008</t>
  </si>
  <si>
    <t xml:space="preserve">THERMADOR</t>
  </si>
  <si>
    <t xml:space="preserve">759652</t>
  </si>
  <si>
    <t xml:space="preserve">CVC-009</t>
  </si>
  <si>
    <t xml:space="preserve">MOTIP</t>
  </si>
  <si>
    <t xml:space="preserve">6270125</t>
  </si>
  <si>
    <t xml:space="preserve">Vase d'expansion 18 L M3/4 D280 à vessie interchangeable WATTS 22VR18</t>
  </si>
  <si>
    <t xml:space="preserve">741155</t>
  </si>
  <si>
    <t xml:space="preserve">VASE D'EXPANSION FERME 18L 1 BAR POUR CHAUFFAGE ET CLIMATISATION</t>
  </si>
  <si>
    <t xml:space="preserve">449262-1</t>
  </si>
  <si>
    <t xml:space="preserve">VASE D’EXPANSION 6L</t>
  </si>
  <si>
    <t xml:space="preserve">OSILY</t>
  </si>
  <si>
    <t xml:space="preserve">60091518</t>
  </si>
  <si>
    <t xml:space="preserve">CVC-010</t>
  </si>
  <si>
    <t xml:space="preserve">449256-1</t>
  </si>
  <si>
    <t xml:space="preserve">Thermostat d'ambiance mécanique - saillie - blanc</t>
  </si>
  <si>
    <t xml:space="preserve">1971161</t>
  </si>
  <si>
    <t xml:space="preserve">Thermostat d'ambiance programmable/hebdomadaire sans fil OR 100RF BOSCH 7724001292</t>
  </si>
  <si>
    <t xml:space="preserve">BOSCH</t>
  </si>
  <si>
    <t xml:space="preserve">869111</t>
  </si>
  <si>
    <t xml:space="preserve">RAMSES 366/1 top2 - Thermostat d'ambiance programmable 7J Réglage +6 A +30  1NO+ 1NF sonde non fournie. Largeur 2 modules</t>
  </si>
  <si>
    <t xml:space="preserve">3660100</t>
  </si>
  <si>
    <t xml:space="preserve">CVC-012</t>
  </si>
  <si>
    <t xml:space="preserve">FC1PA2215CE12</t>
  </si>
  <si>
    <t xml:space="preserve">CVC-013</t>
  </si>
  <si>
    <t xml:space="preserve">Ventilation</t>
  </si>
  <si>
    <t xml:space="preserve">S&amp;P</t>
  </si>
  <si>
    <t xml:space="preserve">6862455</t>
  </si>
  <si>
    <t xml:space="preserve">Ensemble VMC simple flux autoréglable styl'air BC Autogyre avec détection d'humidité</t>
  </si>
  <si>
    <t xml:space="preserve">689073-1</t>
  </si>
  <si>
    <t xml:space="preserve">Kit VMC EasyHOME simple flux autorégrable compact ALDES 11026035</t>
  </si>
  <si>
    <t xml:space="preserve">ALDES</t>
  </si>
  <si>
    <t xml:space="preserve">860667</t>
  </si>
  <si>
    <t xml:space="preserve">Groupe VMC simple flux EASYHOME Auto COMBLES Classic</t>
  </si>
  <si>
    <t xml:space="preserve">ALDES FRANCE</t>
  </si>
  <si>
    <t xml:space="preserve">11026031</t>
  </si>
  <si>
    <t xml:space="preserve">CVC-014</t>
  </si>
  <si>
    <t xml:space="preserve">1747176</t>
  </si>
  <si>
    <t xml:space="preserve">Bouche d'extraction Cuisine Diam 125 mm  avec manchon long pour traversée de dalle , long  275 mm</t>
  </si>
  <si>
    <t xml:space="preserve">NATHER S.A.</t>
  </si>
  <si>
    <t xml:space="preserve">551740</t>
  </si>
  <si>
    <t xml:space="preserve">Bouche d'extraction hygroréglable BEHS 10 à 40 m3/h S&amp;P 850195</t>
  </si>
  <si>
    <t xml:space="preserve">UNELVENT</t>
  </si>
  <si>
    <t xml:space="preserve">880125</t>
  </si>
  <si>
    <t xml:space="preserve">CVC-015</t>
  </si>
  <si>
    <t xml:space="preserve">666110</t>
  </si>
  <si>
    <t xml:space="preserve">Bouche d'extraction autoréglable pour VMC - Sanitaire et cloison - diamètre 80 mm</t>
  </si>
  <si>
    <t xml:space="preserve">755665-1</t>
  </si>
  <si>
    <t xml:space="preserve">Bouche d'extraction ou insufflation pour sanitaire diamètre _80mm en vrac</t>
  </si>
  <si>
    <t xml:space="preserve">1747175</t>
  </si>
  <si>
    <t xml:space="preserve">Bouche d'extraction sanitaire Diam 80 mm  avec manchon long pour traversée de dalle , long  275 mm</t>
  </si>
  <si>
    <t xml:space="preserve">551756</t>
  </si>
  <si>
    <t xml:space="preserve">CVC-016</t>
  </si>
  <si>
    <t xml:space="preserve">Gaine de ventilation souple pour VMC simple flux - Diamètre 125 mm - Longueur 3 m - PVC - Autogyre</t>
  </si>
  <si>
    <t xml:space="preserve">689062-1</t>
  </si>
  <si>
    <t xml:space="preserve">S &amp; P FRANCE Gaine souple isolée ECOSOFT, isolation 25 mm, zéro phtalate, D 125 mm, long 6 m</t>
  </si>
  <si>
    <t xml:space="preserve">UNE813922</t>
  </si>
  <si>
    <t xml:space="preserve">Gaine PVC souple isolée 6 mètres sous filet diamètre gaine 125 mm épaisseur isolant 25 mm Réf. 61012506</t>
  </si>
  <si>
    <t xml:space="preserve">EOLIANCE</t>
  </si>
  <si>
    <t xml:space="preserve">7410003</t>
  </si>
  <si>
    <t xml:space="preserve">647683</t>
  </si>
  <si>
    <t xml:space="preserve">SRFPVCETH 125 GAINE PVC SOUPLE ECOSOFT ISOLEE 25 MM D=125mm -filet 6m</t>
  </si>
  <si>
    <t xml:space="preserve">549244</t>
  </si>
  <si>
    <t xml:space="preserve">CVC-017</t>
  </si>
  <si>
    <t xml:space="preserve">KS TOOLS</t>
  </si>
  <si>
    <t xml:space="preserve">806962</t>
  </si>
  <si>
    <t xml:space="preserve">CVC-018</t>
  </si>
  <si>
    <t xml:space="preserve">863720</t>
  </si>
  <si>
    <t xml:space="preserve">AERATEURS SILENCE ET DESIGN SILEO 125 HYGRO Salle de Bain , CUISINE .</t>
  </si>
  <si>
    <t xml:space="preserve">124533</t>
  </si>
  <si>
    <t xml:space="preserve">CVC-019</t>
  </si>
  <si>
    <t xml:space="preserve">POUJOULAT</t>
  </si>
  <si>
    <t xml:space="preserve">3051510</t>
  </si>
  <si>
    <t xml:space="preserve">Grille de ventilation murale extérieure - À clapet - Diamètre 100 mm - 155 x 155 mm - Inox</t>
  </si>
  <si>
    <t xml:space="preserve">755688-1</t>
  </si>
  <si>
    <t xml:space="preserve">Grille extérieure extraction/reprise acier inox vernis. façade amovible. D 125mm</t>
  </si>
  <si>
    <t xml:space="preserve">810412</t>
  </si>
  <si>
    <t xml:space="preserve">CVC-020</t>
  </si>
  <si>
    <t xml:space="preserve">1734270</t>
  </si>
  <si>
    <t xml:space="preserve">Chapeau de ventilation toiture pour tuile ou ardoise - Diamètre 125 mm - Couleur tuile</t>
  </si>
  <si>
    <t xml:space="preserve">688994-1</t>
  </si>
  <si>
    <t xml:space="preserve">Chapeau de toiture rectangle tuile D 125 mm plastique UNELVENT 870073</t>
  </si>
  <si>
    <t xml:space="preserve">405537</t>
  </si>
  <si>
    <t xml:space="preserve">CVC-021</t>
  </si>
  <si>
    <t xml:space="preserve">Climatisation</t>
  </si>
  <si>
    <t xml:space="preserve">M216116</t>
  </si>
  <si>
    <t xml:space="preserve">CVC-022</t>
  </si>
  <si>
    <t xml:space="preserve">SCGA THERMOR</t>
  </si>
  <si>
    <t xml:space="preserve">232310</t>
  </si>
  <si>
    <t xml:space="preserve">Liaison 7 m</t>
  </si>
  <si>
    <t xml:space="preserve">CVC-023</t>
  </si>
  <si>
    <t xml:space="preserve">232313</t>
  </si>
  <si>
    <t xml:space="preserve">CVC-024</t>
  </si>
  <si>
    <t xml:space="preserve">SFA</t>
  </si>
  <si>
    <t xml:space="preserve">390823</t>
  </si>
  <si>
    <t xml:space="preserve">CVC-025</t>
  </si>
  <si>
    <t xml:space="preserve">857861</t>
  </si>
  <si>
    <t xml:space="preserve">Goulotte de climatisation p 75mm h 125mm IK08-IK10 PVC RAL 9010 blanc paloma</t>
  </si>
  <si>
    <t xml:space="preserve">CLM75125</t>
  </si>
  <si>
    <t xml:space="preserve">CVC-027</t>
  </si>
  <si>
    <t xml:space="preserve">Regulation</t>
  </si>
  <si>
    <t xml:space="preserve">ELM LEBLANC</t>
  </si>
  <si>
    <t xml:space="preserve">845383</t>
  </si>
  <si>
    <t xml:space="preserve">Sonde de température extérieure filaire IP55</t>
  </si>
  <si>
    <t xml:space="preserve">EK088</t>
  </si>
  <si>
    <t xml:space="preserve">CVC-028</t>
  </si>
  <si>
    <t xml:space="preserve">390004</t>
  </si>
  <si>
    <t xml:space="preserve">Manomètre à prise latérale - 0/10 bar - M8x13 mm</t>
  </si>
  <si>
    <t xml:space="preserve">1531250</t>
  </si>
  <si>
    <t xml:space="preserve">SOUPAPE DE SURETE CHAUFFAGE 1/2 ZM - NF 3 BAR - AVEC MANOMETRE - CODE USINE 313</t>
  </si>
  <si>
    <t xml:space="preserve">449248-1</t>
  </si>
  <si>
    <t xml:space="preserve">SER-001</t>
  </si>
  <si>
    <t xml:space="preserve">Serrures</t>
  </si>
  <si>
    <t xml:space="preserve">P790FFK</t>
  </si>
  <si>
    <t xml:space="preserve">Serrure à encastrer bec de cane + gâche - axe 40 mm - finition époxy blanc</t>
  </si>
  <si>
    <t xml:space="preserve">THIRARD</t>
  </si>
  <si>
    <t xml:space="preserve">6323641</t>
  </si>
  <si>
    <t xml:space="preserve">711381-1</t>
  </si>
  <si>
    <t xml:space="preserve">Serrure monopoint à larder pour mesure conservatoire clé I axe 50 mm têtière 250 x 20 mm IX A/G HERACLES I-L370-50X</t>
  </si>
  <si>
    <t xml:space="preserve">778873</t>
  </si>
  <si>
    <t xml:space="preserve">SER-002</t>
  </si>
  <si>
    <t xml:space="preserve">4931835</t>
  </si>
  <si>
    <t xml:space="preserve">Serrure en applique horizontale pour cylindre européen - coffre 140 x 88 mm - epoxy noir granité - axe 70 mm - Gauche</t>
  </si>
  <si>
    <t xml:space="preserve">777691-1</t>
  </si>
  <si>
    <t xml:space="preserve">ISEO Serrure en applique 3 points verticale à tirage PERFECTA A2P*</t>
  </si>
  <si>
    <t xml:space="preserve">P7902HD</t>
  </si>
  <si>
    <t xml:space="preserve">Serrure 3 points en applique Picard serrures Kléops® HERACLES - VAKMOBIL</t>
  </si>
  <si>
    <t xml:space="preserve">M126253</t>
  </si>
  <si>
    <t xml:space="preserve">SER-003</t>
  </si>
  <si>
    <t xml:space="preserve">P79ROES</t>
  </si>
  <si>
    <t xml:space="preserve">Serrure carénée 5 points Sésame HQ2 gâche tirant droite blanc 3 m A2P* HERACLES NP1803HQDT1S</t>
  </si>
  <si>
    <t xml:space="preserve">849007</t>
  </si>
  <si>
    <t xml:space="preserve">SER-004</t>
  </si>
  <si>
    <t xml:space="preserve">227003-1</t>
  </si>
  <si>
    <t xml:space="preserve">Cylindre E50 nickelé 30x30 mm - à bouton serrure européenne</t>
  </si>
  <si>
    <t xml:space="preserve">ABUS</t>
  </si>
  <si>
    <t xml:space="preserve">4508917</t>
  </si>
  <si>
    <t xml:space="preserve">Cylindre profil européen 30x30 axe 60mm – HERACLES - CEV5S0207</t>
  </si>
  <si>
    <t xml:space="preserve">216619</t>
  </si>
  <si>
    <t xml:space="preserve">SER-005</t>
  </si>
  <si>
    <t xml:space="preserve">Cylindre profil européen à bouton 30x30mm axe 60mm – HERACLES - NP3030B00H</t>
  </si>
  <si>
    <t xml:space="preserve">482357</t>
  </si>
  <si>
    <t xml:space="preserve">SER-006</t>
  </si>
  <si>
    <t xml:space="preserve">ISEO</t>
  </si>
  <si>
    <t xml:space="preserve">17321757</t>
  </si>
  <si>
    <t xml:space="preserve">SER-008</t>
  </si>
  <si>
    <t xml:space="preserve">4934544</t>
  </si>
  <si>
    <t xml:space="preserve">Verrou de porte à bouton avec cylindre européen 40 mm - Basik Abus Bronze - avec visserie 3 clés et cache de finition</t>
  </si>
  <si>
    <t xml:space="preserve">236250-1</t>
  </si>
  <si>
    <t xml:space="preserve">XHANDER Verrou de sûreté à bouton</t>
  </si>
  <si>
    <t xml:space="preserve">P79IKS3</t>
  </si>
  <si>
    <t xml:space="preserve">Verrou SUPER-SURETÉ cuirasse bouton sans bille bronze BRICARD 3378.000</t>
  </si>
  <si>
    <t xml:space="preserve">BRICARD</t>
  </si>
  <si>
    <t xml:space="preserve">075079</t>
  </si>
  <si>
    <t xml:space="preserve">SER-009</t>
  </si>
  <si>
    <t xml:space="preserve">Gâche électrique émission et rupture 12 / 24 V AC/DC SEWOSY SEU13</t>
  </si>
  <si>
    <t xml:space="preserve">880058</t>
  </si>
  <si>
    <t xml:space="preserve">IZYX SYSTEMS Gâche électrique à encastrer ESU900 universelle 12/24 volts Emission et Rupture</t>
  </si>
  <si>
    <t xml:space="preserve">55888612</t>
  </si>
  <si>
    <t xml:space="preserve">SER-010</t>
  </si>
  <si>
    <t xml:space="preserve">Gâche électrique à émission de</t>
  </si>
  <si>
    <t xml:space="preserve">COMELIT IMMOTEC</t>
  </si>
  <si>
    <t xml:space="preserve">1281</t>
  </si>
  <si>
    <t xml:space="preserve">CDVI Gâche électrique en applique pour serrure horizontale 12V à émission</t>
  </si>
  <si>
    <t xml:space="preserve">71988864</t>
  </si>
  <si>
    <t xml:space="preserve">Gâche électrique 12V à émission encastrée avec contact  EFF-EFF 17RR----R11</t>
  </si>
  <si>
    <t xml:space="preserve">EFF EFF</t>
  </si>
  <si>
    <t xml:space="preserve">241669</t>
  </si>
  <si>
    <t xml:space="preserve">SER-011</t>
  </si>
  <si>
    <t xml:space="preserve">569639</t>
  </si>
  <si>
    <t xml:space="preserve">SEWOSY Ventouse électromagnétique EF300 à encastrer 300 kg largeur 38 mm</t>
  </si>
  <si>
    <t xml:space="preserve">38432370</t>
  </si>
  <si>
    <t xml:space="preserve">VENTOUSE ÉLECTROMAGNÉTIQUE POSE ENCASTRÉE 300 KG</t>
  </si>
  <si>
    <t xml:space="preserve">1476</t>
  </si>
  <si>
    <t xml:space="preserve">SER-012</t>
  </si>
  <si>
    <t xml:space="preserve">50243753</t>
  </si>
  <si>
    <t xml:space="preserve">Ventouse à cisaillement 1200 kg 12 / 24 V DC CDVI F0525000008</t>
  </si>
  <si>
    <t xml:space="preserve">CDVI</t>
  </si>
  <si>
    <t xml:space="preserve">861102</t>
  </si>
  <si>
    <t xml:space="preserve">SER-013</t>
  </si>
  <si>
    <t xml:space="preserve">Quincaillerie porte</t>
  </si>
  <si>
    <t xml:space="preserve">M96877</t>
  </si>
  <si>
    <t xml:space="preserve">Ferme-porte GR 101 avec bras standard - force 2-3 - argent</t>
  </si>
  <si>
    <t xml:space="preserve">GROOM</t>
  </si>
  <si>
    <t xml:space="preserve">3159136</t>
  </si>
  <si>
    <t xml:space="preserve">VACHETTE Ferme-porte DC 110 force 2-3-4 avec bras à compas</t>
  </si>
  <si>
    <t xml:space="preserve">P79013I</t>
  </si>
  <si>
    <t xml:space="preserve">Ferme-porte à bras Abus AC7124 pour porte de 45 à 85 kg et de 85 à 125 cm - coloris argent</t>
  </si>
  <si>
    <t xml:space="preserve">236494-1</t>
  </si>
  <si>
    <t xml:space="preserve">SER-014</t>
  </si>
  <si>
    <t xml:space="preserve">667966-1</t>
  </si>
  <si>
    <t xml:space="preserve">Plaque têtière de fermeture finition Chromé Satiné pour porte coulissante bois</t>
  </si>
  <si>
    <t xml:space="preserve">ECLISSE</t>
  </si>
  <si>
    <t xml:space="preserve">3826963</t>
  </si>
  <si>
    <t xml:space="preserve">Bras à glissière pour ferme-porte séries TS91 / 92 / 93 CONTUR finition argent DORMA 64010001</t>
  </si>
  <si>
    <t xml:space="preserve">DORMA</t>
  </si>
  <si>
    <t xml:space="preserve">396788</t>
  </si>
  <si>
    <t xml:space="preserve">SEVAX Ferme-porte ESV 7163 force 3 fixe avec bras à glissière</t>
  </si>
  <si>
    <t xml:space="preserve">P79T01F</t>
  </si>
  <si>
    <t xml:space="preserve">SER-015</t>
  </si>
  <si>
    <t xml:space="preserve">722048-1</t>
  </si>
  <si>
    <t xml:space="preserve">Serrure anti panique Push barre IDEA 1 point pêne latéral argent ISEO 942108477TA</t>
  </si>
  <si>
    <t xml:space="preserve">587820</t>
  </si>
  <si>
    <t xml:space="preserve">SER-016</t>
  </si>
  <si>
    <t xml:space="preserve">722054-1</t>
  </si>
  <si>
    <t xml:space="preserve">Serrure anti panique Push barre IDEA 3 points finition argent ISEO 942308477TA</t>
  </si>
  <si>
    <t xml:space="preserve">587823</t>
  </si>
  <si>
    <t xml:space="preserve">SER-017</t>
  </si>
  <si>
    <t xml:space="preserve">811889-1</t>
  </si>
  <si>
    <t xml:space="preserve">Poignée sur plaque tirage clé I inox brossé HERACLES B-INOX-PT902</t>
  </si>
  <si>
    <t xml:space="preserve">030461</t>
  </si>
  <si>
    <t xml:space="preserve">Grt sur plaques étroites avec mousse Grt avec carré à montage rapide HOPPE, F9 alu aspect inox, 7 mm, clé I (PZ) 70 mm, 68-77 mm, HOPPE-Logo</t>
  </si>
  <si>
    <t xml:space="preserve">HOPPE</t>
  </si>
  <si>
    <t xml:space="preserve">4113128</t>
  </si>
  <si>
    <t xml:space="preserve">SER-018</t>
  </si>
  <si>
    <t xml:space="preserve">4651104</t>
  </si>
  <si>
    <t xml:space="preserve">XHANDER Béquille double sur rosace HUDSON 693 inox - 38 à 55 mm - bec de cane</t>
  </si>
  <si>
    <t xml:space="preserve">69056121</t>
  </si>
  <si>
    <t xml:space="preserve">Béquille double sur rosace étroite inox Jade 1294 HERACLES B-INOX-RE03</t>
  </si>
  <si>
    <t xml:space="preserve">760515</t>
  </si>
  <si>
    <t xml:space="preserve">Ensemble poignée de porte à bec de cane sur rosace Vachette Scult - platine - béquille double de carré 7 mm</t>
  </si>
  <si>
    <t xml:space="preserve">211198-1</t>
  </si>
  <si>
    <t xml:space="preserve">SER-019</t>
  </si>
  <si>
    <t xml:space="preserve">68601266</t>
  </si>
  <si>
    <t xml:space="preserve">Paumelle à souder 100 mm butée à billes classe 1 HERACLES Q-PAS100BB</t>
  </si>
  <si>
    <t xml:space="preserve">515353</t>
  </si>
  <si>
    <t xml:space="preserve">SER-020</t>
  </si>
  <si>
    <t xml:space="preserve">FAURE ET FILS</t>
  </si>
  <si>
    <t xml:space="preserve">394340</t>
  </si>
  <si>
    <t xml:space="preserve">SER-021</t>
  </si>
  <si>
    <t xml:space="preserve">722102-1</t>
  </si>
  <si>
    <t xml:space="preserve">Butoir de sol CIVIC Industrie à visser</t>
  </si>
  <si>
    <t xml:space="preserve">CIVIC Industrie</t>
  </si>
  <si>
    <t xml:space="preserve">M6047</t>
  </si>
  <si>
    <t xml:space="preserve">SER-022</t>
  </si>
  <si>
    <t xml:space="preserve">409914</t>
  </si>
  <si>
    <t xml:space="preserve">SER-023</t>
  </si>
  <si>
    <t xml:space="preserve">598049-1</t>
  </si>
  <si>
    <t xml:space="preserve">Joint d'étanchéité Joint Dual pour cadre de porte - F</t>
  </si>
  <si>
    <t xml:space="preserve">JOINT DUAL</t>
  </si>
  <si>
    <t xml:space="preserve">M86400</t>
  </si>
  <si>
    <t xml:space="preserve">PUERTAS PADILLA Joint dormant d'isolation pour porte OGMA longueur 5,26 mètres</t>
  </si>
  <si>
    <t xml:space="preserve">68904730</t>
  </si>
  <si>
    <t xml:space="preserve">Bloc-porte EI30 Palière isophonique 30dBa prépeint 204x83cm droit P - H72 résineux avec joint 4 paum. univers. - avec raidisseur et joint ba</t>
  </si>
  <si>
    <t xml:space="preserve">JELD-WEN</t>
  </si>
  <si>
    <t xml:space="preserve">3540551</t>
  </si>
  <si>
    <t xml:space="preserve">SER-024</t>
  </si>
  <si>
    <t xml:space="preserve">P7902L0</t>
  </si>
  <si>
    <t xml:space="preserve">Bas de porte automatique à encastrer MATIC 3 alu 73 cm  ELLEN 1808152</t>
  </si>
  <si>
    <t xml:space="preserve">ELLEN</t>
  </si>
  <si>
    <t xml:space="preserve">390436</t>
  </si>
  <si>
    <t xml:space="preserve">Plinthe automatique encastrable isophonique pour bas de porte 86 KEB Klobruit - Invisible - 0,73 m</t>
  </si>
  <si>
    <t xml:space="preserve">711287-1</t>
  </si>
  <si>
    <t xml:space="preserve">Porte usinée Circée - épicéa massif brut premier choix - rive droite - rainurage sur le bas de la porte 15x15 mm - défonçage pour poignée cu</t>
  </si>
  <si>
    <t xml:space="preserve">GIMM</t>
  </si>
  <si>
    <t xml:space="preserve">4458022</t>
  </si>
  <si>
    <t xml:space="preserve">SER-026</t>
  </si>
  <si>
    <t xml:space="preserve">Fermetures</t>
  </si>
  <si>
    <t xml:space="preserve">PREFER</t>
  </si>
  <si>
    <t xml:space="preserve">218273</t>
  </si>
  <si>
    <t xml:space="preserve">DOM - METALUX Serrure de rideau métallique 8231.9 avec clé à profil symétrique</t>
  </si>
  <si>
    <t xml:space="preserve">31017629</t>
  </si>
  <si>
    <t xml:space="preserve">SER-027</t>
  </si>
  <si>
    <t xml:space="preserve">CM0043</t>
  </si>
  <si>
    <t xml:space="preserve">FAAC Moteur tubulaire pour volet roulant TM2</t>
  </si>
  <si>
    <t xml:space="preserve">P7907Z5</t>
  </si>
  <si>
    <t xml:space="preserve">Kit moteur cellule SSL V22 Velux pour volet roulant SSL</t>
  </si>
  <si>
    <t xml:space="preserve">VELUX</t>
  </si>
  <si>
    <t xml:space="preserve">7584129</t>
  </si>
  <si>
    <t xml:space="preserve">SER-028</t>
  </si>
  <si>
    <t xml:space="preserve">CHERUBINI</t>
  </si>
  <si>
    <t xml:space="preserve">618589</t>
  </si>
  <si>
    <t xml:space="preserve">SER-029</t>
  </si>
  <si>
    <t xml:space="preserve">152514-1</t>
  </si>
  <si>
    <t xml:space="preserve">Cadenas standard laiton UNO 40 mm s'entrouvrant anse en U HERACLES I-CAD40MV</t>
  </si>
  <si>
    <t xml:space="preserve">389782</t>
  </si>
  <si>
    <t xml:space="preserve">Cadenas laiton anse inox 84IB/50 B/DFNLI - l. 48 mm.</t>
  </si>
  <si>
    <t xml:space="preserve">7088144</t>
  </si>
  <si>
    <t xml:space="preserve">ABUS Cadenas à clé laiton nickelé anse inox 84IB varié avec 2 clés largeur 40 mm</t>
  </si>
  <si>
    <t xml:space="preserve">14145362</t>
  </si>
  <si>
    <t xml:space="preserve">SER-030</t>
  </si>
  <si>
    <t xml:space="preserve">488441</t>
  </si>
  <si>
    <t xml:space="preserve">Cadenas en aluminium Abus 64 Titalium à haute anse de 80 mm avec 2 clés - 50 x 128,5 mm</t>
  </si>
  <si>
    <t xml:space="preserve">236893-1</t>
  </si>
  <si>
    <t xml:space="preserve">Cadenas 60/40 mm - haute anse 63 mm</t>
  </si>
  <si>
    <t xml:space="preserve">4508912</t>
  </si>
  <si>
    <t xml:space="preserve">XHANDER Cadenas haute sécurité en acier cémenté - anse haute</t>
  </si>
  <si>
    <t xml:space="preserve">71890821</t>
  </si>
  <si>
    <t xml:space="preserve">SER-032</t>
  </si>
  <si>
    <t xml:space="preserve">Metallerie</t>
  </si>
  <si>
    <t xml:space="preserve">Cornière égale - acier laminé à chaud verni - 30x30 mm - ép. 3 mm - L. 2,5 m</t>
  </si>
  <si>
    <t xml:space="preserve">CQFD</t>
  </si>
  <si>
    <t xml:space="preserve">1705206</t>
  </si>
  <si>
    <t xml:space="preserve">DINAC</t>
  </si>
  <si>
    <t xml:space="preserve">793735</t>
  </si>
  <si>
    <t xml:space="preserve">SER-033</t>
  </si>
  <si>
    <t xml:space="preserve">ULTIMA VISSER FIXER COLLER</t>
  </si>
  <si>
    <t xml:space="preserve">617054</t>
  </si>
  <si>
    <t xml:space="preserve">Vis à tôle autoperceuse tête fraisée - acier zingué - Ø 3,5x13 mm - boîte de 190 pcs</t>
  </si>
  <si>
    <t xml:space="preserve">VYNEX</t>
  </si>
  <si>
    <t xml:space="preserve">4476627</t>
  </si>
  <si>
    <t xml:space="preserve">Plaque de montage perforée orion plus p FL104A-105A-204B tôle acier l350xh300mm</t>
  </si>
  <si>
    <t xml:space="preserve">FL473A</t>
  </si>
  <si>
    <t xml:space="preserve">SER-034</t>
  </si>
  <si>
    <t xml:space="preserve">LINCOLN ELECTRIC FRANCE SAS (S</t>
  </si>
  <si>
    <t xml:space="preserve">839000</t>
  </si>
  <si>
    <t xml:space="preserve">Électrode rutile - Ø 2,5x350 mm - boîte de 5 kg</t>
  </si>
  <si>
    <t xml:space="preserve">METACONCEPT</t>
  </si>
  <si>
    <t xml:space="preserve">3889864</t>
  </si>
  <si>
    <t xml:space="preserve">SER-035</t>
  </si>
  <si>
    <t xml:space="preserve">751555</t>
  </si>
  <si>
    <t xml:space="preserve">Disque à tronçonner métal A30R Makita diamètre 125 mm alésage 22.23 mm épaisseur 2.5 mm</t>
  </si>
  <si>
    <t xml:space="preserve">776753-1</t>
  </si>
  <si>
    <t xml:space="preserve">Disque à tronçonner pour métaux Starline inox - Ø 125 mm - Ø alésage 22,23 mm - ép. 1,6 mm</t>
  </si>
  <si>
    <t xml:space="preserve">NORTON-CLIPPER</t>
  </si>
  <si>
    <t xml:space="preserve">6013110</t>
  </si>
  <si>
    <t xml:space="preserve">SER-036</t>
  </si>
  <si>
    <t xml:space="preserve">Peinture pour fer anti-rouille - Glycéro brillante - Théodore Peintures - Blanc - Pot de 0,5L</t>
  </si>
  <si>
    <t xml:space="preserve">768387-1</t>
  </si>
  <si>
    <t xml:space="preserve">Peinture Fer Antirouille pour l'extérieur - noir mat 9005 - pot de 0,25 l</t>
  </si>
  <si>
    <t xml:space="preserve">JULIEN</t>
  </si>
  <si>
    <t xml:space="preserve">4445207</t>
  </si>
  <si>
    <t xml:space="preserve">RUST-OLEUM Peinture antirouille COMBICOLOR aérosol - 400 ml</t>
  </si>
  <si>
    <t xml:space="preserve">P6039PX</t>
  </si>
  <si>
    <t xml:space="preserve">SINTO</t>
  </si>
  <si>
    <t xml:space="preserve">589351</t>
  </si>
  <si>
    <t xml:space="preserve">SSI-001</t>
  </si>
  <si>
    <t xml:space="preserve">Extinction</t>
  </si>
  <si>
    <t xml:space="preserve">NOVAP</t>
  </si>
  <si>
    <t xml:space="preserve">535476</t>
  </si>
  <si>
    <t xml:space="preserve">SSI-003</t>
  </si>
  <si>
    <t xml:space="preserve">477811</t>
  </si>
  <si>
    <t xml:space="preserve">Extincteur à poudre classe A, B et C - 6 Kg</t>
  </si>
  <si>
    <t xml:space="preserve">24492869</t>
  </si>
  <si>
    <t xml:space="preserve">SSI-005</t>
  </si>
  <si>
    <t xml:space="preserve">Panneau de signalisation rond extincteur - 300 mm</t>
  </si>
  <si>
    <t xml:space="preserve">30577248</t>
  </si>
  <si>
    <t xml:space="preserve">SSI-006</t>
  </si>
  <si>
    <t xml:space="preserve">Detection</t>
  </si>
  <si>
    <t xml:space="preserve">TG600AL</t>
  </si>
  <si>
    <t xml:space="preserve">SSI-007</t>
  </si>
  <si>
    <t xml:space="preserve">51295366</t>
  </si>
  <si>
    <t xml:space="preserve">Détecteur Optique de Fumee Adressable DOF A3000</t>
  </si>
  <si>
    <t xml:space="preserve">COOPER SECURITE S.A.S.</t>
  </si>
  <si>
    <t xml:space="preserve">NUG30252</t>
  </si>
  <si>
    <t xml:space="preserve">SSI-008</t>
  </si>
  <si>
    <t xml:space="preserve">NEUTRONIC</t>
  </si>
  <si>
    <t xml:space="preserve">570038</t>
  </si>
  <si>
    <t xml:space="preserve">Déclencheur Manuel DM conventionnel standard pour équipement d’alarme incendie</t>
  </si>
  <si>
    <t xml:space="preserve">138012</t>
  </si>
  <si>
    <t xml:space="preserve">LEGRAND Déclencheur manuel alarme incendie 138012</t>
  </si>
  <si>
    <t xml:space="preserve">60372063</t>
  </si>
  <si>
    <t xml:space="preserve">SSI-009</t>
  </si>
  <si>
    <t xml:space="preserve">SSI-010</t>
  </si>
  <si>
    <t xml:space="preserve">140541</t>
  </si>
  <si>
    <t xml:space="preserve">SSI-011</t>
  </si>
  <si>
    <t xml:space="preserve">Desenfumage</t>
  </si>
  <si>
    <t xml:space="preserve">SOUCHIER-BOULLET</t>
  </si>
  <si>
    <t xml:space="preserve">57811889</t>
  </si>
  <si>
    <t xml:space="preserve">SSI-013</t>
  </si>
  <si>
    <t xml:space="preserve">Compartimentage</t>
  </si>
  <si>
    <t xml:space="preserve">Mousse RUBSON Expansive CF 90 Coupe Feu Pistolable 600ml Réf. 3072678</t>
  </si>
  <si>
    <t xml:space="preserve">RUBSON</t>
  </si>
  <si>
    <t xml:space="preserve">4982938</t>
  </si>
  <si>
    <t xml:space="preserve">SOUDAL</t>
  </si>
  <si>
    <t xml:space="preserve">550367</t>
  </si>
  <si>
    <t xml:space="preserve">Embout mélangeur FP 504 pour résine expansive M3000 et mousse coupe feu FP550 - sachet de 10</t>
  </si>
  <si>
    <t xml:space="preserve">683292-1</t>
  </si>
  <si>
    <t xml:space="preserve">KF Mousse PU expansive coupe-feu PU 2 EN 1 - 750 mL</t>
  </si>
  <si>
    <t xml:space="preserve">58228362</t>
  </si>
  <si>
    <t xml:space="preserve">Mousse coupe-feu en cartouche FBS-S/380ml</t>
  </si>
  <si>
    <t xml:space="preserve">OBO BETTERMANN FRANCE</t>
  </si>
  <si>
    <t xml:space="preserve">7203800</t>
  </si>
  <si>
    <t xml:space="preserve">SSI-014</t>
  </si>
  <si>
    <t xml:space="preserve">Mastic de jointoiement silicone coupe feu - Sikasil 670 Fire - Gris - Cartouche 300 ml</t>
  </si>
  <si>
    <t xml:space="preserve">341774-1</t>
  </si>
  <si>
    <t xml:space="preserve">SOUDAL Mastic acrylique coupe-feu FIRECRYL</t>
  </si>
  <si>
    <t xml:space="preserve">P5500AC</t>
  </si>
  <si>
    <t xml:space="preserve">BIZLINE Mastic coupe-feu blanc pour joints de raccordement 300 ml</t>
  </si>
  <si>
    <t xml:space="preserve">BIZ710326</t>
  </si>
  <si>
    <t xml:space="preserve">3185095</t>
  </si>
  <si>
    <t xml:space="preserve">Cartouche 300 ml</t>
  </si>
  <si>
    <t xml:space="preserve">Mastic coupe-feu FBA-SP/310ml/Surface à remplacer par</t>
  </si>
  <si>
    <t xml:space="preserve">7202322</t>
  </si>
  <si>
    <t xml:space="preserve">SSI-015</t>
  </si>
  <si>
    <t xml:space="preserve">AF7PRO-FC1-110</t>
  </si>
  <si>
    <t xml:space="preserve">Collier coupe-feu acier BIS Pacifyre EFC adaptable jusqu'à 160 mm (Walraven)</t>
  </si>
  <si>
    <t xml:space="preserve">WALRAVEN</t>
  </si>
  <si>
    <t xml:space="preserve">56669434</t>
  </si>
  <si>
    <t xml:space="preserve">PLA-001</t>
  </si>
  <si>
    <t xml:space="preserve">Plaques</t>
  </si>
  <si>
    <t xml:space="preserve">12884</t>
  </si>
  <si>
    <t xml:space="preserve">Plaque 2,60 × 1,20 m (3,12 m²)</t>
  </si>
  <si>
    <t xml:space="preserve">Plaque de plâtre standard Siniat Prégyplac BA13 - 2,50 M x 1,20 M - ép. 12,5 MM</t>
  </si>
  <si>
    <t xml:space="preserve">6952-2</t>
  </si>
  <si>
    <t xml:space="preserve">Plaque 2,50 × 1,20 m (3,00 m²)</t>
  </si>
  <si>
    <t xml:space="preserve">PLA-002</t>
  </si>
  <si>
    <t xml:space="preserve">SINIAT</t>
  </si>
  <si>
    <t xml:space="preserve">3257627</t>
  </si>
  <si>
    <t xml:space="preserve">Plaque 2,00 × 1,20 m (2,40 m²)</t>
  </si>
  <si>
    <t xml:space="preserve">Plaque de plâtre hydrofuge NF PLACOMARINE® BA13 L. 3.0 x l. 1.2 m R=0.04 m².K/W</t>
  </si>
  <si>
    <t xml:space="preserve">8217</t>
  </si>
  <si>
    <t xml:space="preserve">Plaque 3,00 × 1,20 m (3,60 m²)</t>
  </si>
  <si>
    <t xml:space="preserve">Plaque de plâtre hydrofuge pour pièce humide - Prégydro BA13 - 2,50 M x 1,20 M - ép. 13,0 MM</t>
  </si>
  <si>
    <t xml:space="preserve">2435-1</t>
  </si>
  <si>
    <t xml:space="preserve">PLA-003</t>
  </si>
  <si>
    <t xml:space="preserve">PLACO</t>
  </si>
  <si>
    <t xml:space="preserve">3039149</t>
  </si>
  <si>
    <t xml:space="preserve">Plaque 2,40 × 1,20 m (2,88 m²)</t>
  </si>
  <si>
    <t xml:space="preserve">Plaque de plâtre hydrofuge très résistante acoustique et coupe-feu - Prégyplus BA13 - 2,60 M x 1,20 M - ép. 12,50 MM</t>
  </si>
  <si>
    <t xml:space="preserve">349705-1</t>
  </si>
  <si>
    <t xml:space="preserve">PLA-004</t>
  </si>
  <si>
    <t xml:space="preserve">45734</t>
  </si>
  <si>
    <t xml:space="preserve">Plaque de plâtre Placo BA13 Phonique - 3x1,2 m</t>
  </si>
  <si>
    <t xml:space="preserve">1877602</t>
  </si>
  <si>
    <t xml:space="preserve">Plaque de plâtre acoustique - Placo Phonique BA13 - 2,50 M x 1,20 M -ép. 13,0 MM</t>
  </si>
  <si>
    <t xml:space="preserve">739855-3</t>
  </si>
  <si>
    <t xml:space="preserve">PLA-005</t>
  </si>
  <si>
    <t xml:space="preserve">Ossature</t>
  </si>
  <si>
    <t xml:space="preserve">4290796</t>
  </si>
  <si>
    <t xml:space="preserve">Barre 3 m</t>
  </si>
  <si>
    <t xml:space="preserve">Votre tarif — SFIC</t>
  </si>
  <si>
    <t xml:space="preserve">Rail ISOLPRO R48 NF longueur 3,00 m</t>
  </si>
  <si>
    <t xml:space="preserve">ISOLPRO</t>
  </si>
  <si>
    <t xml:space="preserve">3497520</t>
  </si>
  <si>
    <t xml:space="preserve">Rail en acier galvanisé ép. 0.53 mm NF PLACO STIL® R48 section 48x28 mm L. 3.00 m</t>
  </si>
  <si>
    <t xml:space="preserve">8224</t>
  </si>
  <si>
    <t xml:space="preserve">Rail R48 Hydrostil+ 500h Placo - Longueur 3,00 ml - Spécial locaux humides EB+c et EC</t>
  </si>
  <si>
    <t xml:space="preserve">320448-1</t>
  </si>
  <si>
    <t xml:space="preserve">Kit rail ROC DESING T9 noir longueur 1950 mm MANTION RD-T9-B</t>
  </si>
  <si>
    <t xml:space="preserve">MANTION</t>
  </si>
  <si>
    <t xml:space="preserve">761257</t>
  </si>
  <si>
    <t xml:space="preserve">PLA-006</t>
  </si>
  <si>
    <t xml:space="preserve">3097973</t>
  </si>
  <si>
    <t xml:space="preserve">Barre 2,60 m</t>
  </si>
  <si>
    <t xml:space="preserve">Montant en acier galvanisé ép. 0.59 mm NF PLACO STIL® M48 section 46.5x35 mm L. 2.99 m</t>
  </si>
  <si>
    <t xml:space="preserve">8223</t>
  </si>
  <si>
    <t xml:space="preserve">Barre 2,99 m</t>
  </si>
  <si>
    <t xml:space="preserve">Montant d'ossature métallique Knauf M48-50 pour cloison contre-cloison et plafond - longueur 3,00 M</t>
  </si>
  <si>
    <t xml:space="preserve">227751-4</t>
  </si>
  <si>
    <t xml:space="preserve">PLA-007</t>
  </si>
  <si>
    <t xml:space="preserve">201253-1</t>
  </si>
  <si>
    <t xml:space="preserve">Fourrure Placo Hydrostil+ F530 500H pour plaque hydrofuge Glasroc H Océan - L. 5,4 m</t>
  </si>
  <si>
    <t xml:space="preserve">6505296</t>
  </si>
  <si>
    <t xml:space="preserve">Barre 5,40 m</t>
  </si>
  <si>
    <t xml:space="preserve">PLA-008</t>
  </si>
  <si>
    <t xml:space="preserve">PAI</t>
  </si>
  <si>
    <t xml:space="preserve">639777</t>
  </si>
  <si>
    <t xml:space="preserve">Cheville béton SP8 pour reprise de suspente rapide sous plafond suspendu - diamètre 8,0 MM - 100 pièces</t>
  </si>
  <si>
    <t xml:space="preserve">340001-1</t>
  </si>
  <si>
    <t xml:space="preserve">Suspente réglable rapide pour plafond suspendu - 180 à 300 mm - tige lisse Ø 4 mm - boîte de 100 pcs</t>
  </si>
  <si>
    <t xml:space="preserve">1830354</t>
  </si>
  <si>
    <t xml:space="preserve">PLA-009</t>
  </si>
  <si>
    <t xml:space="preserve">1705220</t>
  </si>
  <si>
    <t xml:space="preserve">Cornière perforée grise 40 x 40 mm en 2 m DUWIC CPCO.4040.2000</t>
  </si>
  <si>
    <t xml:space="preserve">DUWIC</t>
  </si>
  <si>
    <t xml:space="preserve">588056</t>
  </si>
  <si>
    <t xml:space="preserve">PLA-010</t>
  </si>
  <si>
    <t xml:space="preserve">Isolation</t>
  </si>
  <si>
    <t xml:space="preserve">Rouleau en laine de verre non revêtu IBR NU L. 8 x l. 1.2 m x ép. 100 mm R=2.50 9.60 m²</t>
  </si>
  <si>
    <t xml:space="preserve">48590</t>
  </si>
  <si>
    <t xml:space="preserve">m</t>
  </si>
  <si>
    <t xml:space="preserve">3918037</t>
  </si>
  <si>
    <t xml:space="preserve">mètre carré</t>
  </si>
  <si>
    <t xml:space="preserve">Rouleau laine de verre pour combles et plafonds - IBR Nu Isover - R=2,50 m².K/W - 8,00 M x 1,20 M - ép. 100 MM</t>
  </si>
  <si>
    <t xml:space="preserve">1106-2</t>
  </si>
  <si>
    <t xml:space="preserve">m²</t>
  </si>
  <si>
    <t xml:space="preserve">Panneau laine de verre GR 32 roulé revêtu kraft pour isolation des murs - ép. 100 mm - 2,7x1,2 m - R=3,15 m².K/W</t>
  </si>
  <si>
    <t xml:space="preserve">ISOVER</t>
  </si>
  <si>
    <t xml:space="preserve">1670246</t>
  </si>
  <si>
    <t xml:space="preserve">Mètre carré</t>
  </si>
  <si>
    <t xml:space="preserve">PLA-011</t>
  </si>
  <si>
    <t xml:space="preserve">ROCKWOOL</t>
  </si>
  <si>
    <t xml:space="preserve">7784984</t>
  </si>
  <si>
    <t xml:space="preserve">Paquet</t>
  </si>
  <si>
    <t xml:space="preserve">Panneau isolant laine de roche Rockfaçade 401 non revêtu épaisseur 100mm 1,35x0,6m R=2,85 m².k/w ACERMI 02/015/027 Paquet 4,86 m2</t>
  </si>
  <si>
    <t xml:space="preserve">3488341</t>
  </si>
  <si>
    <t xml:space="preserve">Panneau laine de roche ECOROCK DUO L.1,2 x l. 0,6m ép.140mm R=4,00 m².k/w colis 3 pce 2,16m²</t>
  </si>
  <si>
    <t xml:space="preserve">145136</t>
  </si>
  <si>
    <t xml:space="preserve">Panneau isolant en laine de roche Acoustipan - 1200,0 MM x 100 MM - ép. 80,00 MM</t>
  </si>
  <si>
    <t xml:space="preserve">77981-1</t>
  </si>
  <si>
    <t xml:space="preserve">PLA-012</t>
  </si>
  <si>
    <t xml:space="preserve">KNAUF</t>
  </si>
  <si>
    <t xml:space="preserve">3288147</t>
  </si>
  <si>
    <t xml:space="preserve">Panneau plaque</t>
  </si>
  <si>
    <t xml:space="preserve">Polystyrène extrudé SOPRAXPS SMART L. 1.25 x l. 0.6 m ép.30 mm R=0.90m².K/W 1 panneau soit 0.75m²</t>
  </si>
  <si>
    <t xml:space="preserve">155570</t>
  </si>
  <si>
    <t xml:space="preserve">Panneau isolant pour sol Unimat Sol en polystyrène expansé - 1,55 m².K/W - 2,50 M x 1,20 M - épaisseur 60 MM</t>
  </si>
  <si>
    <t xml:space="preserve">1165-1</t>
  </si>
  <si>
    <t xml:space="preserve">Panneau isolant polystyrène expansé Knauf Therm ATTIK SE épaisseur 60 mm 1,2 x 1m R=1,80 m².k/w ACERMI 03/007/192</t>
  </si>
  <si>
    <t xml:space="preserve">3270803</t>
  </si>
  <si>
    <t xml:space="preserve">PLA-013</t>
  </si>
  <si>
    <t xml:space="preserve">ATI ISOLATION</t>
  </si>
  <si>
    <t xml:space="preserve">1779819</t>
  </si>
  <si>
    <t xml:space="preserve">Isolant multicouche réflecteur avec écran HPV ATI PRO PREMIUM L. 1.5 x l. 10 m R=3.52 soit 15m²</t>
  </si>
  <si>
    <t xml:space="preserve">145237</t>
  </si>
  <si>
    <t xml:space="preserve">Isolant mince thermo-réflecteur avec écran HPV pour rampants - Pro Wall Double - R 7,80 m².K/W - 1,50 M x 8,00 M - ép. 160 MM</t>
  </si>
  <si>
    <t xml:space="preserve">9823-1</t>
  </si>
  <si>
    <t xml:space="preserve">PLA-014</t>
  </si>
  <si>
    <t xml:space="preserve">Finitions</t>
  </si>
  <si>
    <t xml:space="preserve">Enduit reboucheur SEMIN 99 - sac de 1,5 kg Réf. A11140</t>
  </si>
  <si>
    <t xml:space="preserve">4417673</t>
  </si>
  <si>
    <t xml:space="preserve">sac-sachet</t>
  </si>
  <si>
    <t xml:space="preserve">DURALEX</t>
  </si>
  <si>
    <t xml:space="preserve">438515</t>
  </si>
  <si>
    <t xml:space="preserve">Enduit de rebouchage Edia pour murs intérieurs prêt à gâcher sac de 5 kg</t>
  </si>
  <si>
    <t xml:space="preserve">473913-1</t>
  </si>
  <si>
    <t xml:space="preserve">Enduit de rebouchage en poudre NF R-REBOUCHEUR blanc sac de 5 kg</t>
  </si>
  <si>
    <t xml:space="preserve">33575</t>
  </si>
  <si>
    <t xml:space="preserve">Enduit de rebouchage DELTAPRO sac 5kg</t>
  </si>
  <si>
    <t xml:space="preserve">DELTAPRO</t>
  </si>
  <si>
    <t xml:space="preserve">3418538</t>
  </si>
  <si>
    <t xml:space="preserve">PLA-015</t>
  </si>
  <si>
    <t xml:space="preserve">BOSTIK</t>
  </si>
  <si>
    <t xml:space="preserve">738757</t>
  </si>
  <si>
    <t xml:space="preserve">Enduit de rebouchage et lissage en pâte allégé intérieur extérieur cartouche de 310 ML</t>
  </si>
  <si>
    <t xml:space="preserve">7835306</t>
  </si>
  <si>
    <t xml:space="preserve">Pâte idéal enduit mixte universel pour lissage et égalisation des surfaces seau de 1 kg</t>
  </si>
  <si>
    <t xml:space="preserve">63694</t>
  </si>
  <si>
    <t xml:space="preserve">bid</t>
  </si>
  <si>
    <t xml:space="preserve">Enduit bande et lissage Edia pour murs intérieurs prêt à gâcher sac de 5 kg</t>
  </si>
  <si>
    <t xml:space="preserve">473911-1</t>
  </si>
  <si>
    <t xml:space="preserve">Enduit de rebouchage et lissage en pâte allégé intérieur seau de 1 litre</t>
  </si>
  <si>
    <t xml:space="preserve">SEMIN</t>
  </si>
  <si>
    <t xml:space="preserve">1365786</t>
  </si>
  <si>
    <t xml:space="preserve">PLA-016</t>
  </si>
  <si>
    <t xml:space="preserve">Bande à joint SEMIN L. 150 m</t>
  </si>
  <si>
    <t xml:space="preserve">63891</t>
  </si>
  <si>
    <t xml:space="preserve">ULTIBAT</t>
  </si>
  <si>
    <t xml:space="preserve">3178707</t>
  </si>
  <si>
    <t xml:space="preserve">Bande à joint papier - rouleau de 52 mm x 150 m</t>
  </si>
  <si>
    <t xml:space="preserve">1830338</t>
  </si>
  <si>
    <t xml:space="preserve">Bande à joint rouleau 150 m PAI BJP150</t>
  </si>
  <si>
    <t xml:space="preserve">740767</t>
  </si>
  <si>
    <t xml:space="preserve">Bande à joint 3D Gypso papier kraft - Largeur 5 CM - Rouleau 150 M</t>
  </si>
  <si>
    <t xml:space="preserve">65380-1</t>
  </si>
  <si>
    <t xml:space="preserve">PLA-017</t>
  </si>
  <si>
    <t xml:space="preserve">740766</t>
  </si>
  <si>
    <t xml:space="preserve">Bande armée pour renfort angle saillant rouleau de 30 m</t>
  </si>
  <si>
    <t xml:space="preserve">1175762</t>
  </si>
  <si>
    <t xml:space="preserve">Bande à joint armée PLACO L. 30 m</t>
  </si>
  <si>
    <t xml:space="preserve">8261</t>
  </si>
  <si>
    <t xml:space="preserve">rou</t>
  </si>
  <si>
    <t xml:space="preserve">Bande armée pour renfort d'angle saillant de cloison - rouleau de 30 m</t>
  </si>
  <si>
    <t xml:space="preserve">1176885</t>
  </si>
  <si>
    <t xml:space="preserve">Bande de renfort d'angle armée XXL GYPSO 7,65 CM x 30 M</t>
  </si>
  <si>
    <t xml:space="preserve">444980-1</t>
  </si>
  <si>
    <t xml:space="preserve">PLA-018</t>
  </si>
  <si>
    <t xml:space="preserve">Fixation</t>
  </si>
  <si>
    <t xml:space="preserve">751496</t>
  </si>
  <si>
    <t xml:space="preserve">Vis autoperceuse trompette et pointe clou NF TTPC 25 mm 1000 pces</t>
  </si>
  <si>
    <t xml:space="preserve">63893</t>
  </si>
  <si>
    <t xml:space="preserve">boi</t>
  </si>
  <si>
    <t xml:space="preserve">4867819</t>
  </si>
  <si>
    <t xml:space="preserve">Vis TTPC Gypso pour fixation plaques de plâtre - 3,5 MM x 25 MM - boîte de 1000</t>
  </si>
  <si>
    <t xml:space="preserve">104712-1</t>
  </si>
  <si>
    <t xml:space="preserve">Vis tête trompette pointe clou TTPC Isolpro L. 25 mm boîte 1000 pcs</t>
  </si>
  <si>
    <t xml:space="preserve">3572887</t>
  </si>
  <si>
    <t xml:space="preserve">boîte</t>
  </si>
  <si>
    <t xml:space="preserve">PLA-019</t>
  </si>
  <si>
    <t xml:space="preserve">Boite de 1000 vis TTPC 3.5 x 35 mm pour fixation de plaques de plâtre - empreinte phillips (embout fourni) ULTIMA 16300002</t>
  </si>
  <si>
    <t xml:space="preserve">751497</t>
  </si>
  <si>
    <t xml:space="preserve">Vis autoperceuse trompette et pointe clou NF TTPC 35 mm 1000 pces</t>
  </si>
  <si>
    <t xml:space="preserve">63894</t>
  </si>
  <si>
    <t xml:space="preserve">Vis TTPC Gypso pour fixation plaques de plâtre - 3,5 MM x 35 MM - boîte de 1000</t>
  </si>
  <si>
    <t xml:space="preserve">104714-1</t>
  </si>
  <si>
    <t xml:space="preserve">Vis TTPC 35mm boîte de 1000</t>
  </si>
  <si>
    <t xml:space="preserve">4986244</t>
  </si>
  <si>
    <t xml:space="preserve">PLA-020</t>
  </si>
  <si>
    <t xml:space="preserve">SPIT PASLODE</t>
  </si>
  <si>
    <t xml:space="preserve">688871</t>
  </si>
  <si>
    <t xml:space="preserve">FIX LAVABO paroi creuse, tige filetée 8x100, chevilles métalliques à expansion 8x36</t>
  </si>
  <si>
    <t xml:space="preserve">111696</t>
  </si>
  <si>
    <t xml:space="preserve">Cheville à expansion en métal pour forage de Diam. 35-38 mm</t>
  </si>
  <si>
    <t xml:space="preserve">375741-1</t>
  </si>
  <si>
    <t xml:space="preserve">Pince d'expansion pour chevilles métalliques universelles Ultra-Fix - L. 200 mm</t>
  </si>
  <si>
    <t xml:space="preserve">EDMA</t>
  </si>
  <si>
    <t xml:space="preserve">1596149</t>
  </si>
  <si>
    <t xml:space="preserve">PLA-021</t>
  </si>
  <si>
    <t xml:space="preserve">591640</t>
  </si>
  <si>
    <t xml:space="preserve">Cheville à bascule Duotec 12 -10/bte Réf. 542590</t>
  </si>
  <si>
    <t xml:space="preserve">4765637</t>
  </si>
  <si>
    <t xml:space="preserve">PLA-022</t>
  </si>
  <si>
    <t xml:space="preserve">Plafond</t>
  </si>
  <si>
    <t xml:space="preserve">EUROCOUSTIC</t>
  </si>
  <si>
    <t xml:space="preserve">6942791</t>
  </si>
  <si>
    <t xml:space="preserve">Dalle 0,60 × 0,60 m (0,36 m²)</t>
  </si>
  <si>
    <t xml:space="preserve">Dalle plafond Artic bords droits A 600x600x20mm blanc</t>
  </si>
  <si>
    <t xml:space="preserve">6505390</t>
  </si>
  <si>
    <t xml:space="preserve">Dalle de plafond Hygiene Performance bords A T24 Blanc L.600xl.600mm EP20mm 28 dalles soit 10,08m²</t>
  </si>
  <si>
    <t xml:space="preserve">150438</t>
  </si>
  <si>
    <t xml:space="preserve">PLA-023</t>
  </si>
  <si>
    <t xml:space="preserve">ROCKFON</t>
  </si>
  <si>
    <t xml:space="preserve">6787890</t>
  </si>
  <si>
    <t xml:space="preserve">Clip de rive métallique Maphina pour ossature de plafond suspendu - T24 - Boîte de 500</t>
  </si>
  <si>
    <t xml:space="preserve">491834-1</t>
  </si>
  <si>
    <t xml:space="preserve">PEI-001</t>
  </si>
  <si>
    <t xml:space="preserve">Peintures</t>
  </si>
  <si>
    <t xml:space="preserve">Peinture acrylique - blanc mat - aérosol de 400 ml</t>
  </si>
  <si>
    <t xml:space="preserve">3511944</t>
  </si>
  <si>
    <t xml:space="preserve">Peinture blanche mur et plafond - Gypso - Résine acrylique lessivable - Blanc mat - Pot de 15 L</t>
  </si>
  <si>
    <t xml:space="preserve">168374-1</t>
  </si>
  <si>
    <t xml:space="preserve">438670</t>
  </si>
  <si>
    <t xml:space="preserve">Peinture acrylique GORI MS20 blanc mat 10 L</t>
  </si>
  <si>
    <t xml:space="preserve">158426</t>
  </si>
  <si>
    <t xml:space="preserve">PEI-002</t>
  </si>
  <si>
    <t xml:space="preserve">Rouleau pour peinture acrylique spécial sous-couches et impressions 180 mm - Polyester 12 mm</t>
  </si>
  <si>
    <t xml:space="preserve">703818-1</t>
  </si>
  <si>
    <t xml:space="preserve">Peinture satin acrylique intérieur PROACRYL 1 L Aurélia</t>
  </si>
  <si>
    <t xml:space="preserve">AURELIA</t>
  </si>
  <si>
    <t xml:space="preserve">4758315</t>
  </si>
  <si>
    <t xml:space="preserve">Bidon</t>
  </si>
  <si>
    <t xml:space="preserve">Peinture polaire acrylique mat intérieur/extérieur 4 L Réf. A11022</t>
  </si>
  <si>
    <t xml:space="preserve">4338439</t>
  </si>
  <si>
    <t xml:space="preserve">Peinture mat velours acrylique intérieur SATINEA+ 3 L</t>
  </si>
  <si>
    <t xml:space="preserve">145402</t>
  </si>
  <si>
    <t xml:space="preserve">PEI-003</t>
  </si>
  <si>
    <t xml:space="preserve">Peinture velours acrylique intérieur PROACRYL 1 L</t>
  </si>
  <si>
    <t xml:space="preserve">145904</t>
  </si>
  <si>
    <t xml:space="preserve">Peinture velours acrylique intérieur PROACRYL 1 L Aurélia</t>
  </si>
  <si>
    <t xml:space="preserve">4758312</t>
  </si>
  <si>
    <t xml:space="preserve">778641</t>
  </si>
  <si>
    <t xml:space="preserve">Brosse pro peinture acrylique lot de 5</t>
  </si>
  <si>
    <t xml:space="preserve">1732670</t>
  </si>
  <si>
    <t xml:space="preserve">Peinture pour mur et plafond en intérieur Gypso - Résine acrylique lessivable - Blanc velours - Pot de 15 L</t>
  </si>
  <si>
    <t xml:space="preserve">168400-1</t>
  </si>
  <si>
    <t xml:space="preserve">PEI-004</t>
  </si>
  <si>
    <t xml:space="preserve">438554</t>
  </si>
  <si>
    <t xml:space="preserve">Pot 1 L</t>
  </si>
  <si>
    <t xml:space="preserve">Peinture Hammerite brillant laque blanc 2,5 litres</t>
  </si>
  <si>
    <t xml:space="preserve">HAMMERITE</t>
  </si>
  <si>
    <t xml:space="preserve">1639459</t>
  </si>
  <si>
    <t xml:space="preserve">PEI-005</t>
  </si>
  <si>
    <t xml:space="preserve">Sous-couche acoustique 2 en 1 Basic Plus - rouleau de 15 m²</t>
  </si>
  <si>
    <t xml:space="preserve">QUICK STEP</t>
  </si>
  <si>
    <t xml:space="preserve">6139274</t>
  </si>
  <si>
    <t xml:space="preserve">Rouleau de peinture chantier spécial sous-couche L'Outil Parfait - Polyester 12 mm - Avec monture</t>
  </si>
  <si>
    <t xml:space="preserve">703851-1</t>
  </si>
  <si>
    <t xml:space="preserve">Sous-couche acoustique pour collage en cordon SIKA ép. 5mm 10 m²</t>
  </si>
  <si>
    <t xml:space="preserve">32222</t>
  </si>
  <si>
    <t xml:space="preserve">849280</t>
  </si>
  <si>
    <t xml:space="preserve">PEI-006</t>
  </si>
  <si>
    <t xml:space="preserve">Rouleau de peinture spécial façades et travaux extérieurs - 180 mm - Polyamide texturé 18 mm</t>
  </si>
  <si>
    <t xml:space="preserve">703801-1</t>
  </si>
  <si>
    <t xml:space="preserve">SIKKENS</t>
  </si>
  <si>
    <t xml:space="preserve">7735562</t>
  </si>
  <si>
    <t xml:space="preserve">Pot 5 L</t>
  </si>
  <si>
    <t xml:space="preserve">PEI-007</t>
  </si>
  <si>
    <t xml:space="preserve">55996</t>
  </si>
  <si>
    <t xml:space="preserve">Pot 0,75 L</t>
  </si>
  <si>
    <t xml:space="preserve">Peinture anti-humidité écran total pot de 0,75 litre</t>
  </si>
  <si>
    <t xml:space="preserve">1432988</t>
  </si>
  <si>
    <t xml:space="preserve">PEI-008</t>
  </si>
  <si>
    <t xml:space="preserve">665099-1</t>
  </si>
  <si>
    <t xml:space="preserve">Pot 2,5 L</t>
  </si>
  <si>
    <t xml:space="preserve">PEI-009</t>
  </si>
  <si>
    <t xml:space="preserve">29598</t>
  </si>
  <si>
    <t xml:space="preserve">Peinture glycéro antirouille spéciale fer - Théodore Peintures - Noir mat - Pot de 2,5L</t>
  </si>
  <si>
    <t xml:space="preserve">768419-1</t>
  </si>
  <si>
    <t xml:space="preserve">PEI-010</t>
  </si>
  <si>
    <t xml:space="preserve">Outillage peinture</t>
  </si>
  <si>
    <t xml:space="preserve">703815-1</t>
  </si>
  <si>
    <t xml:space="preserve">Rouleau peinture 180mm Antigoutte pour finition mate et satinée - manchon fibres polyamide épaisseur 12mm réf. 27830180</t>
  </si>
  <si>
    <t xml:space="preserve">3621157</t>
  </si>
  <si>
    <t xml:space="preserve">NESPOLI</t>
  </si>
  <si>
    <t xml:space="preserve">PEI-011</t>
  </si>
  <si>
    <t xml:space="preserve">786837-1</t>
  </si>
  <si>
    <t xml:space="preserve">PEI-012</t>
  </si>
  <si>
    <t xml:space="preserve">4175824</t>
  </si>
  <si>
    <t xml:space="preserve">Manchon fendu de rép. plage utile diam 93-26 mm - L. 250 mm</t>
  </si>
  <si>
    <t xml:space="preserve">449729-1</t>
  </si>
  <si>
    <t xml:space="preserve">PEI-013</t>
  </si>
  <si>
    <t xml:space="preserve">703834-1</t>
  </si>
  <si>
    <t xml:space="preserve">Pinceau plat toutes peintures - T20</t>
  </si>
  <si>
    <t xml:space="preserve">4781040</t>
  </si>
  <si>
    <t xml:space="preserve">Brosse plate épaisse glycéro 50 mm ROULOR 434650</t>
  </si>
  <si>
    <t xml:space="preserve">ROULOR</t>
  </si>
  <si>
    <t xml:space="preserve">434771</t>
  </si>
  <si>
    <t xml:space="preserve">PEI-014</t>
  </si>
  <si>
    <t xml:space="preserve">703787-1</t>
  </si>
  <si>
    <t xml:space="preserve">Recharge Nespoli pour bac plat à peinture - 195917</t>
  </si>
  <si>
    <t xml:space="preserve">Nespoli</t>
  </si>
  <si>
    <t xml:space="preserve">M94933</t>
  </si>
  <si>
    <t xml:space="preserve">Bac plat peinture Nespoli - polypropylène transparent - pour rouleau 110 mm - 33,3x16,8x5,6 cm</t>
  </si>
  <si>
    <t xml:space="preserve">1615461</t>
  </si>
  <si>
    <t xml:space="preserve">PEI-015</t>
  </si>
  <si>
    <t xml:space="preserve">703822-1</t>
  </si>
  <si>
    <t xml:space="preserve">Perche télescopique clipsable L. 2 x 70 cm</t>
  </si>
  <si>
    <t xml:space="preserve">135828</t>
  </si>
  <si>
    <t xml:space="preserve">Perche télescopique System Block Pro 1,1 à 2 m NESPOLI 800362</t>
  </si>
  <si>
    <t xml:space="preserve">485778</t>
  </si>
  <si>
    <t xml:space="preserve">Perche télescopique Blocksys Pro - L. 2 m</t>
  </si>
  <si>
    <t xml:space="preserve">7263098</t>
  </si>
  <si>
    <t xml:space="preserve">PEI-016</t>
  </si>
  <si>
    <t xml:space="preserve">Preparation</t>
  </si>
  <si>
    <t xml:space="preserve">3M</t>
  </si>
  <si>
    <t xml:space="preserve">587250</t>
  </si>
  <si>
    <t xml:space="preserve">Adhésif de masquage lisse Novipro - rouleau de 50 m x 25 mm</t>
  </si>
  <si>
    <t xml:space="preserve">7120479</t>
  </si>
  <si>
    <t xml:space="preserve">Ruban adhésif de masquage avant peinture Edia 48 mm x 50 mètres</t>
  </si>
  <si>
    <t xml:space="preserve">448551-1</t>
  </si>
  <si>
    <t xml:space="preserve">Rouleau adhésif de masquage haute précision jaune L. 50 m X l. 2,5 cm</t>
  </si>
  <si>
    <t xml:space="preserve">69461</t>
  </si>
  <si>
    <t xml:space="preserve">PEI-017</t>
  </si>
  <si>
    <t xml:space="preserve">FILM DE PROTECTION TYPE 150 - 3 m x 25 m</t>
  </si>
  <si>
    <t xml:space="preserve">470585-1</t>
  </si>
  <si>
    <t xml:space="preserve">4868686</t>
  </si>
  <si>
    <t xml:space="preserve">Film protection translucide 50 µ 3 m 160 m² plié en 4 FILI751653</t>
  </si>
  <si>
    <t xml:space="preserve">245748</t>
  </si>
  <si>
    <t xml:space="preserve">Film de protection sous-dalle en polyéthylène T 150 PLUS ép. 150µ x h. 3 x L. 25 m soit 75 m²</t>
  </si>
  <si>
    <t xml:space="preserve">45583</t>
  </si>
  <si>
    <t xml:space="preserve">PEI-018</t>
  </si>
  <si>
    <t xml:space="preserve">CORDERIES TOURNONAISES</t>
  </si>
  <si>
    <t xml:space="preserve">483044</t>
  </si>
  <si>
    <t xml:space="preserve">Bache de protection Edia imperméable vert 140 g/m² avec oeillet 4x5 m</t>
  </si>
  <si>
    <t xml:space="preserve">278135-1</t>
  </si>
  <si>
    <t xml:space="preserve">Lot brosserie comprenant 1 réchampir en 4, 1 bâche 4x5m, 1 manchon antigoutte, 1 monture à vis 180 et 1bac à peinture 25x30 cm</t>
  </si>
  <si>
    <t xml:space="preserve">THEARD</t>
  </si>
  <si>
    <t xml:space="preserve">6895533</t>
  </si>
  <si>
    <t xml:space="preserve">PEI-019</t>
  </si>
  <si>
    <t xml:space="preserve">237926-1</t>
  </si>
  <si>
    <t xml:space="preserve">12 abrasifs 80x133 mm 8 trous VS+ grain 120</t>
  </si>
  <si>
    <t xml:space="preserve">110299</t>
  </si>
  <si>
    <t xml:space="preserve">Disque abrasif auto-agrippant Essential - velcro - 6 trous - Ø 150 mm - grain 120 - paquet de 10 pcs</t>
  </si>
  <si>
    <t xml:space="preserve">3337710</t>
  </si>
  <si>
    <t xml:space="preserve">PEI-020</t>
  </si>
  <si>
    <t xml:space="preserve">745288-1</t>
  </si>
  <si>
    <t xml:space="preserve">Lessive St Marc boîte de 1,4 kg 514813</t>
  </si>
  <si>
    <t xml:space="preserve">449308</t>
  </si>
  <si>
    <t xml:space="preserve">Lessive St-Marc oxydrine 1kg Réf. 38100170</t>
  </si>
  <si>
    <t xml:space="preserve">ST MARC</t>
  </si>
  <si>
    <t xml:space="preserve">4649834</t>
  </si>
  <si>
    <t xml:space="preserve">Lessive en poudre ST MARC oxydrine lessivage intensif murs et plafonds 1 Kg</t>
  </si>
  <si>
    <t xml:space="preserve">143291</t>
  </si>
  <si>
    <t xml:space="preserve">PEI-021</t>
  </si>
  <si>
    <t xml:space="preserve">Revetements</t>
  </si>
  <si>
    <t xml:space="preserve">156910</t>
  </si>
  <si>
    <t xml:space="preserve">Rouleau 50 × 1 m (50 m²)</t>
  </si>
  <si>
    <t xml:space="preserve">Toile de verre pour enduit de façade Ornea - maille 10 x 10 mm - Rouleau de 1,00 M x 50,00 M</t>
  </si>
  <si>
    <t xml:space="preserve">333615-1</t>
  </si>
  <si>
    <t xml:space="preserve">Toile de verre à peindre motif maille Classic EasyPaint T1010C - 1x50 m -145g/m2</t>
  </si>
  <si>
    <t xml:space="preserve">NOVELIO</t>
  </si>
  <si>
    <t xml:space="preserve">4021678</t>
  </si>
  <si>
    <t xml:space="preserve">PEI-022</t>
  </si>
  <si>
    <t xml:space="preserve">Colle PVC pour briques de verre CUBIVER</t>
  </si>
  <si>
    <t xml:space="preserve">94251-1</t>
  </si>
  <si>
    <t xml:space="preserve">2529</t>
  </si>
  <si>
    <t xml:space="preserve">Seau 10 kg</t>
  </si>
  <si>
    <t xml:space="preserve">Colle Ovalit V spéciale toiles de verre à peindre - seau de 10 kg</t>
  </si>
  <si>
    <t xml:space="preserve">METYLAN</t>
  </si>
  <si>
    <t xml:space="preserve">1300418</t>
  </si>
  <si>
    <t xml:space="preserve">PEI-023</t>
  </si>
  <si>
    <t xml:space="preserve">DALEP</t>
  </si>
  <si>
    <t xml:space="preserve">852936</t>
  </si>
  <si>
    <t xml:space="preserve">Seau doseur pour colle à papier peint - 20 l</t>
  </si>
  <si>
    <t xml:space="preserve">1312355</t>
  </si>
  <si>
    <t xml:space="preserve">Colle spéciale papier peint METYLAN 200 g.</t>
  </si>
  <si>
    <t xml:space="preserve">2531</t>
  </si>
  <si>
    <t xml:space="preserve">Règle à tapisser pour découpe du papier peint - Inox - Rectifiée garantie parallèle - Longueur 2 m</t>
  </si>
  <si>
    <t xml:space="preserve">703839-1</t>
  </si>
  <si>
    <t xml:space="preserve">SOL-001</t>
  </si>
  <si>
    <t xml:space="preserve">Carrelage</t>
  </si>
  <si>
    <t xml:space="preserve">ARTE DECO</t>
  </si>
  <si>
    <t xml:space="preserve">4788269</t>
  </si>
  <si>
    <t xml:space="preserve">Carrelage grès cérame U3P3E3C2 MUSE marbre anthractite satiné R10 L. 60 x l. 60 cm boite de 1,08 m²</t>
  </si>
  <si>
    <t xml:space="preserve">129048</t>
  </si>
  <si>
    <t xml:space="preserve">SOL-002</t>
  </si>
  <si>
    <t xml:space="preserve">Faïence murale Candy - décor Riviera Granata - 20x50 cm</t>
  </si>
  <si>
    <t xml:space="preserve">RAGNO</t>
  </si>
  <si>
    <t xml:space="preserve">6862209</t>
  </si>
  <si>
    <t xml:space="preserve">59382-2</t>
  </si>
  <si>
    <t xml:space="preserve">SOL-003</t>
  </si>
  <si>
    <t xml:space="preserve">Plinthe carrelage sol intérieur grès émaillé Villa - teinte Real - 8x32,9 cm</t>
  </si>
  <si>
    <t xml:space="preserve">3664445</t>
  </si>
  <si>
    <t xml:space="preserve">Plinthe à talon carrelage grès cérame TECHNO+ poivré h. 10 x l. 20 cm boite de 18 pièces</t>
  </si>
  <si>
    <t xml:space="preserve">150459</t>
  </si>
  <si>
    <t xml:space="preserve">425230-1</t>
  </si>
  <si>
    <t xml:space="preserve">SOL-004</t>
  </si>
  <si>
    <t xml:space="preserve">Mortier-colle webercol rapid pour carrelage - sac de 5 kg</t>
  </si>
  <si>
    <t xml:space="preserve">WEBER</t>
  </si>
  <si>
    <t xml:space="preserve">3453973</t>
  </si>
  <si>
    <t xml:space="preserve">113449</t>
  </si>
  <si>
    <t xml:space="preserve">Colle PF3 sac de 25kg</t>
  </si>
  <si>
    <t xml:space="preserve">1174491</t>
  </si>
  <si>
    <t xml:space="preserve">Mortier colle carrelage déformable fibré sans ciment portland - 577 Prolisouple ECO2 Gris - Sac de 25 kg</t>
  </si>
  <si>
    <t xml:space="preserve">411113-1</t>
  </si>
  <si>
    <t xml:space="preserve">Colle à carrelage pour pièces humides seau de 25 kg BOSTIK 30112314</t>
  </si>
  <si>
    <t xml:space="preserve">738745</t>
  </si>
  <si>
    <t xml:space="preserve">SOL-005</t>
  </si>
  <si>
    <t xml:space="preserve">Plaquette de rechange pour grattoir à joints de carrelage</t>
  </si>
  <si>
    <t xml:space="preserve">RUBI</t>
  </si>
  <si>
    <t xml:space="preserve">1556391</t>
  </si>
  <si>
    <t xml:space="preserve">738747</t>
  </si>
  <si>
    <t xml:space="preserve">Joint carrelage sols et murs intérieurs et extérieurs - de 2 à 6 mm - 5056 PROLIJOINT DESIGN - Beige Sahara - sac de 2,5 KG</t>
  </si>
  <si>
    <t xml:space="preserve">410344-25</t>
  </si>
  <si>
    <t xml:space="preserve">SOL-006</t>
  </si>
  <si>
    <t xml:space="preserve">577850</t>
  </si>
  <si>
    <t xml:space="preserve">Sachet 300 pièces</t>
  </si>
  <si>
    <t xml:space="preserve">Croisillon autonivelant à vis pour carreaux d'épaisseur 3 à 20 mm - Edilis - joint de 2 MM - Boîte de 250</t>
  </si>
  <si>
    <t xml:space="preserve">319843-1</t>
  </si>
  <si>
    <t xml:space="preserve">Croisillons auto-nivelants linéaires 3 mm boîte de 200 pièces Réf. 404234</t>
  </si>
  <si>
    <t xml:space="preserve">TALIA</t>
  </si>
  <si>
    <t xml:space="preserve">7837970</t>
  </si>
  <si>
    <t xml:space="preserve">SOL-007</t>
  </si>
  <si>
    <t xml:space="preserve">199244-1</t>
  </si>
  <si>
    <t xml:space="preserve">Natte de désolidarisation autocollante Schlüter Ditra PS 0,735 x 0,985 m DPSMA</t>
  </si>
  <si>
    <t xml:space="preserve">SCHLUTER SYSTEMS</t>
  </si>
  <si>
    <t xml:space="preserve">4894740</t>
  </si>
  <si>
    <t xml:space="preserve">Natte d'étanchéité et de désolidarisation KERDI200 en polyéthylène rouleau de 1x5 m - ép. 0,2 mm</t>
  </si>
  <si>
    <t xml:space="preserve">36222</t>
  </si>
  <si>
    <t xml:space="preserve">SOL-008</t>
  </si>
  <si>
    <t xml:space="preserve">734731-1</t>
  </si>
  <si>
    <t xml:space="preserve">Seau 7 kg</t>
  </si>
  <si>
    <t xml:space="preserve">Système d'étanchéité liquide NF WEBERSYS AQUA STOP bleu 1 kg/m² seau de 15 kg</t>
  </si>
  <si>
    <t xml:space="preserve">129582</t>
  </si>
  <si>
    <t xml:space="preserve">SOL-009</t>
  </si>
  <si>
    <t xml:space="preserve">Sols souples</t>
  </si>
  <si>
    <t xml:space="preserve">STARWAX PRO</t>
  </si>
  <si>
    <t xml:space="preserve">477046</t>
  </si>
  <si>
    <t xml:space="preserve">Sous-couche en caoutchouc-liège pour parquet et stratifié HUOT ép. 2,5 mm (15 m²)</t>
  </si>
  <si>
    <t xml:space="preserve">99176</t>
  </si>
  <si>
    <t xml:space="preserve">Rénovateur métallisant pour parquet vitrifié/sol stratifié/sol plastique - satiné - bouteille de 1 l</t>
  </si>
  <si>
    <t xml:space="preserve">BLANCHON</t>
  </si>
  <si>
    <t xml:space="preserve">1302920</t>
  </si>
  <si>
    <t xml:space="preserve">Parquet stratifié NatureSense Aqua Classic 8/32 - 4 chanfreins avec système Aqua CLIC it! 24h - 193 MM x 8,00 MM x 1292,0 MM - Chêne Dunning</t>
  </si>
  <si>
    <t xml:space="preserve">395076-2</t>
  </si>
  <si>
    <t xml:space="preserve">SOL-010</t>
  </si>
  <si>
    <t xml:space="preserve">6139272</t>
  </si>
  <si>
    <t xml:space="preserve">Colle à parquet massif et contrecollé SIKABOND 152 pour sous-couche acoustique SIKA 600 ml</t>
  </si>
  <si>
    <t xml:space="preserve">158564</t>
  </si>
  <si>
    <t xml:space="preserve">Sous-couche acoustique pour parquet et stratifié Edilis avec pare-vapeur - 15 x 1 mètre - ép. 3 mm</t>
  </si>
  <si>
    <t xml:space="preserve">36814-1</t>
  </si>
  <si>
    <t xml:space="preserve">Sous-couche acoustique sous chape flottante/carrelage Assour 20 Siplast rouleau 20 m² Réf: 10035402 ( ancienne Réf : 103550 )</t>
  </si>
  <si>
    <t xml:space="preserve">7598857</t>
  </si>
  <si>
    <t xml:space="preserve">SOL-014</t>
  </si>
  <si>
    <t xml:space="preserve">Rail Track en PVC pour plinthe stratifiée - 8x27x2400 mm</t>
  </si>
  <si>
    <t xml:space="preserve">7840113</t>
  </si>
  <si>
    <t xml:space="preserve">649588</t>
  </si>
  <si>
    <t xml:space="preserve">Plinthe PVC blanc arrondie anti-choc - Hauteur 7 cm x Largeur 1.2 cm - Longueur 2.40 mL</t>
  </si>
  <si>
    <t xml:space="preserve">418263-1</t>
  </si>
  <si>
    <t xml:space="preserve">Plinthe PVC adhésive noire 65 mm x 2,5 m</t>
  </si>
  <si>
    <t xml:space="preserve">142904</t>
  </si>
  <si>
    <t xml:space="preserve">SOL-015</t>
  </si>
  <si>
    <t xml:space="preserve">6249310</t>
  </si>
  <si>
    <t xml:space="preserve">Barre de seuil adhésive DINAC aluminium anodisé titane brossé 930 x 27 mm</t>
  </si>
  <si>
    <t xml:space="preserve">128559</t>
  </si>
  <si>
    <t xml:space="preserve">Barre de seuil adhésivé hotmelt inox 30mmx2,70m - DINAC - 0060090</t>
  </si>
  <si>
    <t xml:space="preserve">741271</t>
  </si>
  <si>
    <t xml:space="preserve">Barre de seuil adhésif extra-plate Dinac en Aluminium - 40 MM x 2,0 MM - 2,70 M</t>
  </si>
  <si>
    <t xml:space="preserve">125427-1</t>
  </si>
  <si>
    <t xml:space="preserve">SOL-016</t>
  </si>
  <si>
    <t xml:space="preserve">Preparation sol</t>
  </si>
  <si>
    <t xml:space="preserve">Mortier de ragréage intérieur autolissant P3 - sac de 25 kg</t>
  </si>
  <si>
    <t xml:space="preserve">7174395</t>
  </si>
  <si>
    <t xml:space="preserve">145840</t>
  </si>
  <si>
    <t xml:space="preserve">Ragréage autolissant P3 pour sols intérieurs - 175 SOL ULTRA - Sac de 25 kg</t>
  </si>
  <si>
    <t xml:space="preserve">516362-1</t>
  </si>
  <si>
    <t xml:space="preserve">SOL-017</t>
  </si>
  <si>
    <t xml:space="preserve">Dalle de sol extérieur Prima - béton pressé gravillonné - gris - 40x40x3,7 cm</t>
  </si>
  <si>
    <t xml:space="preserve">ALKERN</t>
  </si>
  <si>
    <t xml:space="preserve">4055947</t>
  </si>
  <si>
    <t xml:space="preserve">RUST-OLEUM</t>
  </si>
  <si>
    <t xml:space="preserve">487178</t>
  </si>
  <si>
    <t xml:space="preserve">Primaire d'accrochage SEVE SPRAY pour rubans adhésifs sur supports poreux ou rugueux - 500 mL</t>
  </si>
  <si>
    <t xml:space="preserve">316301-1</t>
  </si>
  <si>
    <t xml:space="preserve">Primaire d'accrochage garnissant CEGEPRIM ULTRA sol intérieur 400-600 g/m² sac de 15 kg</t>
  </si>
  <si>
    <t xml:space="preserve">135907</t>
  </si>
  <si>
    <t xml:space="preserve">MEN-001</t>
  </si>
  <si>
    <t xml:space="preserve">Portes</t>
  </si>
  <si>
    <t xml:space="preserve">CHAUVAT PORTES</t>
  </si>
  <si>
    <t xml:space="preserve">3495713</t>
  </si>
  <si>
    <t xml:space="preserve">Bloc-porte alvéolaire prépeint à clé rive droite axe 50 huisserie 72/54 mm H.204 x l.83 cm droite</t>
  </si>
  <si>
    <t xml:space="preserve">144689</t>
  </si>
  <si>
    <t xml:space="preserve">Bloc-porte plane alvéolaire prépeint 204x83cm droit P à recouvrement - huisserie de 72 résineux avec joint - serrure clé L axe à 40mm - emba</t>
  </si>
  <si>
    <t xml:space="preserve">6988169</t>
  </si>
  <si>
    <t xml:space="preserve">Bloc-porte intérieur Premafeu EI30 - 204 x 83 cm - Huisserie C10 - Gauche à rive droite - Serrure 1 pt</t>
  </si>
  <si>
    <t xml:space="preserve">537074-2</t>
  </si>
  <si>
    <t xml:space="preserve">MEN-002</t>
  </si>
  <si>
    <t xml:space="preserve">4661731</t>
  </si>
  <si>
    <t xml:space="preserve">Bloc-porte prépeint coupe-feu EI30 1 point huisserie perf+ 66/54 mm h. 204 x l. 63D</t>
  </si>
  <si>
    <t xml:space="preserve">130895</t>
  </si>
  <si>
    <t xml:space="preserve">Bloc-porte coupe-feu 1/2h PREMAFEU - 204 CM x 83 CM - droit poussant - Serrure 1 pt</t>
  </si>
  <si>
    <t xml:space="preserve">436435-1</t>
  </si>
  <si>
    <t xml:space="preserve">MEN-003</t>
  </si>
  <si>
    <t xml:space="preserve">EUROPRO</t>
  </si>
  <si>
    <t xml:space="preserve">1971317</t>
  </si>
  <si>
    <t xml:space="preserve">Bloc-porte de service en acier réversible coordonné basculante. Dim tab brut: l. 845 X H 2000 mm</t>
  </si>
  <si>
    <t xml:space="preserve">2879</t>
  </si>
  <si>
    <t xml:space="preserve">MEN-004</t>
  </si>
  <si>
    <t xml:space="preserve">BOURG</t>
  </si>
  <si>
    <t xml:space="preserve">572453</t>
  </si>
  <si>
    <t xml:space="preserve">boîte huisserie metal 1 module lg080010</t>
  </si>
  <si>
    <t xml:space="preserve">3684736</t>
  </si>
  <si>
    <t xml:space="preserve">GACHE HUISSERIE METALLIQUE REGLABLE 49 BRONZE</t>
  </si>
  <si>
    <t xml:space="preserve">7587</t>
  </si>
  <si>
    <t xml:space="preserve">Bloc porte Fil de cloison FILO44 2030x800mm Huisserie aluminium - Porte alvéolaire prépeinte- 3 charnières invisibles - serrure magnétique</t>
  </si>
  <si>
    <t xml:space="preserve">7849505</t>
  </si>
  <si>
    <t xml:space="preserve">MEN-005</t>
  </si>
  <si>
    <t xml:space="preserve">Bois</t>
  </si>
  <si>
    <t xml:space="preserve">545946-7</t>
  </si>
  <si>
    <t xml:space="preserve">MEN-006</t>
  </si>
  <si>
    <t xml:space="preserve">137186-1</t>
  </si>
  <si>
    <t xml:space="preserve">MEN-007</t>
  </si>
  <si>
    <t xml:space="preserve">PANNEAUX DE CORREZE</t>
  </si>
  <si>
    <t xml:space="preserve">6247116</t>
  </si>
  <si>
    <t xml:space="preserve">Panneau de médium standard - MDF - h.2070 MM x Ép.16 MM - L.2,8 M</t>
  </si>
  <si>
    <t xml:space="preserve">814033-1</t>
  </si>
  <si>
    <t xml:space="preserve">Panneau MDF hydrofuge V313 ép. 19 x L. 2800 x l.2070 mm</t>
  </si>
  <si>
    <t xml:space="preserve">109014</t>
  </si>
  <si>
    <t xml:space="preserve">MEN-008</t>
  </si>
  <si>
    <t xml:space="preserve">128971</t>
  </si>
  <si>
    <t xml:space="preserve">MEN-009</t>
  </si>
  <si>
    <t xml:space="preserve">768317-1</t>
  </si>
  <si>
    <t xml:space="preserve">Plinthe à angles vifs - MDF hydro prépeint blanc - 15x80x2440 mm</t>
  </si>
  <si>
    <t xml:space="preserve">SOTRINBOIS</t>
  </si>
  <si>
    <t xml:space="preserve">4215338</t>
  </si>
  <si>
    <t xml:space="preserve">Plinthe MDF revêtue blanc arrondie h.70 x L.2000 x ép.9 mm - 5 pièces</t>
  </si>
  <si>
    <t xml:space="preserve">91210</t>
  </si>
  <si>
    <t xml:space="preserve">MEN-010</t>
  </si>
  <si>
    <t xml:space="preserve">90913-1</t>
  </si>
  <si>
    <t xml:space="preserve">Chant mélaminé pré-encollé blanc L. 5 m x l. 23 mm</t>
  </si>
  <si>
    <t xml:space="preserve">22211</t>
  </si>
  <si>
    <t xml:space="preserve">Bande de chant mélaminée Blanc Lisse Pré-encollée W908/W980 F7949 B3002/B3822 B070 K101/K110 P099/P150 0,3mm 23mm 5m</t>
  </si>
  <si>
    <t xml:space="preserve">NORDLINGER</t>
  </si>
  <si>
    <t xml:space="preserve">1739259</t>
  </si>
  <si>
    <t xml:space="preserve">Plaque de mélaminé à chants plaqués 1200 x 3000 x 13 mm revêtue blanc</t>
  </si>
  <si>
    <t xml:space="preserve">7491214</t>
  </si>
  <si>
    <t xml:space="preserve">Chant mélaminé thermocollant blanc lisse 23 mm 50 ml NORDLINGER PRO 75246</t>
  </si>
  <si>
    <t xml:space="preserve">793785</t>
  </si>
  <si>
    <t xml:space="preserve">MEN-011</t>
  </si>
  <si>
    <t xml:space="preserve">Agencement</t>
  </si>
  <si>
    <t xml:space="preserve">19700</t>
  </si>
  <si>
    <t xml:space="preserve">Lot de 2 pièces</t>
  </si>
  <si>
    <t xml:space="preserve">Charnière invisible AIR Push à encastrer SALICE 3598647939649</t>
  </si>
  <si>
    <t xml:space="preserve">SALICE</t>
  </si>
  <si>
    <t xml:space="preserve">793916</t>
  </si>
  <si>
    <t xml:space="preserve">MEN-012</t>
  </si>
  <si>
    <t xml:space="preserve">BLUM</t>
  </si>
  <si>
    <t xml:space="preserve">393316</t>
  </si>
  <si>
    <t xml:space="preserve">Paire de coulisses à bille latérale amortie 30 kg h. 45 x L. 450 mm</t>
  </si>
  <si>
    <t xml:space="preserve">111941</t>
  </si>
  <si>
    <t xml:space="preserve">MEN-013</t>
  </si>
  <si>
    <t xml:space="preserve">COMTRA</t>
  </si>
  <si>
    <t xml:space="preserve">M8557</t>
  </si>
  <si>
    <t xml:space="preserve">MEN-014</t>
  </si>
  <si>
    <t xml:space="preserve">761504</t>
  </si>
  <si>
    <t xml:space="preserve">Poignées pour meuble sous-vasque Alterna DOMINO inox brossé 3 poignées</t>
  </si>
  <si>
    <t xml:space="preserve">7758197</t>
  </si>
  <si>
    <t xml:space="preserve">MEN-015</t>
  </si>
  <si>
    <t xml:space="preserve">Vitrerie</t>
  </si>
  <si>
    <t xml:space="preserve">SAINT-GOBAIN GLASS</t>
  </si>
  <si>
    <t xml:space="preserve">1363224</t>
  </si>
  <si>
    <t xml:space="preserve">Porte d'entrée TOTEM acier préfini BLANC - crémone auto 5pts - vitrage Stadip 44.2 - droite poussant 215x90 cm</t>
  </si>
  <si>
    <t xml:space="preserve">6043804</t>
  </si>
  <si>
    <t xml:space="preserve">MEN-016</t>
  </si>
  <si>
    <t xml:space="preserve">227213-1</t>
  </si>
  <si>
    <t xml:space="preserve">Mastic de jointoiement acrylique siliconé i-Tech - orme - cartouche de 300 ml</t>
  </si>
  <si>
    <t xml:space="preserve">CERMIX</t>
  </si>
  <si>
    <t xml:space="preserve">7847931</t>
  </si>
  <si>
    <t xml:space="preserve">GOE-001</t>
  </si>
  <si>
    <t xml:space="preserve">Liants</t>
  </si>
  <si>
    <t xml:space="preserve">738752</t>
  </si>
  <si>
    <t xml:space="preserve">Ciment multi-usages CEM II/B-M(L-S) 32,5 R CP2 CE NF - usine de Héming - sac de 25 kg</t>
  </si>
  <si>
    <t xml:space="preserve">EQIOM CIMENTS</t>
  </si>
  <si>
    <t xml:space="preserve">1828964</t>
  </si>
  <si>
    <t xml:space="preserve">Ciment SUPERBLANC 42.5 sac de 25 kg</t>
  </si>
  <si>
    <t xml:space="preserve">124723</t>
  </si>
  <si>
    <t xml:space="preserve">Ciment le Superbe Technocem blanc CEM II 32,5 R Calcia - Sac de 25 KG</t>
  </si>
  <si>
    <t xml:space="preserve">296510-1</t>
  </si>
  <si>
    <t xml:space="preserve">GOE-002</t>
  </si>
  <si>
    <t xml:space="preserve">430342-1</t>
  </si>
  <si>
    <t xml:space="preserve">Sac 25 kg</t>
  </si>
  <si>
    <t xml:space="preserve">GOE-003</t>
  </si>
  <si>
    <t xml:space="preserve">BETON UNIVERSEL PRET A L'EMPLOI SAC 25KG</t>
  </si>
  <si>
    <t xml:space="preserve">766638-1</t>
  </si>
  <si>
    <t xml:space="preserve">4798471</t>
  </si>
  <si>
    <t xml:space="preserve">GOE-004</t>
  </si>
  <si>
    <t xml:space="preserve">Ciment prompt sac de 1kg</t>
  </si>
  <si>
    <t xml:space="preserve">PAREXLANKO</t>
  </si>
  <si>
    <t xml:space="preserve">1718050</t>
  </si>
  <si>
    <t xml:space="preserve">Ciment prompt pour scellement à prise rapide CIMENT PROMPT VICAT® gris sac de 5 kg</t>
  </si>
  <si>
    <t xml:space="preserve">131155</t>
  </si>
  <si>
    <t xml:space="preserve">Ciment prompt pour scellement calage et réparation - Parexlanko - sac de 5,0 KG</t>
  </si>
  <si>
    <t xml:space="preserve">700873-1</t>
  </si>
  <si>
    <t xml:space="preserve">GOE-006</t>
  </si>
  <si>
    <t xml:space="preserve">Granulats</t>
  </si>
  <si>
    <t xml:space="preserve">82313</t>
  </si>
  <si>
    <t xml:space="preserve">Sable à maçonner 0/4 sac de 25kg</t>
  </si>
  <si>
    <t xml:space="preserve">CANTILLANA</t>
  </si>
  <si>
    <t xml:space="preserve">6089398</t>
  </si>
  <si>
    <t xml:space="preserve">Sable à bâtir pour travaux de maçonnerie Obra granulométrie 0/4 Mixte sac de 35 kg</t>
  </si>
  <si>
    <t xml:space="preserve">451126-1</t>
  </si>
  <si>
    <t xml:space="preserve">GOE-007</t>
  </si>
  <si>
    <t xml:space="preserve">34632</t>
  </si>
  <si>
    <t xml:space="preserve">GOE-008</t>
  </si>
  <si>
    <t xml:space="preserve">Blocs</t>
  </si>
  <si>
    <t xml:space="preserve">442479-1</t>
  </si>
  <si>
    <t xml:space="preserve">GOE-009</t>
  </si>
  <si>
    <t xml:space="preserve">376650-1</t>
  </si>
  <si>
    <t xml:space="preserve">Brique de cloison plâtrière traditionnelle BIO'BRIC L. 385 x l. 200 x ép. 50 mm</t>
  </si>
  <si>
    <t xml:space="preserve">69648</t>
  </si>
  <si>
    <t xml:space="preserve">ct</t>
  </si>
  <si>
    <t xml:space="preserve">GOE-010</t>
  </si>
  <si>
    <t xml:space="preserve">LAFARGE PLATRES</t>
  </si>
  <si>
    <t xml:space="preserve">391995</t>
  </si>
  <si>
    <t xml:space="preserve">Carreau de plâtre alvéolé Caroplatre - 66x50 cm - ép. 7 cm</t>
  </si>
  <si>
    <t xml:space="preserve">1302687</t>
  </si>
  <si>
    <t xml:space="preserve">GOE-011</t>
  </si>
  <si>
    <t xml:space="preserve">Armatures</t>
  </si>
  <si>
    <t xml:space="preserve">Mini-panneau B3S treillis soudé section L. 2.4 x l. 1.2 m maille L. 150 x l. 150 mm filants Ø 3.5mm</t>
  </si>
  <si>
    <t xml:space="preserve">4094</t>
  </si>
  <si>
    <t xml:space="preserve">pan</t>
  </si>
  <si>
    <t xml:space="preserve">343388-1</t>
  </si>
  <si>
    <t xml:space="preserve">Treillis soudé en panneau ST25 maille 15 x 30 cm fil 7 mm 6 x 2,40m</t>
  </si>
  <si>
    <t xml:space="preserve">1246437</t>
  </si>
  <si>
    <t xml:space="preserve">GOE-012</t>
  </si>
  <si>
    <t xml:space="preserve">Fer à béton en acier L.3 m x Ø 6 mm</t>
  </si>
  <si>
    <t xml:space="preserve">30441</t>
  </si>
  <si>
    <t xml:space="preserve">156-1</t>
  </si>
  <si>
    <t xml:space="preserve">Liens fer à beton 12 cm Botte 1000 pièces TALIAPLAST 461312</t>
  </si>
  <si>
    <t xml:space="preserve">TALIAPLAST</t>
  </si>
  <si>
    <t xml:space="preserve">118801</t>
  </si>
  <si>
    <t xml:space="preserve">Résine fer à béton FIS RC II 300 T Réf. 571678</t>
  </si>
  <si>
    <t xml:space="preserve">4764994</t>
  </si>
  <si>
    <t xml:space="preserve">GOE-013</t>
  </si>
  <si>
    <t xml:space="preserve">4101</t>
  </si>
  <si>
    <t xml:space="preserve">Barre 6 m</t>
  </si>
  <si>
    <t xml:space="preserve">GOE-014</t>
  </si>
  <si>
    <t xml:space="preserve">Etancheite</t>
  </si>
  <si>
    <t xml:space="preserve">746130</t>
  </si>
  <si>
    <t xml:space="preserve">Rouleau 110 m²</t>
  </si>
  <si>
    <t xml:space="preserve">GOE-015</t>
  </si>
  <si>
    <t xml:space="preserve">113467</t>
  </si>
  <si>
    <t xml:space="preserve">Enduit d'imperméabilisation pour caves murs enterrés et soubassements - PCI Barraseal 530 - sac de 25 KG</t>
  </si>
  <si>
    <t xml:space="preserve">261727-1</t>
  </si>
  <si>
    <t xml:space="preserve">GOE-016</t>
  </si>
  <si>
    <t xml:space="preserve">Boîtier saillie étanche Plexo 1 poste avec 2 embouts à membrane amovible et perforable sans découpe et 1 entrée - gris Réf. 069651L</t>
  </si>
  <si>
    <t xml:space="preserve">4389980</t>
  </si>
  <si>
    <t xml:space="preserve">576414-1</t>
  </si>
  <si>
    <t xml:space="preserve">Membrane d'étanchéité à l'air et par-vapeur PROVAP sd 20m - Rouleau 1,5x50m</t>
  </si>
  <si>
    <t xml:space="preserve">150935</t>
  </si>
  <si>
    <t xml:space="preserve">GOE-017</t>
  </si>
  <si>
    <t xml:space="preserve">Demolition</t>
  </si>
  <si>
    <t xml:space="preserve">201875-1</t>
  </si>
  <si>
    <t xml:space="preserve">Sac à gravats 3 anses 45x45x45 - 350 KG</t>
  </si>
  <si>
    <t xml:space="preserve">128960</t>
  </si>
  <si>
    <t xml:space="preserve">Rouleau de 10 sacs à gravats tissé blanc 950 x 550 mm DULARY SAPP55X95B</t>
  </si>
  <si>
    <t xml:space="preserve">DULARY</t>
  </si>
  <si>
    <t xml:space="preserve">219742</t>
  </si>
  <si>
    <t xml:space="preserve">Sac à gravats PEBD noir Novipro 40kg X5</t>
  </si>
  <si>
    <t xml:space="preserve">4659356</t>
  </si>
  <si>
    <t xml:space="preserve">GOE-018</t>
  </si>
  <si>
    <t xml:space="preserve">6859160</t>
  </si>
  <si>
    <t xml:space="preserve">Gravier mignonette 4/10 mm - Big bag 500 kg</t>
  </si>
  <si>
    <t xml:space="preserve">56734</t>
  </si>
  <si>
    <t xml:space="preserve">Conteneur réutilisable BIG BAG TALIASAC 1500 kg TALIAPLAST 390603</t>
  </si>
  <si>
    <t xml:space="preserve">743767</t>
  </si>
  <si>
    <t xml:space="preserve">SABLE 0/4 EN BIG-BAG</t>
  </si>
  <si>
    <t xml:space="preserve">497372-1</t>
  </si>
  <si>
    <t xml:space="preserve">GOE-019</t>
  </si>
  <si>
    <t xml:space="preserve">Scellement</t>
  </si>
  <si>
    <t xml:space="preserve">756860</t>
  </si>
  <si>
    <t xml:space="preserve">Résine de scellement polyester multi usages - gris - cartouche de 300 ml</t>
  </si>
  <si>
    <t xml:space="preserve">1662042</t>
  </si>
  <si>
    <t xml:space="preserve">Cartouche de scellement chimique MULTIMAX PLUS 300ml</t>
  </si>
  <si>
    <t xml:space="preserve">132985</t>
  </si>
  <si>
    <t xml:space="preserve">Cartouche scellement chimique C MIX Plus Spit pour charges moyennes gris béton 300 ml + 2 buses</t>
  </si>
  <si>
    <t xml:space="preserve">486522-1</t>
  </si>
  <si>
    <t xml:space="preserve">GOE-020</t>
  </si>
  <si>
    <t xml:space="preserve">668479</t>
  </si>
  <si>
    <t xml:space="preserve">Tige filetée biseautée avec écrou et rondelle Spit acier zingué M10 x 130 mm - boîte de 10</t>
  </si>
  <si>
    <t xml:space="preserve">209384-1</t>
  </si>
  <si>
    <t xml:space="preserve">Tige filetée type TR M10 1M G galvanisé. EN ISO 19598 / EN ISO 4042</t>
  </si>
  <si>
    <t xml:space="preserve">3141209</t>
  </si>
  <si>
    <t xml:space="preserve">100</t>
  </si>
  <si>
    <t xml:space="preserve">QUI-001</t>
  </si>
  <si>
    <t xml:space="preserve">Visserie</t>
  </si>
  <si>
    <t xml:space="preserve">Vis à bois aggloméré tête fraisée 6 lobes filetage partiel inox A2 M4x40 - boîte de 200</t>
  </si>
  <si>
    <t xml:space="preserve">739219-1</t>
  </si>
  <si>
    <t xml:space="preserve">582042</t>
  </si>
  <si>
    <t xml:space="preserve">QUI-002</t>
  </si>
  <si>
    <t xml:space="preserve">582008</t>
  </si>
  <si>
    <t xml:space="preserve">Vis Torx autoforeuse à tête bombée pour façade en bois - inox A2 - Ø 4,5x70 mm - boîte de 100 pcs</t>
  </si>
  <si>
    <t xml:space="preserve">SPAX</t>
  </si>
  <si>
    <t xml:space="preserve">1606609</t>
  </si>
  <si>
    <t xml:space="preserve">QUI-003</t>
  </si>
  <si>
    <t xml:space="preserve">590317</t>
  </si>
  <si>
    <t xml:space="preserve">Vis tôle autoperceuse tête hexagonale acier zingué 6,3x25-vybac x33</t>
  </si>
  <si>
    <t xml:space="preserve">1419700</t>
  </si>
  <si>
    <t xml:space="preserve">QUI-004</t>
  </si>
  <si>
    <t xml:space="preserve">Vis à métaux tête hexagonale filetage total - Inox A2 DIN 933 - M6x40 - Boîte de 200</t>
  </si>
  <si>
    <t xml:space="preserve">750720-1</t>
  </si>
  <si>
    <t xml:space="preserve">ACTON</t>
  </si>
  <si>
    <t xml:space="preserve">562569</t>
  </si>
  <si>
    <t xml:space="preserve">QUI-005</t>
  </si>
  <si>
    <t xml:space="preserve">1588181</t>
  </si>
  <si>
    <t xml:space="preserve">Boîte 32 pièces</t>
  </si>
  <si>
    <t xml:space="preserve">Tirefond acier zingué DIN 571 8X80 boîte de 100 ULTIMA 14180080</t>
  </si>
  <si>
    <t xml:space="preserve">582196</t>
  </si>
  <si>
    <t xml:space="preserve">QUI-006</t>
  </si>
  <si>
    <t xml:space="preserve">Chevilles</t>
  </si>
  <si>
    <t xml:space="preserve">SCELL-IT</t>
  </si>
  <si>
    <t xml:space="preserve">439272</t>
  </si>
  <si>
    <t xml:space="preserve">Cheville nylon pour matériaux pleins et creux Novipro diamètre 6 x 30 mm boîte de 100 pièces</t>
  </si>
  <si>
    <t xml:space="preserve">6114696</t>
  </si>
  <si>
    <t xml:space="preserve">Cheville nylon Pro6 Spit sans vis pour matériaux pleins et creux - 8 x 40 mm - Boîte de 100</t>
  </si>
  <si>
    <t xml:space="preserve">646634-1</t>
  </si>
  <si>
    <t xml:space="preserve">FISCHER Cheville nylon DUOPOWER à collerette plate - 8 x 40 mm en boîte de 100 pièces</t>
  </si>
  <si>
    <t xml:space="preserve">59055755</t>
  </si>
  <si>
    <t xml:space="preserve">BOITE DE 100 CHEVILLES FUSEE FC Ø 8X40</t>
  </si>
  <si>
    <t xml:space="preserve">70840</t>
  </si>
  <si>
    <t xml:space="preserve">QUI-007</t>
  </si>
  <si>
    <t xml:space="preserve">058189</t>
  </si>
  <si>
    <t xml:space="preserve">Cheville clou à frapper NF Fischer - Ø 6x40 mm - sachet 50 pcs</t>
  </si>
  <si>
    <t xml:space="preserve">1956920</t>
  </si>
  <si>
    <t xml:space="preserve">CHEVILLE A FRAPPER TF 6X40 BTE DE 200</t>
  </si>
  <si>
    <t xml:space="preserve">YOUR ESSSENTIALS CONSOMMABLES</t>
  </si>
  <si>
    <t xml:space="preserve">YZF6040</t>
  </si>
  <si>
    <t xml:space="preserve">QUI-008</t>
  </si>
  <si>
    <t xml:space="preserve">SPIT X TREM</t>
  </si>
  <si>
    <t xml:space="preserve">787930</t>
  </si>
  <si>
    <t xml:space="preserve">QUI-009</t>
  </si>
  <si>
    <t xml:space="preserve">SPIT</t>
  </si>
  <si>
    <t xml:space="preserve">647107</t>
  </si>
  <si>
    <t xml:space="preserve">QUI-010</t>
  </si>
  <si>
    <t xml:space="preserve">Boulonnerie</t>
  </si>
  <si>
    <t xml:space="preserve">590440</t>
  </si>
  <si>
    <t xml:space="preserve">QUI-011</t>
  </si>
  <si>
    <t xml:space="preserve">Coffret de 146 écrous freins M4 à M12</t>
  </si>
  <si>
    <t xml:space="preserve">782634-1</t>
  </si>
  <si>
    <t xml:space="preserve">582228</t>
  </si>
  <si>
    <t xml:space="preserve">QUI-012</t>
  </si>
  <si>
    <t xml:space="preserve">121705</t>
  </si>
  <si>
    <t xml:space="preserve">Goujons filetés pour isolateur M5 Lg: 20mm. complet avec écrou. rondelle plate et rondelle ressort</t>
  </si>
  <si>
    <t xml:space="preserve">ISO3000</t>
  </si>
  <si>
    <t xml:space="preserve">Rondelle plate moyenne - M8 - Diamètre extérieur 18 mm - Épaisseur 1.5 mm - Inox A2 - Boîte de 200</t>
  </si>
  <si>
    <t xml:space="preserve">664068-1</t>
  </si>
  <si>
    <t xml:space="preserve">Aretier cornier rond tuile plate terre cuite Rustique 431XLP Sable bourgogne Réf. 122312</t>
  </si>
  <si>
    <t xml:space="preserve">TERREAL</t>
  </si>
  <si>
    <t xml:space="preserve">7603187</t>
  </si>
  <si>
    <t xml:space="preserve">QUI-013</t>
  </si>
  <si>
    <t xml:space="preserve">Assemblage</t>
  </si>
  <si>
    <t xml:space="preserve">722135-1</t>
  </si>
  <si>
    <t xml:space="preserve">Equerre mixte renforcée - 55x70x70 mm - ép. 2 mm</t>
  </si>
  <si>
    <t xml:space="preserve">SIMPSON STRONG-TIE</t>
  </si>
  <si>
    <t xml:space="preserve">1642749</t>
  </si>
  <si>
    <t xml:space="preserve">Equerres en L Sewosy pour fixation ventouses - EF-…</t>
  </si>
  <si>
    <t xml:space="preserve">M127289</t>
  </si>
  <si>
    <t xml:space="preserve">QUI-014</t>
  </si>
  <si>
    <t xml:space="preserve">ING FIXATIONS</t>
  </si>
  <si>
    <t xml:space="preserve">409613</t>
  </si>
  <si>
    <t xml:space="preserve">QUI-015</t>
  </si>
  <si>
    <t xml:space="preserve">3378574</t>
  </si>
  <si>
    <t xml:space="preserve">SIMPSON STRONG-TIE Feuillard perforé multi-usage FB20 largeur 20 mm épaisseur 0,9 mm longueur 10 mètres</t>
  </si>
  <si>
    <t xml:space="preserve">12474482</t>
  </si>
  <si>
    <t xml:space="preserve">Feuillard perforé - FP Simpson Strong - largeur 30 mm - épaisseur 1.5 mm - rouleau de 25 mètres</t>
  </si>
  <si>
    <t xml:space="preserve">781148-1</t>
  </si>
  <si>
    <t xml:space="preserve">Feuillard perforé 30 x 1,5 mm rouleaux de 50 m SIMPSON STRONG FP30/1.5/50</t>
  </si>
  <si>
    <t xml:space="preserve">SIMPSON</t>
  </si>
  <si>
    <t xml:space="preserve">787938</t>
  </si>
  <si>
    <t xml:space="preserve">QUI-016</t>
  </si>
  <si>
    <t xml:space="preserve">Colles et mastics</t>
  </si>
  <si>
    <t xml:space="preserve">Joint mastic acrylique blanc - cartouche de 300 ml</t>
  </si>
  <si>
    <t xml:space="preserve">4622291</t>
  </si>
  <si>
    <t xml:space="preserve">794044</t>
  </si>
  <si>
    <t xml:space="preserve">Mastic acrylique pour joints et fissures du bâtiment - Obra - Cartouche de 300 MLT couleur Blanc</t>
  </si>
  <si>
    <t xml:space="preserve">703177-1</t>
  </si>
  <si>
    <t xml:space="preserve">A-100 Mastic acryl blanc 300ML</t>
  </si>
  <si>
    <t xml:space="preserve">6301883</t>
  </si>
  <si>
    <t xml:space="preserve">SIKA Mastic acrylique SikaSeal®-107 Joints &amp; Fissures - 300 ml - blanc</t>
  </si>
  <si>
    <t xml:space="preserve">68572991</t>
  </si>
  <si>
    <t xml:space="preserve">QUI-017</t>
  </si>
  <si>
    <t xml:space="preserve">515418</t>
  </si>
  <si>
    <t xml:space="preserve">Mastic silicone blanc SA spécial sanitaire cartouche de 300 ml</t>
  </si>
  <si>
    <t xml:space="preserve">2538</t>
  </si>
  <si>
    <t xml:space="preserve">Mastic silicone SA spécial sanitaire - blanc - cartouche de 310 ml</t>
  </si>
  <si>
    <t xml:space="preserve">1235281</t>
  </si>
  <si>
    <t xml:space="preserve">XHANDER Mastic silicone sanitaire neutre</t>
  </si>
  <si>
    <t xml:space="preserve">P5531U8</t>
  </si>
  <si>
    <t xml:space="preserve">Joint mastic silicone acétique sanitaire - Edilis - Cartouche 300 ml - Translucide</t>
  </si>
  <si>
    <t xml:space="preserve">703183-2</t>
  </si>
  <si>
    <t xml:space="preserve">QUI-018</t>
  </si>
  <si>
    <t xml:space="preserve">Mastic colle polymère pour collages et jointages universels - Edia - Cartouche de 290 MLT - couleur Blanc</t>
  </si>
  <si>
    <t xml:space="preserve">703178-1</t>
  </si>
  <si>
    <t xml:space="preserve">Mastic-colle et joint FLEXPRO PU790 - gris anthracite - cartouche de 300 ml</t>
  </si>
  <si>
    <t xml:space="preserve">4799530</t>
  </si>
  <si>
    <t xml:space="preserve">XHANDER Mastic colle MS polymères 2 en 1 blanc - 290 ml</t>
  </si>
  <si>
    <t xml:space="preserve">68594073</t>
  </si>
  <si>
    <t xml:space="preserve">550384</t>
  </si>
  <si>
    <t xml:space="preserve">QUI-019</t>
  </si>
  <si>
    <t xml:space="preserve">Mousse expansive isolation phonique et thermique White Teq - aérosol de 750 ml</t>
  </si>
  <si>
    <t xml:space="preserve">6277108</t>
  </si>
  <si>
    <t xml:space="preserve">607913</t>
  </si>
  <si>
    <t xml:space="preserve">XHANDER Mousse expansive PU pistolable - 750 mL</t>
  </si>
  <si>
    <t xml:space="preserve">68594790</t>
  </si>
  <si>
    <t xml:space="preserve">Mousse expansive polyuréthane pistolable Edia - Aérosol 750 ml - Prêt à l'emploi - Beige</t>
  </si>
  <si>
    <t xml:space="preserve">703168-1</t>
  </si>
  <si>
    <t xml:space="preserve">QUI-020</t>
  </si>
  <si>
    <t xml:space="preserve">Pattex</t>
  </si>
  <si>
    <t xml:space="preserve">576314</t>
  </si>
  <si>
    <t xml:space="preserve">EPI-001</t>
  </si>
  <si>
    <t xml:space="preserve">EPI</t>
  </si>
  <si>
    <t xml:space="preserve">1362797</t>
  </si>
  <si>
    <t xml:space="preserve">Casque de chantier Oceanic II Taliaplast coiffe PE à réglage standard Blanc</t>
  </si>
  <si>
    <t xml:space="preserve">787200-2</t>
  </si>
  <si>
    <t xml:space="preserve">Sachet de 10 jugulaires sans mentonnière JUGALPHA pour casques de chantier DELTA PLUS JUGALGR</t>
  </si>
  <si>
    <t xml:space="preserve">DELTA PLUS</t>
  </si>
  <si>
    <t xml:space="preserve">460022</t>
  </si>
  <si>
    <t xml:space="preserve">AUBOUEIX Jugulaire 4 points pour casques IRIS 2, IDRA 1 et KARA</t>
  </si>
  <si>
    <t xml:space="preserve">29838844</t>
  </si>
  <si>
    <t xml:space="preserve">EPI-002</t>
  </si>
  <si>
    <t xml:space="preserve">*</t>
  </si>
  <si>
    <t xml:space="preserve">4932483</t>
  </si>
  <si>
    <t xml:space="preserve">Chaussures de sécurité basses S3 SRC Lemaitre sécurité DURAN</t>
  </si>
  <si>
    <t xml:space="preserve">LEMAITRE SECURITE</t>
  </si>
  <si>
    <t xml:space="preserve">M34153</t>
  </si>
  <si>
    <t xml:space="preserve">Chaussure de sécurité S3 Puma Crosstwist Low – orange et bleu – Taille 43</t>
  </si>
  <si>
    <t xml:space="preserve">391490-5</t>
  </si>
  <si>
    <t xml:space="preserve">Chaussures de sécurité S3</t>
  </si>
  <si>
    <t xml:space="preserve">VEPRO</t>
  </si>
  <si>
    <t xml:space="preserve">RAPTOR37</t>
  </si>
  <si>
    <t xml:space="preserve">EPI-003</t>
  </si>
  <si>
    <t xml:space="preserve">4632558</t>
  </si>
  <si>
    <t xml:space="preserve">Gants de manutention EUROSTRONG 3620 PVC rouge 36 cm taille 9 COVERGUARD 3619</t>
  </si>
  <si>
    <t xml:space="preserve">COVERGUARD</t>
  </si>
  <si>
    <t xml:space="preserve">633046</t>
  </si>
  <si>
    <t xml:space="preserve">OPSIAL Gant de manutention HANDGRIP 500L</t>
  </si>
  <si>
    <t xml:space="preserve">P7021K3</t>
  </si>
  <si>
    <t xml:space="preserve">GANT DE MANUTENTION WATERPROOF TAILLE L</t>
  </si>
  <si>
    <t xml:space="preserve">YOUR ESSSENTIALS OUTILLAGE VIS</t>
  </si>
  <si>
    <t xml:space="preserve">MISSIPPIL</t>
  </si>
  <si>
    <t xml:space="preserve">Gant de manutention Obra coton et enduction nitrile taille 9 - lot de 12 paires</t>
  </si>
  <si>
    <t xml:space="preserve">601264-1</t>
  </si>
  <si>
    <t xml:space="preserve">EPI-004</t>
  </si>
  <si>
    <t xml:space="preserve">35751688</t>
  </si>
  <si>
    <t xml:space="preserve">Lunettes de protection combi incolores</t>
  </si>
  <si>
    <t xml:space="preserve">KAPRIOL</t>
  </si>
  <si>
    <t xml:space="preserve">7500888</t>
  </si>
  <si>
    <t xml:space="preserve">Lunettes de protection pour casque KARA incolore AUBOUEIX 0230</t>
  </si>
  <si>
    <t xml:space="preserve">AUBOUEIX</t>
  </si>
  <si>
    <t xml:space="preserve">747978</t>
  </si>
  <si>
    <t xml:space="preserve">Lunettes de protection monture nylon incolore anti rayures anti buée</t>
  </si>
  <si>
    <t xml:space="preserve">764646-1</t>
  </si>
  <si>
    <t xml:space="preserve">EPI-005</t>
  </si>
  <si>
    <t xml:space="preserve">780031</t>
  </si>
  <si>
    <t xml:space="preserve">Masque de protection FFP2 à coque 3M 8822 antipoussière de ponçage - avec soupape - lot de 5</t>
  </si>
  <si>
    <t xml:space="preserve">600518-1</t>
  </si>
  <si>
    <t xml:space="preserve">Masques FFP2 - boîte de 10 pcs</t>
  </si>
  <si>
    <t xml:space="preserve">4155732</t>
  </si>
  <si>
    <t xml:space="preserve">3M Masque coque à usage unique 9928 (boîte de 10) - FFP2 R D</t>
  </si>
  <si>
    <t xml:space="preserve">66424987</t>
  </si>
  <si>
    <t xml:space="preserve">EPI-006</t>
  </si>
  <si>
    <t xml:space="preserve">7500890</t>
  </si>
  <si>
    <t xml:space="preserve">Casque antibruit INTERLAGOS LIGHT Delta Plus - INTERLIGHT</t>
  </si>
  <si>
    <t xml:space="preserve">M125804</t>
  </si>
  <si>
    <t xml:space="preserve">NOVAP Panneau de signalisation casque anti-bruit obligatoire - 300 mm</t>
  </si>
  <si>
    <t xml:space="preserve">14489959</t>
  </si>
  <si>
    <t xml:space="preserve">CASQUE ANTIBRUIT TEKNO COMPACT</t>
  </si>
  <si>
    <t xml:space="preserve">458447-1</t>
  </si>
  <si>
    <t xml:space="preserve">EPI-007</t>
  </si>
  <si>
    <t xml:space="preserve">744461-1</t>
  </si>
  <si>
    <t xml:space="preserve">Harnais antichute HT11 Tractel T- 2257</t>
  </si>
  <si>
    <t xml:space="preserve">TRACTEL</t>
  </si>
  <si>
    <t xml:space="preserve">M133646</t>
  </si>
  <si>
    <t xml:space="preserve">Harnais antichute Budget</t>
  </si>
  <si>
    <t xml:space="preserve">TUBESCA-COMABI</t>
  </si>
  <si>
    <t xml:space="preserve">6007764</t>
  </si>
  <si>
    <t xml:space="preserve">MILLER BY PIP Harnais antichute H500 IS6</t>
  </si>
  <si>
    <t xml:space="preserve">P708YMS</t>
  </si>
  <si>
    <t xml:space="preserve">EPI-008</t>
  </si>
  <si>
    <t xml:space="preserve">80563-1</t>
  </si>
  <si>
    <t xml:space="preserve">Gilet haute visibilité bandes parallèles réglable jaune fluo/argent TU VET3025GT</t>
  </si>
  <si>
    <t xml:space="preserve">449344</t>
  </si>
  <si>
    <t xml:space="preserve">OPSIAL Gilet haute visibilité 3 bandes jaune</t>
  </si>
  <si>
    <t xml:space="preserve">P702IAP</t>
  </si>
  <si>
    <t xml:space="preserve">GILET PREMIUM HAUTE VISIBILTÉ JAUNE</t>
  </si>
  <si>
    <t xml:space="preserve">MILWAUKEE - RYOBI - AEG</t>
  </si>
  <si>
    <t xml:space="preserve">4932471895</t>
  </si>
  <si>
    <t xml:space="preserve">EPI-009</t>
  </si>
  <si>
    <t xml:space="preserve">6008397</t>
  </si>
  <si>
    <t xml:space="preserve">Disque diamant Pro pour matériaux durs Ø 125 mm Obra - 10 segments 32 x 2,2 x 10 mm - Alésage 22,23 mm</t>
  </si>
  <si>
    <t xml:space="preserve">779399-1</t>
  </si>
  <si>
    <t xml:space="preserve">Disque à tronçonner diamanté Hanger X-TRM multi-matériaux D 125 mm - 150082</t>
  </si>
  <si>
    <t xml:space="preserve">HANGER</t>
  </si>
  <si>
    <t xml:space="preserve">M216144</t>
  </si>
  <si>
    <t xml:space="preserve">XHANDER Disque diamant multi-matériaux - Ø 125 mm - Ø alésage 22,23 mm</t>
  </si>
  <si>
    <t xml:space="preserve">68998336</t>
  </si>
  <si>
    <t xml:space="preserve">EPI-010</t>
  </si>
  <si>
    <t xml:space="preserve">749782</t>
  </si>
  <si>
    <t xml:space="preserve">FORET SDS PLUS TETE CROISEE 10X160MM</t>
  </si>
  <si>
    <t xml:space="preserve">SDSPX10016</t>
  </si>
  <si>
    <t xml:space="preserve">Foret perforateur SDS+ 3 Taillants Béton et Béton armé Novipro D10x160 mm</t>
  </si>
  <si>
    <t xml:space="preserve">6539803</t>
  </si>
  <si>
    <t xml:space="preserve">EPI-011</t>
  </si>
  <si>
    <t xml:space="preserve">116236</t>
  </si>
  <si>
    <t xml:space="preserve">Embout de vissage Bosch extra-dure 6 pans 1/4" Pozidriv PZ2 longueur 25 mm lot de 3</t>
  </si>
  <si>
    <t xml:space="preserve">5068-1</t>
  </si>
  <si>
    <t xml:space="preserve">12 embouts impact PZ2 en 2,5 cm Novipro Boîte Tic-Tac</t>
  </si>
  <si>
    <t xml:space="preserve">6009468</t>
  </si>
  <si>
    <t xml:space="preserve">EPI-012</t>
  </si>
  <si>
    <t xml:space="preserve">776723-1</t>
  </si>
  <si>
    <t xml:space="preserve">Lames de scie sauteuse bois finition. Longueur 75mm, pas de 2 mm (5) NOVIPRO</t>
  </si>
  <si>
    <t xml:space="preserve">4933757</t>
  </si>
  <si>
    <t xml:space="preserve">Pack de 5 lames de scie sauteuse bois T 244 D BOSCH 2608630058</t>
  </si>
  <si>
    <t xml:space="preserve">478339</t>
  </si>
  <si>
    <t xml:space="preserve">XHANDER Lame de scie sauteuse pour finition bois - lot de 5</t>
  </si>
  <si>
    <t xml:space="preserve">P77IAHE</t>
  </si>
  <si>
    <t xml:space="preserve">EPI-013</t>
  </si>
  <si>
    <t xml:space="preserve">3644659</t>
  </si>
  <si>
    <t xml:space="preserve">FACOM Lames de cutter sécables 844.S</t>
  </si>
  <si>
    <t xml:space="preserve">P760307</t>
  </si>
  <si>
    <t xml:space="preserve">Cutter à lame sécable ''Interlock'' 9 mm STANLEY 0-10-095</t>
  </si>
  <si>
    <t xml:space="preserve">STANLEY</t>
  </si>
  <si>
    <t xml:space="preserve">578119</t>
  </si>
  <si>
    <t xml:space="preserve">Cutter à lame sécable avec molette de blocage - Stanley - Fourni avec 1 lame largeur 25 mm</t>
  </si>
  <si>
    <t xml:space="preserve">212706-1</t>
  </si>
  <si>
    <t xml:space="preserve">Cutter à lame sécable manche bimatière, chargeur automatique contenance 5 lames.</t>
  </si>
  <si>
    <t xml:space="preserve">E ROBUR</t>
  </si>
  <si>
    <t xml:space="preserve">424014</t>
  </si>
  <si>
    <t xml:space="preserve">EPI-014</t>
  </si>
  <si>
    <t xml:space="preserve">Film masquage extérieur "Cache vite" avec adhésif toilé bleu - Lima - Largeur 55,0 CM - Rouleau de 20,00 M</t>
  </si>
  <si>
    <t xml:space="preserve">238952-1</t>
  </si>
  <si>
    <t xml:space="preserve">EUROCEL</t>
  </si>
  <si>
    <t xml:space="preserve">487001</t>
  </si>
  <si>
    <t xml:space="preserve">Ruban adhésif toile américaine - rouleau de 25 m x 50 mm</t>
  </si>
  <si>
    <t xml:space="preserve">7120486</t>
  </si>
  <si>
    <t xml:space="preserve">XHANDER Ruban adhésif toile américaine - 50 mm - gris</t>
  </si>
  <si>
    <t xml:space="preserve">68593506</t>
  </si>
  <si>
    <t xml:space="preserve">EPI-015</t>
  </si>
  <si>
    <t xml:space="preserve">Chiffons en coton de couleur - carton de 5 kg</t>
  </si>
  <si>
    <t xml:space="preserve">COMPAS</t>
  </si>
  <si>
    <t xml:space="preserve">1418583</t>
  </si>
  <si>
    <t xml:space="preserve">CRISTAL HYGIENE Chiffon textile mulitcolore (carton de 10 kg) - t-shirt et sweat</t>
  </si>
  <si>
    <t xml:space="preserve">27290108</t>
  </si>
  <si>
    <t xml:space="preserve">PROUST</t>
  </si>
  <si>
    <t xml:space="preserve">482489</t>
  </si>
  <si>
    <t xml:space="preserve">Chiffon d'essuyage 100% coton composé de découpes de draps blancs de blanchisserie - Carton de 10 kg</t>
  </si>
  <si>
    <t xml:space="preserve">13369-1</t>
  </si>
  <si>
    <t xml:space="preserve">EPI-016</t>
  </si>
  <si>
    <t xml:space="preserve">Sac poubelle noir Premium - 45 microns - capacité 130 litres - rouleau de 25 sacs</t>
  </si>
  <si>
    <t xml:space="preserve">772777-1</t>
  </si>
  <si>
    <t xml:space="preserve">TOUSSAC</t>
  </si>
  <si>
    <t xml:space="preserve">449333</t>
  </si>
  <si>
    <t xml:space="preserve">EPI-017</t>
  </si>
  <si>
    <t xml:space="preserve">Balisage</t>
  </si>
  <si>
    <t xml:space="preserve">TALIAPLAST Ruban de signalisation RUBAPLAST rouge et blanc - 100 mètres x 50 mm</t>
  </si>
  <si>
    <t xml:space="preserve">68476488</t>
  </si>
  <si>
    <t xml:space="preserve">Ruban de signalisation de chantier Rubafort rouge et blanc 50mm x 100m sur mandrin plastique</t>
  </si>
  <si>
    <t xml:space="preserve">211780-1</t>
  </si>
  <si>
    <t xml:space="preserve">121858</t>
  </si>
  <si>
    <t xml:space="preserve">Ruban de signalisation Rubaplast - rouge et blanc - dévidoir de 500 m x 75 mm</t>
  </si>
  <si>
    <t xml:space="preserve">1699030</t>
  </si>
  <si>
    <t xml:space="preserve">EPI-018</t>
  </si>
  <si>
    <t xml:space="preserve">785643</t>
  </si>
  <si>
    <t xml:space="preserve">EPI-019</t>
  </si>
  <si>
    <t xml:space="preserve">666816-1</t>
  </si>
  <si>
    <t xml:space="preserve">Barrière de chantier avec plaque soudée - L. 1,50 m - H. 1 m - Ø tube 25 mm - 6,5 kg</t>
  </si>
  <si>
    <t xml:space="preserve">ALTRAD</t>
  </si>
  <si>
    <t xml:space="preserve">1011028</t>
  </si>
  <si>
    <t xml:space="preserve">LES GENERIQUES Barrière de chantier TP 1500 mm Hauteur : 1000 mm blanc et rouge Diamètre du tube 25 mm</t>
  </si>
  <si>
    <t xml:space="preserve">57373377</t>
  </si>
  <si>
    <t xml:space="preserve">Barrière de chantier extensible en acier rouge/blanc 2,3 m VISO BAR001RB</t>
  </si>
  <si>
    <t xml:space="preserve">VISO</t>
  </si>
  <si>
    <t xml:space="preserve">535316</t>
  </si>
  <si>
    <t xml:space="preserve">OUT-001</t>
  </si>
  <si>
    <t xml:space="preserve">Electroportatif</t>
  </si>
  <si>
    <t xml:space="preserve">1327839</t>
  </si>
  <si>
    <t xml:space="preserve">Perforateur SDS-Plus 18 V HX18-22C (sans batterie ni chargeur) en boite en carton HANGER 401203</t>
  </si>
  <si>
    <t xml:space="preserve">857800</t>
  </si>
  <si>
    <t xml:space="preserve">Lot de 3 outils électroportatifs 18 V DCK330P2T-QW : Perceuse-visseuse DCD800 90 nm, Perforateur SDS-plus DCH273 2,1 J, Meuleuse d'angle DCG</t>
  </si>
  <si>
    <t xml:space="preserve">73145864</t>
  </si>
  <si>
    <t xml:space="preserve">Ensemble Makita perceuse DDF482 et perforateur SDS Plus DHR264 18 V Li-Ion 5 Ah</t>
  </si>
  <si>
    <t xml:space="preserve">479773-1</t>
  </si>
  <si>
    <t xml:space="preserve">OUT-002</t>
  </si>
  <si>
    <t xml:space="preserve">MILWAUKEE</t>
  </si>
  <si>
    <t xml:space="preserve">3996251</t>
  </si>
  <si>
    <t xml:space="preserve">Perceuse Visseuse Makita 18V DDF484RTJ 2 Batteries 5Ah et chargeur en coffret Makpac</t>
  </si>
  <si>
    <t xml:space="preserve">409867-1</t>
  </si>
  <si>
    <t xml:space="preserve">Perceuse-visseuse 18 V PRO Heavy GSR 18V-65 + 2 batteries 4Ah + chargeur + 82 accessoires dans L-Case BOSCH 06019N3207</t>
  </si>
  <si>
    <t xml:space="preserve">877562</t>
  </si>
  <si>
    <t xml:space="preserve">OUT-003</t>
  </si>
  <si>
    <t xml:space="preserve">1214128</t>
  </si>
  <si>
    <t xml:space="preserve">Meuleuse d'angle 900 W 125 mm interrupteur à palette DEWALT DWE4157-QS</t>
  </si>
  <si>
    <t xml:space="preserve">DEWALT</t>
  </si>
  <si>
    <t xml:space="preserve">830362</t>
  </si>
  <si>
    <t xml:space="preserve">MILWAUKEE Meuleuse d'angle filaire - diamètre 125 mm - AG 13-125 XSPD - 1250W - MY12</t>
  </si>
  <si>
    <t xml:space="preserve">61424997</t>
  </si>
  <si>
    <t xml:space="preserve">Meuleuse d'angle sans fil 18V 125 mm - DCG404S2T-QW Dewalt - En coffret avec 2 batteries 3,5 Ah Powerstack et chargeur + 3° batterie offerte</t>
  </si>
  <si>
    <t xml:space="preserve">563464-1</t>
  </si>
  <si>
    <t xml:space="preserve">OUT-004</t>
  </si>
  <si>
    <t xml:space="preserve">HIKOKI</t>
  </si>
  <si>
    <t xml:space="preserve">6692018</t>
  </si>
  <si>
    <t xml:space="preserve">Lame de scie circulaire 190 x 30 x 2,4 mm BOSCH 2608640509</t>
  </si>
  <si>
    <t xml:space="preserve">490953</t>
  </si>
  <si>
    <t xml:space="preserve">MAKITA Scie circulaire filaire HS7601K - 1200W - diamètre 190 mm - MY36</t>
  </si>
  <si>
    <t xml:space="preserve">58592420</t>
  </si>
  <si>
    <t xml:space="preserve">Scie circulaire filaire 190 mm Metabo KS 66 FS - 1500W - en coffret avec lame carbure 24 dents et guide latéral</t>
  </si>
  <si>
    <t xml:space="preserve">371321-1</t>
  </si>
  <si>
    <t xml:space="preserve">OUT-005</t>
  </si>
  <si>
    <t xml:space="preserve">827658</t>
  </si>
  <si>
    <t xml:space="preserve">OUT-006</t>
  </si>
  <si>
    <t xml:space="preserve">Mesure</t>
  </si>
  <si>
    <t xml:space="preserve">597162-1</t>
  </si>
  <si>
    <t xml:space="preserve">Télémètre laser - portée 60 m</t>
  </si>
  <si>
    <t xml:space="preserve">4416499</t>
  </si>
  <si>
    <t xml:space="preserve">XHANDER Télémètre laser et détecteur matériaux - 40 mètres</t>
  </si>
  <si>
    <t xml:space="preserve">67451457</t>
  </si>
  <si>
    <t xml:space="preserve">Télémètre laser GLM 40-31 Professional + 2 piles 1,5 V LR6 (AA) BOSCH 0601075000</t>
  </si>
  <si>
    <t xml:space="preserve">868791</t>
  </si>
  <si>
    <t xml:space="preserve">OUT-007</t>
  </si>
  <si>
    <t xml:space="preserve">597164-1</t>
  </si>
  <si>
    <t xml:space="preserve">Niveau laser croix Fatmax FCL-G rayon vert piles alcalines Réf. FMHT77586-1</t>
  </si>
  <si>
    <t xml:space="preserve">FATMAX</t>
  </si>
  <si>
    <t xml:space="preserve">7341605</t>
  </si>
  <si>
    <t xml:space="preserve">Niveau laser croix rouge XR 10,8 V + batterie 2 Ah + chargeur DEWALT DCE088D1R-QW</t>
  </si>
  <si>
    <t xml:space="preserve">775842</t>
  </si>
  <si>
    <t xml:space="preserve">OUT-008</t>
  </si>
  <si>
    <t xml:space="preserve">3987511</t>
  </si>
  <si>
    <t xml:space="preserve">FACOM Mesure courte avec ruban double face 893B 5 mètres x 19 mm en blister</t>
  </si>
  <si>
    <t xml:space="preserve">61978011</t>
  </si>
  <si>
    <t xml:space="preserve">Mètre ruban 5M x 19mm - jaune/noir</t>
  </si>
  <si>
    <t xml:space="preserve">469015-1</t>
  </si>
  <si>
    <t xml:space="preserve">Mètre ruban 5 m x 19 mm 'Powerlock Classic ABS' STANLEY 1-33-194</t>
  </si>
  <si>
    <t xml:space="preserve">167503</t>
  </si>
  <si>
    <t xml:space="preserve">DR10V METRE RUBAN 10M</t>
  </si>
  <si>
    <t xml:space="preserve">222009</t>
  </si>
  <si>
    <t xml:space="preserve">OUT-009</t>
  </si>
  <si>
    <t xml:space="preserve">WILMART</t>
  </si>
  <si>
    <t xml:space="preserve">622802</t>
  </si>
  <si>
    <t xml:space="preserve">Niveau RUBILEVEL 100cm 3 bulles - profile aluminium - precision de 0,5 mm/m 45 , réf 76924</t>
  </si>
  <si>
    <t xml:space="preserve">3382467</t>
  </si>
  <si>
    <t xml:space="preserve">XHANDER Niveau tubulaire classique à 3 fioles - Longueur : 100 cm</t>
  </si>
  <si>
    <t xml:space="preserve">71894037</t>
  </si>
  <si>
    <t xml:space="preserve">OUT-010</t>
  </si>
  <si>
    <t xml:space="preserve">TURBOTECH</t>
  </si>
  <si>
    <t xml:space="preserve">3762420</t>
  </si>
  <si>
    <t xml:space="preserve">Multimètre numérique KT350 TRMS automatique 1000 V TURBOTRONIC 20010114</t>
  </si>
  <si>
    <t xml:space="preserve">Turbotronic</t>
  </si>
  <si>
    <t xml:space="preserve">833098</t>
  </si>
  <si>
    <t xml:space="preserve">CHAUVIN ARNOUX Multimètre numérique CA5231 TRMS 6 000 points</t>
  </si>
  <si>
    <t xml:space="preserve">58677035</t>
  </si>
  <si>
    <t xml:space="preserve">OUT-011</t>
  </si>
  <si>
    <t xml:space="preserve">72634845</t>
  </si>
  <si>
    <t xml:space="preserve">Pince ampèremétrique CHAUVIN ARNOUX MX0350Z</t>
  </si>
  <si>
    <t xml:space="preserve">METRIX</t>
  </si>
  <si>
    <t xml:space="preserve">777309</t>
  </si>
  <si>
    <t xml:space="preserve">OUT-012</t>
  </si>
  <si>
    <t xml:space="preserve">Main</t>
  </si>
  <si>
    <t xml:space="preserve">71026809</t>
  </si>
  <si>
    <t xml:space="preserve">Caisse à outils PACKOUT pour électricien 62 pièces MILWAUKEE 4932499466</t>
  </si>
  <si>
    <t xml:space="preserve">866738</t>
  </si>
  <si>
    <t xml:space="preserve">OUT-013</t>
  </si>
  <si>
    <t xml:space="preserve">69147119</t>
  </si>
  <si>
    <t xml:space="preserve">Pince coupante diagonale isolée 1000 V 160 mm FACOM 192A.16VE</t>
  </si>
  <si>
    <t xml:space="preserve">FACOM</t>
  </si>
  <si>
    <t xml:space="preserve">750777</t>
  </si>
  <si>
    <t xml:space="preserve">Pince coupante demi rde isole 1000v</t>
  </si>
  <si>
    <t xml:space="preserve">3853990</t>
  </si>
  <si>
    <t xml:space="preserve">Pince coupante de côté isolée 1000 V VDE petit biseau Longueur 160 mm</t>
  </si>
  <si>
    <t xml:space="preserve">696710-1</t>
  </si>
  <si>
    <t xml:space="preserve">Composition 3 pinces isolées 1000V, coupante diagonale renforcée 180 mm, à dénuder, à bec longs coudés coupante 200 mm.</t>
  </si>
  <si>
    <t xml:space="preserve">221013</t>
  </si>
  <si>
    <t xml:space="preserve">OUT-014</t>
  </si>
  <si>
    <t xml:space="preserve">759517-1</t>
  </si>
  <si>
    <t xml:space="preserve">Tournevis Fatmax isolé 1000V jeu de 5 (3 plats et 2 pozis) + testeur</t>
  </si>
  <si>
    <t xml:space="preserve">1421266</t>
  </si>
  <si>
    <t xml:space="preserve">Jeu de 5 tournevis isolés 1000 V FACOM AD.J5TVEPB</t>
  </si>
  <si>
    <t xml:space="preserve">750804</t>
  </si>
  <si>
    <t xml:space="preserve">JEU DE TOURNEVIS ISOLE VDE</t>
  </si>
  <si>
    <t xml:space="preserve">006145</t>
  </si>
  <si>
    <t xml:space="preserve">OUT-015</t>
  </si>
  <si>
    <t xml:space="preserve">4787987</t>
  </si>
  <si>
    <t xml:space="preserve">Escabeau 5 marches - MP PRO Tubesca - Hauteur d'accès 3,10 m Hauteur plateau 1,10 m - Alu anodisé</t>
  </si>
  <si>
    <t xml:space="preserve">747001-1</t>
  </si>
  <si>
    <t xml:space="preserve">Escabeau fibre de verre KING KOMBO 5 marches LITTLE GIANT LIG-13610</t>
  </si>
  <si>
    <t xml:space="preserve">LITTLE GIANT</t>
  </si>
  <si>
    <t xml:space="preserve">778496</t>
  </si>
  <si>
    <t xml:space="preserve">OUT-016</t>
  </si>
  <si>
    <t xml:space="preserve">307798-1</t>
  </si>
  <si>
    <t xml:space="preserve">Echelle télescopique aluminium 3,80 m X-TENSO 2 TUBESCA-COMABI 00094838</t>
  </si>
  <si>
    <t xml:space="preserve">767728</t>
  </si>
  <si>
    <t xml:space="preserve">MTC-001</t>
  </si>
  <si>
    <t xml:space="preserve">Consommables MT</t>
  </si>
  <si>
    <t xml:space="preserve">STIHL</t>
  </si>
  <si>
    <t xml:space="preserve">653072</t>
  </si>
  <si>
    <t xml:space="preserve">Elément filtre air pour groupe électrogène EU 20i et EU22i</t>
  </si>
  <si>
    <t xml:space="preserve">778235-1</t>
  </si>
  <si>
    <t xml:space="preserve">Filtres g4/m5 maison'air dfhr (lot de 2 ) réf.102790</t>
  </si>
  <si>
    <t xml:space="preserve">6686294</t>
  </si>
  <si>
    <t xml:space="preserve">MTC-002</t>
  </si>
  <si>
    <t xml:space="preserve">Courroie flexonic 6PJ560 pour moteur électrique 2 pôles de bétonnière Altrad B165</t>
  </si>
  <si>
    <t xml:space="preserve">444904-1</t>
  </si>
  <si>
    <t xml:space="preserve">ELG914737</t>
  </si>
  <si>
    <t xml:space="preserve">MTC-003</t>
  </si>
  <si>
    <t xml:space="preserve">FESTOOL</t>
  </si>
  <si>
    <t xml:space="preserve">823530</t>
  </si>
  <si>
    <t xml:space="preserve">MTC-004</t>
  </si>
  <si>
    <t xml:space="preserve">FEZF214618</t>
  </si>
  <si>
    <t xml:space="preserve">MTC-005</t>
  </si>
  <si>
    <t xml:space="preserve">SCHLRD08</t>
  </si>
  <si>
    <t xml:space="preserve">MTC-006</t>
  </si>
  <si>
    <t xml:space="preserve">513834</t>
  </si>
  <si>
    <t xml:space="preserve">Contacteur de puissance CX³ bobine 24V~ sans commande manuelle  -  2P 250V~  -  25A  -  contact 2F  -  1 module</t>
  </si>
  <si>
    <t xml:space="preserve">412505</t>
  </si>
  <si>
    <t xml:space="preserve">MTC-008</t>
  </si>
  <si>
    <t xml:space="preserve">069648L</t>
  </si>
  <si>
    <t xml:space="preserve">PRESSE ETOUPE IP 68 M 25 F 7022501</t>
  </si>
  <si>
    <t xml:space="preserve">590990</t>
  </si>
  <si>
    <t xml:space="preserve">PRESSE ETOUPE SEP HYDRO</t>
  </si>
  <si>
    <t xml:space="preserve">445153-1</t>
  </si>
  <si>
    <t xml:space="preserve">MTC-009</t>
  </si>
  <si>
    <t xml:space="preserve">Entretien</t>
  </si>
  <si>
    <t xml:space="preserve">KF</t>
  </si>
  <si>
    <t xml:space="preserve">550887</t>
  </si>
  <si>
    <t xml:space="preserve">Super dégrippant WD-40 Specialist à action rapide - spray double position - aérosol de 400 ml</t>
  </si>
  <si>
    <t xml:space="preserve">727189-1</t>
  </si>
  <si>
    <t xml:space="preserve">Super dégrippant Specialist - spray de 400 ml</t>
  </si>
  <si>
    <t xml:space="preserve">WD-40</t>
  </si>
  <si>
    <t xml:space="preserve">3827036</t>
  </si>
  <si>
    <t xml:space="preserve">MTC-010</t>
  </si>
  <si>
    <t xml:space="preserve">Graisse universelle au lithium Degryp'oil multi-usage cartouche de 400 g</t>
  </si>
  <si>
    <t xml:space="preserve">316405-1</t>
  </si>
  <si>
    <t xml:space="preserve">WD-40 SPE Graisse Haute Perf. Multi. Cartouche 400gr Réf. 331077</t>
  </si>
  <si>
    <t xml:space="preserve">4828389</t>
  </si>
  <si>
    <t xml:space="preserve">M90797</t>
  </si>
  <si>
    <t xml:space="preserve">MTC-011</t>
  </si>
  <si>
    <t xml:space="preserve">3827037</t>
  </si>
  <si>
    <t xml:space="preserve">Aérosol 400 ml</t>
  </si>
  <si>
    <t xml:space="preserve">Nettoyant F2 Special contacts aerosol 500 ml net KF 1001</t>
  </si>
  <si>
    <t xml:space="preserve">550758</t>
  </si>
  <si>
    <t xml:space="preserve">MTC-012</t>
  </si>
  <si>
    <t xml:space="preserve">Déboucheur canalisation liquide - Débouch'Tout Aexalt - bidon de 1 litre</t>
  </si>
  <si>
    <t xml:space="preserve">682666-1</t>
  </si>
  <si>
    <t xml:space="preserve">Entretien canalisations et déboucheur 3en1 ECOCERT 1L Réf. PV82107902</t>
  </si>
  <si>
    <t xml:space="preserve">SPADO</t>
  </si>
  <si>
    <t xml:space="preserve">4856472</t>
  </si>
  <si>
    <t xml:space="preserve">KARCHER</t>
  </si>
  <si>
    <t xml:space="preserve">788832</t>
  </si>
  <si>
    <t xml:space="preserve">MTC-013</t>
  </si>
  <si>
    <t xml:space="preserve">63435252</t>
  </si>
  <si>
    <t xml:space="preserve">MTC-014</t>
  </si>
  <si>
    <t xml:space="preserve">MERKUR</t>
  </si>
  <si>
    <t xml:space="preserve">432947</t>
  </si>
  <si>
    <t xml:space="preserve">MTC-015</t>
  </si>
  <si>
    <t xml:space="preserve">Petit materiel</t>
  </si>
  <si>
    <t xml:space="preserve">Pile alcaline Eveready Gold AA LR6 B4 Réf. EVLR6</t>
  </si>
  <si>
    <t xml:space="preserve">1910710</t>
  </si>
  <si>
    <t xml:space="preserve">VARTA</t>
  </si>
  <si>
    <t xml:space="preserve">767561</t>
  </si>
  <si>
    <t xml:space="preserve">Pile alcaline LR6 AA NX Boite 10 1.5V 3.4Ah</t>
  </si>
  <si>
    <t xml:space="preserve">ENIX ENERGIES</t>
  </si>
  <si>
    <t xml:space="preserve">PCA9002</t>
  </si>
  <si>
    <t xml:space="preserve">MTC-016</t>
  </si>
  <si>
    <t xml:space="preserve">Pile lithium pour appareils de sécurité et maison connectée - CR123A Varta - 3V - Longue durée</t>
  </si>
  <si>
    <t xml:space="preserve">750937-1</t>
  </si>
  <si>
    <t xml:space="preserve">789852</t>
  </si>
  <si>
    <t xml:space="preserve">Pile Cr123 Lith Pro X1</t>
  </si>
  <si>
    <t xml:space="preserve">YOUR ESSSENTIALS</t>
  </si>
  <si>
    <t xml:space="preserve">6205401</t>
  </si>
  <si>
    <t xml:space="preserve">MTC-017</t>
  </si>
  <si>
    <t xml:space="preserve">Testeur instantané digital professionnel Lacmé pour batteries au plomb 12 V</t>
  </si>
  <si>
    <t xml:space="preserve">703995-1</t>
  </si>
  <si>
    <t xml:space="preserve">M123693</t>
  </si>
  <si>
    <t xml:space="preserve">ECL-I001</t>
  </si>
  <si>
    <t xml:space="preserve">Dalles et panneaux LED</t>
  </si>
  <si>
    <t xml:space="preserve">Dalle LED 60x60 44W Cadre Lumineux Blanc CCT Sélectionnable</t>
  </si>
  <si>
    <t xml:space="preserve">Icilux</t>
  </si>
  <si>
    <t xml:space="preserve">Vente en ligne · Livraison sous délai transporteur</t>
  </si>
  <si>
    <t xml:space="preserve">ECL-I002</t>
  </si>
  <si>
    <t xml:space="preserve">Dalle LED 120x60 80W SMD4014 Driver Philips CertaDrive</t>
  </si>
  <si>
    <t xml:space="preserve">ECL-I003</t>
  </si>
  <si>
    <t xml:space="preserve">Pack 6 Dalles LED 120x30 40W CCT Driver Philips CertaDrive</t>
  </si>
  <si>
    <t xml:space="preserve">ECL-I004</t>
  </si>
  <si>
    <t xml:space="preserve">Pack 8 Dalles LED 60x60 40W UGR19 Driver Philips ENEC</t>
  </si>
  <si>
    <t xml:space="preserve">ECL-I005</t>
  </si>
  <si>
    <t xml:space="preserve">Kit Convertisseur en Encastré pour Luminaire de Surface Cadr</t>
  </si>
  <si>
    <t xml:space="preserve">Kit Convertisseur en Encastré pour Luminaire de Surface Cadre Adaptateur</t>
  </si>
  <si>
    <t xml:space="preserve">ECL-I006</t>
  </si>
  <si>
    <t xml:space="preserve">Kit Suspension 1 Mètre pour Luminaire LED Câble Acier Réglab</t>
  </si>
  <si>
    <t xml:space="preserve">Kit Suspension 1 Mètre pour Luminaire LED Câble Acier Réglable</t>
  </si>
  <si>
    <t xml:space="preserve">ECL-I007</t>
  </si>
  <si>
    <t xml:space="preserve">Pack 10 Dalles LED 60x60 Slim 40W Sans Scintillement Philips</t>
  </si>
  <si>
    <t xml:space="preserve">ECL-I008</t>
  </si>
  <si>
    <t xml:space="preserve">Pack 8 Dalles LED 60x60 Slim 40W 4000lm UGR19 Driver Philips</t>
  </si>
  <si>
    <t xml:space="preserve">ECL-I009</t>
  </si>
  <si>
    <t xml:space="preserve">Pack 10 dalles LED 60x60 40W CRI90 sans scintillement Philip</t>
  </si>
  <si>
    <t xml:space="preserve">Pack 10 dalles LED 60x60 40W CRI90 sans scintillement Philips</t>
  </si>
  <si>
    <t xml:space="preserve">ECL-I010</t>
  </si>
  <si>
    <t xml:space="preserve">Downlights LED encastrables</t>
  </si>
  <si>
    <t xml:space="preserve">Dalle LED Slim Ronde 20W Encastrable Puce OSRAM</t>
  </si>
  <si>
    <t xml:space="preserve">ECL-I011</t>
  </si>
  <si>
    <t xml:space="preserve">Plafonnier LED Surface Carré 8W Acier Inox CCT Puce OSRAM</t>
  </si>
  <si>
    <t xml:space="preserve">ECL-I012</t>
  </si>
  <si>
    <t xml:space="preserve">Plafonnier LED Surface Carré 20W Puce OSRAM Duris E2835</t>
  </si>
  <si>
    <t xml:space="preserve">ECL-I013</t>
  </si>
  <si>
    <t xml:space="preserve">Dalle LED Slim Carrée 20W Encastrable Puce OSRAM</t>
  </si>
  <si>
    <t xml:space="preserve">ECL-I014</t>
  </si>
  <si>
    <t xml:space="preserve">Dalle LED Slim Carrée 8W Encastrable Puce OSRAM</t>
  </si>
  <si>
    <t xml:space="preserve">ECL-I015</t>
  </si>
  <si>
    <t xml:space="preserve">Spot Downlight LED Encastrable 6W 40º UGR11 CCT Puce Bridgel</t>
  </si>
  <si>
    <t xml:space="preserve">Spot Downlight LED Encastrable 6W 40º UGR11 CCT Puce Bridgelux Blanc</t>
  </si>
  <si>
    <t xml:space="preserve">ECL-I016</t>
  </si>
  <si>
    <t xml:space="preserve">Dalle LED Slim Ronde 20W Réglable Puce OSRAM</t>
  </si>
  <si>
    <t xml:space="preserve">ECL-I017</t>
  </si>
  <si>
    <t xml:space="preserve">Cache-trou Supplémentaire pour Downlight Ø25,5 cm Blanc</t>
  </si>
  <si>
    <t xml:space="preserve">ECL-I018</t>
  </si>
  <si>
    <t xml:space="preserve">Plafonnier LED Surface Rond 18-24W CCT Capteur Mouvement Puc</t>
  </si>
  <si>
    <t xml:space="preserve">Plafonnier LED Surface Rond 18-24W CCT Capteur Mouvement Puce OSRAM</t>
  </si>
  <si>
    <t xml:space="preserve">ECL-I019</t>
  </si>
  <si>
    <t xml:space="preserve">Downlight LED 40W Circulaire IP65 CCT UGR13 Driver Philips C</t>
  </si>
  <si>
    <t xml:space="preserve">Downlight LED 40W Circulaire IP65 CCT UGR13 Driver Philips CertaDrive</t>
  </si>
  <si>
    <t xml:space="preserve">ECL-I020</t>
  </si>
  <si>
    <t xml:space="preserve">Kit Anti-scintillement LED pour Variateurs TRIAC Élimine le </t>
  </si>
  <si>
    <t xml:space="preserve">Kit Anti-scintillement LED pour Variateurs TRIAC Élimine le Flicker</t>
  </si>
  <si>
    <t xml:space="preserve">ECL-I021</t>
  </si>
  <si>
    <t xml:space="preserve">Anneau Convertisseur Surface 225mm pour Downlight Encastrabl</t>
  </si>
  <si>
    <t xml:space="preserve">Anneau Convertisseur Surface 225mm pour Downlight Encastrable Blanc</t>
  </si>
  <si>
    <t xml:space="preserve">ECL-I022</t>
  </si>
  <si>
    <t xml:space="preserve">Downlight LED circulaire 40W 3CCT UGR17 CRI90 IP54 Philips</t>
  </si>
  <si>
    <t xml:space="preserve">ECL-I023</t>
  </si>
  <si>
    <t xml:space="preserve">Downlight LED circulaire frameless 16-24W Ø80-190mm 4CCT bla</t>
  </si>
  <si>
    <t xml:space="preserve">Downlight LED circulaire frameless 16-24W Ø80-190mm 4CCT blanc</t>
  </si>
  <si>
    <t xml:space="preserve">ECL-I024</t>
  </si>
  <si>
    <t xml:space="preserve">Plafonnier LED Surface 16-24W 3CCT Plafond OSRAM Chip Rond</t>
  </si>
  <si>
    <t xml:space="preserve">ECL-I025</t>
  </si>
  <si>
    <t xml:space="preserve">Downlight LED circulaire frameless 6-12W Ø50-100mm 4CCT blan</t>
  </si>
  <si>
    <t xml:space="preserve">Downlight LED circulaire frameless 6-12W Ø50-100mm 4CCT blanc</t>
  </si>
  <si>
    <t xml:space="preserve">ECL-I026</t>
  </si>
  <si>
    <t xml:space="preserve">Plafonnier LED Surface 16-24W 3CCT Capteur RADAR Mouvement P</t>
  </si>
  <si>
    <t xml:space="preserve">Plafonnier LED Surface 16-24W 3CCT Capteur RADAR Mouvement Puce OSRAM</t>
  </si>
  <si>
    <t xml:space="preserve">ECL-I027</t>
  </si>
  <si>
    <t xml:space="preserve">Plafonnier LED Surface Rond 18W 140lm/W Puce OSRAM Duris E28</t>
  </si>
  <si>
    <t xml:space="preserve">Plafonnier LED Surface Rond 18W 140lm/W Puce OSRAM Duris E2835</t>
  </si>
  <si>
    <t xml:space="preserve">ECL-I028</t>
  </si>
  <si>
    <t xml:space="preserve">Plafonnier LED Surface Rond 15W 4CCT UGR19 CRI92 Driver GXtr</t>
  </si>
  <si>
    <t xml:space="preserve">Plafonnier LED Surface Rond 15W 4CCT UGR19 CRI92 Driver GXtronic</t>
  </si>
  <si>
    <t xml:space="preserve">ECL-I029</t>
  </si>
  <si>
    <t xml:space="preserve">Plafonnier LED Surface Rond 24W 4CCT UGR19 CRI92 Driver GXtr</t>
  </si>
  <si>
    <t xml:space="preserve">Plafonnier LED Surface Rond 24W 4CCT UGR19 CRI92 Driver GXtronic</t>
  </si>
  <si>
    <t xml:space="preserve">ECL-I030</t>
  </si>
  <si>
    <t xml:space="preserve">Plafonnier LED Surface Rond 30W 4CCT UGR19 CRI92 Driver GXtr</t>
  </si>
  <si>
    <t xml:space="preserve">Plafonnier LED Surface Rond 30W 4CCT UGR19 CRI92 Driver GXtronic</t>
  </si>
  <si>
    <t xml:space="preserve">ECL-I031</t>
  </si>
  <si>
    <t xml:space="preserve">Plafonnier LED Surface Carré 30W 4CCT UGR19 CRI92 Driver GXt</t>
  </si>
  <si>
    <t xml:space="preserve">Plafonnier LED Surface Carré 30W 4CCT UGR19 CRI92 Driver GXtronic</t>
  </si>
  <si>
    <t xml:space="preserve">ECL-I032</t>
  </si>
  <si>
    <t xml:space="preserve">Plafonnier LED Surface 12W IP65 Intérieur Extérieur Mur et P</t>
  </si>
  <si>
    <t xml:space="preserve">Plafonnier LED Surface 12W IP65 Intérieur Extérieur Mur et Plafond</t>
  </si>
  <si>
    <t xml:space="preserve">ECL-I033</t>
  </si>
  <si>
    <t xml:space="preserve">Plafonnier LED Surface 10-20W 5CCT Capteur Radar IP44 Plafon</t>
  </si>
  <si>
    <t xml:space="preserve">Plafonnier LED Surface 10-20W 5CCT Capteur Radar IP44 Plafond Rond</t>
  </si>
  <si>
    <t xml:space="preserve">ECL-I034</t>
  </si>
  <si>
    <t xml:space="preserve">Downlight Slim LED</t>
  </si>
  <si>
    <t xml:space="preserve">ECL-I035</t>
  </si>
  <si>
    <t xml:space="preserve">ECL-I036</t>
  </si>
  <si>
    <t xml:space="preserve">ECL-I037</t>
  </si>
  <si>
    <t xml:space="preserve">ECL-I038</t>
  </si>
  <si>
    <t xml:space="preserve">Downlight LED Encastrable Rond 18-24W 4CCT Ø225mm UGR17 Puce</t>
  </si>
  <si>
    <t xml:space="preserve">Downlight LED Encastrable Rond 18-24W 4CCT Ø225mm UGR17 Puce OSRAM</t>
  </si>
  <si>
    <t xml:space="preserve">ECL-I039</t>
  </si>
  <si>
    <t xml:space="preserve">Downlight LED Encastrable Circulaire 16W 3CCT Ø170mm UGR19 P</t>
  </si>
  <si>
    <t xml:space="preserve">Downlight LED Encastrable Circulaire 16W 3CCT Ø170mm UGR19 Puce OSRAM</t>
  </si>
  <si>
    <t xml:space="preserve">ECL-I040</t>
  </si>
  <si>
    <t xml:space="preserve">Dalle LED Slim Ronde 18W Encastrable Puce OSRAM</t>
  </si>
  <si>
    <t xml:space="preserve">ECL-I041</t>
  </si>
  <si>
    <t xml:space="preserve">Dalle LED Ronde 18-24W Détecteur de Mouvement CCT Puce OSRAM</t>
  </si>
  <si>
    <t xml:space="preserve">ECL-I042</t>
  </si>
  <si>
    <t xml:space="preserve">Downlight LED Réglable Carré 18W 3CCT Blanc LUMILEDS</t>
  </si>
  <si>
    <t xml:space="preserve">ECL-I043</t>
  </si>
  <si>
    <t xml:space="preserve">Downlight LED Réglable Carré 18W 3CCT Noir LUMILEDS</t>
  </si>
  <si>
    <t xml:space="preserve">ECL-I044</t>
  </si>
  <si>
    <t xml:space="preserve">Downlight LED Réglable Rond 18W 3CCT Blanc LUMILEDS</t>
  </si>
  <si>
    <t xml:space="preserve">ECL-I045</t>
  </si>
  <si>
    <t xml:space="preserve">Downlight LED Réglable Rond 18W 3CCT Noir LUMILEDS</t>
  </si>
  <si>
    <t xml:space="preserve">ECL-I046</t>
  </si>
  <si>
    <t xml:space="preserve">Downlight LED Réglable Rond 6W 3CCT Blanc LUMILEDS</t>
  </si>
  <si>
    <t xml:space="preserve">ECL-I047</t>
  </si>
  <si>
    <t xml:space="preserve">Downlight LED Encastrable Frameless 24W 3CCT Sans Cadre Puce</t>
  </si>
  <si>
    <t xml:space="preserve">Downlight LED Encastrable Frameless 24W 3CCT Sans Cadre Puce OSRAM</t>
  </si>
  <si>
    <t xml:space="preserve">ECL-I048</t>
  </si>
  <si>
    <t xml:space="preserve">Downlight LED Encastrable Frameless 8W 3CCT Sans Cadre Puce </t>
  </si>
  <si>
    <t xml:space="preserve">Downlight LED Encastrable Frameless 8W 3CCT Sans Cadre Puce OSRAM</t>
  </si>
  <si>
    <t xml:space="preserve">ECL-I049</t>
  </si>
  <si>
    <t xml:space="preserve">Downlight LED Encastrable Circulaire 6-12W 3CCT UGR19 Puce O</t>
  </si>
  <si>
    <t xml:space="preserve">Downlight LED Encastrable Circulaire 6-12W 3CCT UGR19 Puce OSRAM</t>
  </si>
  <si>
    <t xml:space="preserve">ECL-I050</t>
  </si>
  <si>
    <t xml:space="preserve">Downlight LED Encastrable Circulaire 40W 3CCT UGR17 Driver P</t>
  </si>
  <si>
    <t xml:space="preserve">Downlight LED Encastrable Circulaire 40W 3CCT UGR17 Driver PHILIPS</t>
  </si>
  <si>
    <t xml:space="preserve">ECL-I051</t>
  </si>
  <si>
    <t xml:space="preserve">Spot Encastrable LED 7W Rond Orientable 3CCT Blanc</t>
  </si>
  <si>
    <t xml:space="preserve">ECL-I052</t>
  </si>
  <si>
    <t xml:space="preserve">Downlight LED Réglable Carré 24W 3CCT Blanc LUMILEDS</t>
  </si>
  <si>
    <t xml:space="preserve">ECL-I053</t>
  </si>
  <si>
    <t xml:space="preserve">Downlight LED Réglable Carré 24W 3CCT Noir LUMILEDS</t>
  </si>
  <si>
    <t xml:space="preserve">ECL-I054</t>
  </si>
  <si>
    <t xml:space="preserve">Dalle LED Slim Ronde 6W 3CCT Encastrable Puce OSRAM</t>
  </si>
  <si>
    <t xml:space="preserve">ECL-I055</t>
  </si>
  <si>
    <t xml:space="preserve">Dalle LED Slim Ronde 10W 3CCT Encastrable Puce OSRAM</t>
  </si>
  <si>
    <t xml:space="preserve">ECL-I056</t>
  </si>
  <si>
    <t xml:space="preserve">Dalle LED Slim Ronde 15W 3CCT Encastrable Puce OSRAM</t>
  </si>
  <si>
    <t xml:space="preserve">ECL-I057</t>
  </si>
  <si>
    <t xml:space="preserve">Dalle LED Slim Ronde 26W 3CCT Encastrable Puce OSRAM</t>
  </si>
  <si>
    <t xml:space="preserve">ECL-I058</t>
  </si>
  <si>
    <t xml:space="preserve">Ampoules LED E27</t>
  </si>
  <si>
    <t xml:space="preserve">Ampoule LED Standard E27 A60 15W 180º Puce OSRAM Duris E2835</t>
  </si>
  <si>
    <t xml:space="preserve">ECL-I059</t>
  </si>
  <si>
    <t xml:space="preserve">Ampoule LED Standard E27 A60 9W 180º Puce OSRAM Duris E2835</t>
  </si>
  <si>
    <t xml:space="preserve">ECL-I060</t>
  </si>
  <si>
    <t xml:space="preserve">Ampoule LED Standard E27 A60 12W 180º Puce OSRAM Duris E2835</t>
  </si>
  <si>
    <t xml:space="preserve">ECL-I061</t>
  </si>
  <si>
    <t xml:space="preserve">Ampoule LED Sphérique E27 G45 6W 220º Puce OSRAM Duris E2835</t>
  </si>
  <si>
    <t xml:space="preserve">ECL-I062</t>
  </si>
  <si>
    <t xml:space="preserve">Ampoule LED E27 45W Haute Luminosité Industrielle Haute Puis</t>
  </si>
  <si>
    <t xml:space="preserve">Ampoule LED E27 45W Haute Luminosité Industrielle Haute Puissance</t>
  </si>
  <si>
    <t xml:space="preserve">ECL-I063</t>
  </si>
  <si>
    <t xml:space="preserve">Ampoule LED E27 33W 3630lm Haute Puissance IP20</t>
  </si>
  <si>
    <t xml:space="preserve">ECL-I064</t>
  </si>
  <si>
    <t xml:space="preserve">Ampoule LED Filament E27 6W G80 Gold Dimmable Vintage</t>
  </si>
  <si>
    <t xml:space="preserve">ECL-I065</t>
  </si>
  <si>
    <t xml:space="preserve">Ampoule LED E27 40W Haute Puissance Haute Résistance Industr</t>
  </si>
  <si>
    <t xml:space="preserve">Ampoule LED E27 40W Haute Puissance Haute Résistance Industrielle</t>
  </si>
  <si>
    <t xml:space="preserve">ECL-I066</t>
  </si>
  <si>
    <t xml:space="preserve">Ampoule LED Globe E27 15W G95 300º Haute Efficacité Puce OSR</t>
  </si>
  <si>
    <t xml:space="preserve">Ampoule LED Globe E27 15W G95 300º Haute Efficacité Puce OSRAM</t>
  </si>
  <si>
    <t xml:space="preserve">ECL-I067</t>
  </si>
  <si>
    <t xml:space="preserve">Ampoule LED filament A60 E27 8W 100 lm/W dimmable</t>
  </si>
  <si>
    <t xml:space="preserve">ECL-I068</t>
  </si>
  <si>
    <t xml:space="preserve">Ampoules LED GU10 / G4</t>
  </si>
  <si>
    <t xml:space="preserve">Dichroïque LED GU10 6W 38º Puce OSRAM Duris E2835</t>
  </si>
  <si>
    <t xml:space="preserve">ECL-I069</t>
  </si>
  <si>
    <t xml:space="preserve">Dichroïque LED GU10 6W 100º Puce OSRAM Duris E2835</t>
  </si>
  <si>
    <t xml:space="preserve">ECL-I070</t>
  </si>
  <si>
    <t xml:space="preserve">Dichroïque LED GU10 6W Verre Puce Samsung</t>
  </si>
  <si>
    <t xml:space="preserve">ECL-I071</t>
  </si>
  <si>
    <t xml:space="preserve">Dichroïque LED GU10 10W 100º 1200lm Puce OSRAM Duris E2835</t>
  </si>
  <si>
    <t xml:space="preserve">ECL-I072</t>
  </si>
  <si>
    <t xml:space="preserve">Ampoule LED GU10 8W Dichroïque 24° CRI98 Dimmable No Flick</t>
  </si>
  <si>
    <t xml:space="preserve">ECL-I073</t>
  </si>
  <si>
    <t xml:space="preserve">Anneau Encastrable Orientable Rond Ø90mm GU10 MR16 Acier Bla</t>
  </si>
  <si>
    <t xml:space="preserve">Anneau Encastrable Orientable Rond Ø90mm GU10 MR16 Acier Blanc</t>
  </si>
  <si>
    <t xml:space="preserve">ECL-I074</t>
  </si>
  <si>
    <t xml:space="preserve">Ampoule LED GU10 8W Dichroïque 24° Haute Luminosité Verre</t>
  </si>
  <si>
    <t xml:space="preserve">ECL-I075</t>
  </si>
  <si>
    <t xml:space="preserve">Ampoules LED E14</t>
  </si>
  <si>
    <t xml:space="preserve">Ampoule LED Sphérique E14 G45 6W 220º Puce OSRAM Duris E2835</t>
  </si>
  <si>
    <t xml:space="preserve">ECL-I076</t>
  </si>
  <si>
    <t xml:space="preserve">Ampoule LED Flamme E14 C37 6W 180º Puce OSRAM Duris E2835</t>
  </si>
  <si>
    <t xml:space="preserve">ECL-I077</t>
  </si>
  <si>
    <t xml:space="preserve">Ampoule LED Filament Flamme E14 4W C35 Verre Doré Vintage</t>
  </si>
  <si>
    <t xml:space="preserve">ECL-I078</t>
  </si>
  <si>
    <t xml:space="preserve">Reglettes et lineaires LED</t>
  </si>
  <si>
    <t xml:space="preserve">Platine de jonction en aluminium pour luminaire linéaire LED</t>
  </si>
  <si>
    <t xml:space="preserve">ECL-I079</t>
  </si>
  <si>
    <t xml:space="preserve">Réglette linéaire LED 60cm 18W DALI blanche en surface</t>
  </si>
  <si>
    <t xml:space="preserve">ECL-I080</t>
  </si>
  <si>
    <t xml:space="preserve">Réglette linéaire LED 120cm 36W DALI en surface aluminium</t>
  </si>
  <si>
    <t xml:space="preserve">ECL-I081</t>
  </si>
  <si>
    <t xml:space="preserve">Barre Linéaire LED 40W 120cm Interconnectable Puce OSRAM Per</t>
  </si>
  <si>
    <t xml:space="preserve">Barre Linéaire LED 40W 120cm Interconnectable Puce OSRAM Personnalisable</t>
  </si>
  <si>
    <t xml:space="preserve">ECL-I082</t>
  </si>
  <si>
    <t xml:space="preserve">Barre Linéaire LED 50W 150cm Suspendue 3CCT Puce OSRAM Perso</t>
  </si>
  <si>
    <t xml:space="preserve">Barre Linéaire LED 50W 150cm Suspendue 3CCT Puce OSRAM Personnalisable</t>
  </si>
  <si>
    <t xml:space="preserve">ECL-I083</t>
  </si>
  <si>
    <t xml:space="preserve">Barre Linéaire LED 12W 60cm Interconnectable Puce OSRAM Pers</t>
  </si>
  <si>
    <t xml:space="preserve">Barre Linéaire LED 12W 60cm Interconnectable Puce OSRAM Personnalisable</t>
  </si>
  <si>
    <t xml:space="preserve">ECL-I084</t>
  </si>
  <si>
    <t xml:space="preserve">Rails et spots sur rail LED</t>
  </si>
  <si>
    <t xml:space="preserve">Spot Rail Monophasé Douille GU10 Orientable Noir</t>
  </si>
  <si>
    <t xml:space="preserve">ECL-I085</t>
  </si>
  <si>
    <t xml:space="preserve">Spot Rail Monophasé Douille GU10 Orientable Blanc</t>
  </si>
  <si>
    <t xml:space="preserve">ECL-I086</t>
  </si>
  <si>
    <t xml:space="preserve">Rail Monophasé 1 Mètre Renforcé pour Spots LED Aluminium</t>
  </si>
  <si>
    <t xml:space="preserve">ECL-I087</t>
  </si>
  <si>
    <t xml:space="preserve">Connecteur Type L pour Rail Monophasé Renforcé Union 90º</t>
  </si>
  <si>
    <t xml:space="preserve">ECL-I088</t>
  </si>
  <si>
    <t xml:space="preserve">Connecteur Type T pour Rail Monophasé Renforcé Union 3 Voies</t>
  </si>
  <si>
    <t xml:space="preserve">ECL-I089</t>
  </si>
  <si>
    <t xml:space="preserve">Connecteur Type I pour Rail Monophasé Renforcé Union Linéair</t>
  </si>
  <si>
    <t xml:space="preserve">Connecteur Type I pour Rail Monophasé Renforcé Union Linéaire</t>
  </si>
  <si>
    <t xml:space="preserve">ECL-I090</t>
  </si>
  <si>
    <t xml:space="preserve">Rail Monophasé 2 Mètres Renforcé pour Spots LED Aluminium</t>
  </si>
  <si>
    <t xml:space="preserve">ECL-I091</t>
  </si>
  <si>
    <t xml:space="preserve">Kit Suspension pour Rail LED Monophasé Câble Acier</t>
  </si>
  <si>
    <t xml:space="preserve">ECL-I092</t>
  </si>
  <si>
    <t xml:space="preserve">ECL-I093</t>
  </si>
  <si>
    <t xml:space="preserve">Rail triphasé de 1 mètre noir LED à 3 circuits</t>
  </si>
  <si>
    <t xml:space="preserve">ECL-I094</t>
  </si>
  <si>
    <t xml:space="preserve">Rail triphasé de 2 mètres noir LED à 3 circuits</t>
  </si>
  <si>
    <t xml:space="preserve">ECL-I095</t>
  </si>
  <si>
    <t xml:space="preserve">Kit Suspension Rail LED Monophasé 1m Câble Acier Orientable</t>
  </si>
  <si>
    <t xml:space="preserve">ECL-I096</t>
  </si>
  <si>
    <t xml:space="preserve">Cloches LED industrielles</t>
  </si>
  <si>
    <t xml:space="preserve">Cloche LED Industrielle UFO 120-200W 3CCT Réglable 1-10V Dri</t>
  </si>
  <si>
    <t xml:space="preserve">Cloche LED Industrielle UFO 120-200W 3CCT Réglable 1-10V Driver Philips</t>
  </si>
  <si>
    <t xml:space="preserve">ECL-I097</t>
  </si>
  <si>
    <t xml:space="preserve">ECL-I098</t>
  </si>
  <si>
    <t xml:space="preserve">Cloche LED Industrielle UFO 150W 170lm/W Réglable 1-10V Driv</t>
  </si>
  <si>
    <t xml:space="preserve">Cloche LED Industrielle UFO 150W 170lm/W Réglable 1-10V Driver Philips</t>
  </si>
  <si>
    <t xml:space="preserve">ECL-I099</t>
  </si>
  <si>
    <t xml:space="preserve">Cloche industrielle LED UFO suspension 120-200W 3CCT Philips</t>
  </si>
  <si>
    <t xml:space="preserve">ECL-I100</t>
  </si>
  <si>
    <t xml:space="preserve">Cloche industrielle LED UFO ATEX 200W IP66 IK10 puce Lumiled</t>
  </si>
  <si>
    <t xml:space="preserve">Cloche industrielle LED UFO ATEX 200W IP66 IK10 puce Lumileds</t>
  </si>
  <si>
    <t xml:space="preserve">ECL-I101</t>
  </si>
  <si>
    <t xml:space="preserve">Cloche LED Industrielle UFO 80-200W Sélectionnable IP65 Puce</t>
  </si>
  <si>
    <t xml:space="preserve">Cloche LED Industrielle UFO 80-200W Sélectionnable IP65 Puce Lumileds Luxeon</t>
  </si>
  <si>
    <t xml:space="preserve">ECL-I102</t>
  </si>
  <si>
    <t xml:space="preserve">ECL-I103</t>
  </si>
  <si>
    <t xml:space="preserve">Connecteur étanche en X IP68 pour raccordement 4 voies en ex</t>
  </si>
  <si>
    <t xml:space="preserve">Connecteur étanche en X IP68 pour raccordement 4 voies en extérieur</t>
  </si>
  <si>
    <t xml:space="preserve">ECL-I104</t>
  </si>
  <si>
    <t xml:space="preserve">Convertisseur de signal 1-10V vers DALI pour éclairage LED p</t>
  </si>
  <si>
    <t xml:space="preserve">Convertisseur de signal 1-10V vers DALI pour éclairage LED professionnel</t>
  </si>
  <si>
    <t xml:space="preserve">ECL-I105</t>
  </si>
  <si>
    <t xml:space="preserve">Protecteur de surtensions transitoires pour LED jusqu'à 10kV</t>
  </si>
  <si>
    <t xml:space="preserve">ECL-I106</t>
  </si>
  <si>
    <t xml:space="preserve">Cloche LED Industrielle UFO 100-200W Sélectionnable IP65 Puc</t>
  </si>
  <si>
    <t xml:space="preserve">Cloche LED Industrielle UFO 100-200W Sélectionnable IP65 Puce OSRAM</t>
  </si>
  <si>
    <t xml:space="preserve">ECL-I107</t>
  </si>
  <si>
    <t xml:space="preserve">Cloche LED Industrielle UFO 80-150W Sélectionnable IP65 Puce</t>
  </si>
  <si>
    <t xml:space="preserve">Cloche LED Industrielle UFO 80-150W Sélectionnable IP65 Puce OSRAM</t>
  </si>
  <si>
    <t xml:space="preserve">ECL-I108</t>
  </si>
  <si>
    <t xml:space="preserve">Cloche LED Industrielle UFO 80-200W Sélectionnable IP65 Puce LUMILEDS</t>
  </si>
  <si>
    <t xml:space="preserve">ECL-I109</t>
  </si>
  <si>
    <t xml:space="preserve">Cloche LED Industrielle UFO 200W 3CCT 130lm/W IP65 Puce Lumi</t>
  </si>
  <si>
    <t xml:space="preserve">Cloche LED Industrielle UFO 200W 3CCT 130lm/W IP65 Puce Lumileds</t>
  </si>
  <si>
    <t xml:space="preserve">ECL-I110</t>
  </si>
  <si>
    <t xml:space="preserve">Cloche LED Industrielle UFO 150W 3CCT 130lm/W IP65 Puce Lumi</t>
  </si>
  <si>
    <t xml:space="preserve">Cloche LED Industrielle UFO 150W 3CCT 130lm/W IP65 Puce Lumileds</t>
  </si>
  <si>
    <t xml:space="preserve">ECL-I111</t>
  </si>
  <si>
    <t xml:space="preserve">Cloche LED Industrielle UFO 200W 170lm/W Réglable 1-10V Driv</t>
  </si>
  <si>
    <t xml:space="preserve">Cloche LED Industrielle UFO 200W 170lm/W Réglable 1-10V Driver Philips</t>
  </si>
  <si>
    <t xml:space="preserve">ECL-I112</t>
  </si>
  <si>
    <t xml:space="preserve">Cloche LED Industrielle UFO 100W 3CCT 130lm/W IP65 Puce LUMI</t>
  </si>
  <si>
    <t xml:space="preserve">Cloche LED Industrielle UFO 100W 3CCT 130lm/W IP65 Puce LUMILEDS</t>
  </si>
  <si>
    <t xml:space="preserve">ECL-I113</t>
  </si>
  <si>
    <t xml:space="preserve">Cloche LED Industrielle UFO 80-120W 3CCT Réglable 1-10V Driv</t>
  </si>
  <si>
    <t xml:space="preserve">Cloche LED Industrielle UFO 80-120W 3CCT Réglable 1-10V Driver Philips</t>
  </si>
  <si>
    <t xml:space="preserve">ECL-I114</t>
  </si>
  <si>
    <t xml:space="preserve">Lentille 120° pour cloche LED</t>
  </si>
  <si>
    <t xml:space="preserve">ECL-I115</t>
  </si>
  <si>
    <t xml:space="preserve">Appliques murales LED</t>
  </si>
  <si>
    <t xml:space="preserve">Applique murale E27 extérieur IP44 en aluminium</t>
  </si>
  <si>
    <t xml:space="preserve">ECL-I116</t>
  </si>
  <si>
    <t xml:space="preserve">Applique murale E27 extérieur IP44 en acier inoxydable</t>
  </si>
  <si>
    <t xml:space="preserve">ECL-I117</t>
  </si>
  <si>
    <t xml:space="preserve">Applique murale LED 12W double lumière extérieur IP54 décora</t>
  </si>
  <si>
    <t xml:space="preserve">Applique murale LED 12W double lumière extérieur IP54 décorative</t>
  </si>
  <si>
    <t xml:space="preserve">ECL-I118</t>
  </si>
  <si>
    <t xml:space="preserve">Applique Murale LED 2 GU10 IP65 Bidirectionnelle Int Ext</t>
  </si>
  <si>
    <t xml:space="preserve">ECL-I119</t>
  </si>
  <si>
    <t xml:space="preserve">Applique LED Murale 12W IP65 Intérieur Extérieur Blanc Intég</t>
  </si>
  <si>
    <t xml:space="preserve">Applique LED Murale 12W IP65 Intérieur Extérieur Blanc Intégré</t>
  </si>
  <si>
    <t xml:space="preserve">ECL-I120</t>
  </si>
  <si>
    <t xml:space="preserve">Eclairage de secours LED</t>
  </si>
  <si>
    <t xml:space="preserve">Kit de conversion secours pour luminaire LED autonomie 3h</t>
  </si>
  <si>
    <t xml:space="preserve">ECL-I121</t>
  </si>
  <si>
    <t xml:space="preserve">Bloc de secours LED 4W IP65 permanent avec kit plafond</t>
  </si>
  <si>
    <t xml:space="preserve">ECL-I122</t>
  </si>
  <si>
    <t xml:space="preserve">Bloc Secours LED 4W Surface Plafond IP20 Permanent Non Perma</t>
  </si>
  <si>
    <t xml:space="preserve">Bloc Secours LED 4W Surface Plafond IP20 Permanent Non Permanent</t>
  </si>
  <si>
    <t xml:space="preserve">ECL-I123</t>
  </si>
  <si>
    <t xml:space="preserve">Bloc Secours LED 400lm Autotest Surface Plafond IP20 Permane</t>
  </si>
  <si>
    <t xml:space="preserve">Bloc Secours LED 400lm Autotest Surface Plafond IP20 Permanent</t>
  </si>
  <si>
    <t xml:space="preserve">ECL-I124</t>
  </si>
  <si>
    <t xml:space="preserve">Bloc de secours LED ATEX permanent 3W 200lm IP65</t>
  </si>
  <si>
    <t xml:space="preserve">ECL-I125</t>
  </si>
  <si>
    <t xml:space="preserve">Bloc de secours LED ATEX non permanent 3W 200lm IP65</t>
  </si>
  <si>
    <t xml:space="preserve">ECL-I126</t>
  </si>
  <si>
    <t xml:space="preserve">Detecteurs de presence</t>
  </si>
  <si>
    <t xml:space="preserve">Détecteur de mouvement en surface slim pour LED AC220-240V</t>
  </si>
  <si>
    <t xml:space="preserve">ECL-I127</t>
  </si>
  <si>
    <t xml:space="preserve">Détecteur de mouvement radar micro-ondes pour LED 300W IP20</t>
  </si>
  <si>
    <t xml:space="preserve">ECL-I128</t>
  </si>
  <si>
    <t xml:space="preserve">Détecteur de mouvement infrarouge encastrable 360° 6m pour L</t>
  </si>
  <si>
    <t xml:space="preserve">Détecteur de mouvement infrarouge encastrable 360° 6m pour LED</t>
  </si>
  <si>
    <t xml:space="preserve">ECL-I129</t>
  </si>
  <si>
    <t xml:space="preserve">Hublots / plafonniers LED</t>
  </si>
  <si>
    <t xml:space="preserve">ECL-I130</t>
  </si>
  <si>
    <t xml:space="preserve">ECL-I131</t>
  </si>
  <si>
    <t xml:space="preserve">ECL-I132</t>
  </si>
  <si>
    <t xml:space="preserve">ECL-I133</t>
  </si>
  <si>
    <t xml:space="preserve">ECL-I134</t>
  </si>
  <si>
    <t xml:space="preserve">ECL-I135</t>
  </si>
  <si>
    <t xml:space="preserve">ECL-I136</t>
  </si>
  <si>
    <t xml:space="preserve">ECL-I137</t>
  </si>
  <si>
    <t xml:space="preserve">ECL-I138</t>
  </si>
  <si>
    <t xml:space="preserve">ECL-I139</t>
  </si>
  <si>
    <t xml:space="preserve">ECL-I140</t>
  </si>
  <si>
    <t xml:space="preserve">ECL-I141</t>
  </si>
  <si>
    <t xml:space="preserve">ECL-I142</t>
  </si>
  <si>
    <t xml:space="preserve">ECL-I143</t>
  </si>
  <si>
    <t xml:space="preserve">ECL-I144</t>
  </si>
  <si>
    <t xml:space="preserve">ECL-I145</t>
  </si>
  <si>
    <t xml:space="preserve">ECL-I146</t>
  </si>
  <si>
    <t xml:space="preserve">ECL-I147</t>
  </si>
  <si>
    <t xml:space="preserve">ECL-I148</t>
  </si>
  <si>
    <t xml:space="preserve">ECL-I149</t>
  </si>
  <si>
    <t xml:space="preserve">ECL-I150</t>
  </si>
  <si>
    <t xml:space="preserve">Plafonnier LED Surface Carré 24W 4CCT UGR19 CRI92 Driver GXt</t>
  </si>
  <si>
    <t xml:space="preserve">Plafonnier LED Surface Carré 24W 4CCT UGR19 CRI92 Driver GXtronic</t>
  </si>
  <si>
    <t xml:space="preserve">PARAMÈTRES DE CHIFFRAGE</t>
  </si>
  <si>
    <t xml:space="preserve">Valeurs par défaut Blueseatra — modifiables</t>
  </si>
  <si>
    <t xml:space="preserve">Paramètre</t>
  </si>
  <si>
    <t xml:space="preserve">Valeur</t>
  </si>
  <si>
    <t xml:space="preserve">Commentaire</t>
  </si>
  <si>
    <t xml:space="preserve">Taux horaire main-d'œuvre</t>
  </si>
  <si>
    <t xml:space="preserve">€ HT / heure</t>
  </si>
  <si>
    <t xml:space="preserve">Forfait déplacement Île-de-France</t>
  </si>
  <si>
    <t xml:space="preserve">€ HT / jour d'intervention</t>
  </si>
  <si>
    <t xml:space="preserve">Limite journalière</t>
  </si>
  <si>
    <t xml:space="preserve">heures ouvrables / personne / jour</t>
  </si>
  <si>
    <t xml:space="preserve">Équipe type chantier boutique</t>
  </si>
  <si>
    <t xml:space="preserve">techniciens</t>
  </si>
  <si>
    <t xml:space="preserve">Coefficient marge fournitures</t>
  </si>
  <si>
    <t xml:space="preserve">à définir — colonne Marge % laissée vide</t>
  </si>
  <si>
    <t xml:space="preserve">Coefficient marge MO et déplacement</t>
  </si>
  <si>
    <t xml:space="preserve">pas de marge sur la main-d'œuvre par défaut</t>
  </si>
  <si>
    <t xml:space="preserve">TVA travaux neufs / fournitures</t>
  </si>
  <si>
    <t xml:space="preserve">%</t>
  </si>
  <si>
    <t xml:space="preserve">TVA rénovation logement &gt; 2 ans</t>
  </si>
  <si>
    <t xml:space="preserve">% — attestation client obligatoire</t>
  </si>
  <si>
    <t xml:space="preserve">TVA rénovation énergétique</t>
  </si>
  <si>
    <t xml:space="preserve">SOURCES DE PRIX</t>
  </si>
  <si>
    <t xml:space="preserve">Balayage complet du 09/09/2026 — chaque article a été recherché chez chaque enseigne de son domaine, le même jour</t>
  </si>
  <si>
    <t xml:space="preserve">Enseigne</t>
  </si>
  <si>
    <t xml:space="preserve">Site</t>
  </si>
  <si>
    <t xml:space="preserve">Accès aux prix</t>
  </si>
  <si>
    <t xml:space="preserve">Statut</t>
  </si>
  <si>
    <t xml:space="preserve">Ce qui en a été tiré</t>
  </si>
  <si>
    <t xml:space="preserve">Produits examinés</t>
  </si>
  <si>
    <t xml:space="preserve">Offres retenues</t>
  </si>
  <si>
    <t xml:space="preserve">https://www.afdb.fr</t>
  </si>
  <si>
    <t xml:space="preserve">Public — sans connexion</t>
  </si>
  <si>
    <t xml:space="preserve">Exploité</t>
  </si>
  <si>
    <t xml:space="preserve">Balayage complet des 397 articles le 09/09 (recherche produit puis fiche) : 211 prix public HT retenus après contrôle de correspondance</t>
  </si>
  <si>
    <t xml:space="preserve">https://icilux.com/fr/</t>
  </si>
  <si>
    <t xml:space="preserve">Feuille 03b : 150 références d'éclairage LED (prix public HT)</t>
  </si>
  <si>
    <t xml:space="preserve">https://www.yesss-fr.com</t>
  </si>
  <si>
    <t xml:space="preserve">Compte pro requis</t>
  </si>
  <si>
    <t xml:space="preserve">Exploité — votre compte</t>
  </si>
  <si>
    <t xml:space="preserve">Compte YESSS PRO Anelec (agence Aubervilliers) : export de 14 rubriques, 29 489 références avec VOS prix nets, réappariées sur les 397 articles le 09/09 (93 correspondances)</t>
  </si>
  <si>
    <t xml:space="preserve">https://www.rexel.fr</t>
  </si>
  <si>
    <t xml:space="preserve">Compte n° 6564380 : session reconnectée le 09/09, balayage des 162 articles électricité, courants faibles, CVC et incendie ; 290 produits examinés, 37 prix client retenus après contrôle de correspondance</t>
  </si>
  <si>
    <t xml:space="preserve">https://www.laplateforme.com</t>
  </si>
  <si>
    <t xml:space="preserve">Carte pro requise</t>
  </si>
  <si>
    <t xml:space="preserve">Carte 2015011481012, dépôt Aubervilliers : balayage complet des 144 articles second œuvre le 09/09 en session connectée, 75 prix client retenus</t>
  </si>
  <si>
    <t xml:space="preserve">https://www.chausson.fr</t>
  </si>
  <si>
    <t xml:space="preserve">Compte pro (prix publics)</t>
  </si>
  <si>
    <t xml:space="preserve">Compte ANELEC (BEJTETYENE Anouar) ouvert le 09/09/2026 : prix HT vérifiés directement sur le site via le sélecteur HT/TTC, identiques aux prix publics — pas de remise négociée à ce jour. Balayage complet des 397 articles le 09/09 : 202 prix retenus</t>
  </si>
  <si>
    <t xml:space="preserve">https://www.pointp.fr</t>
  </si>
  <si>
    <t xml:space="preserve">Fichier tarif client</t>
  </si>
  <si>
    <t xml:space="preserve">Exploité — votre tarif net</t>
  </si>
  <si>
    <t xml:space="preserve">Export tarifaire de l'agence AUBERVILLIERS POINT P transmis par le fournisseur le 09/09/2026 : 58 250 références avec votre prix net HT et le prix public en regard. 218 articles appariés, remise moyenne constatée 8,3 % (jusqu'à 59 %)</t>
  </si>
  <si>
    <t xml:space="preserve">https://www.prolians.fr</t>
  </si>
  <si>
    <t xml:space="preserve">Compte ANELEC (magasin Paris Aubervilliers) ouvert le 09/09/2026 : prix personnalisés HT balayage des 108 articles quincaillerie, EPI, outillage, serrurerie et incendie le 09/09, 55 prix personnalisés retenus</t>
  </si>
  <si>
    <t xml:space="preserve">https://www.sfic.com</t>
  </si>
  <si>
    <t xml:space="preserve">Compte ANELEC (agence SFIC PANTIN) ouvert le 09/09/2026 : prix HT de votre compte relevés balayage des 79 articles plâtrerie, plafonds, sols, peinture et menuiserie le 09/09, 21 prix retenus</t>
  </si>
  <si>
    <t xml:space="preserve">Famille d'origine</t>
  </si>
  <si>
    <t xml:space="preserve">Article d'origine</t>
  </si>
  <si>
    <t xml:space="preserve">Réf. d'origine</t>
  </si>
  <si>
    <t xml:space="preserve">Repris dans</t>
  </si>
  <si>
    <t xml:space="preserve">Article correspondant</t>
  </si>
  <si>
    <t xml:space="preserve">Gros œuvre</t>
  </si>
  <si>
    <t xml:space="preserve">Ciment CPJ 25 kg</t>
  </si>
  <si>
    <t xml:space="preserve">RF400000</t>
  </si>
  <si>
    <t xml:space="preserve">Repris</t>
  </si>
  <si>
    <t xml:space="preserve">Mortier prêt à gâcher 25 kg</t>
  </si>
  <si>
    <t xml:space="preserve">RF400001</t>
  </si>
  <si>
    <t xml:space="preserve">Béton prêt à l’emploi</t>
  </si>
  <si>
    <t xml:space="preserve">m³</t>
  </si>
  <si>
    <t xml:space="preserve">RF400002</t>
  </si>
  <si>
    <t xml:space="preserve">Parpaing 20x20x50</t>
  </si>
  <si>
    <t xml:space="preserve">RF400003</t>
  </si>
  <si>
    <t xml:space="preserve">Brique de construction</t>
  </si>
  <si>
    <t xml:space="preserve">RF400004</t>
  </si>
  <si>
    <t xml:space="preserve">Non repris</t>
  </si>
  <si>
    <t xml:space="preserve">À arbitrer</t>
  </si>
  <si>
    <t xml:space="preserve">Sable 0/4</t>
  </si>
  <si>
    <t xml:space="preserve">tonne</t>
  </si>
  <si>
    <t xml:space="preserve">RF400005</t>
  </si>
  <si>
    <t xml:space="preserve">Gravier 4/20</t>
  </si>
  <si>
    <t xml:space="preserve">RF400006</t>
  </si>
  <si>
    <t xml:space="preserve">Treillis soudé</t>
  </si>
  <si>
    <t xml:space="preserve">RF400007</t>
  </si>
  <si>
    <t xml:space="preserve">Film polyane</t>
  </si>
  <si>
    <t xml:space="preserve">RF400008</t>
  </si>
  <si>
    <t xml:space="preserve">Linteau béton</t>
  </si>
  <si>
    <t xml:space="preserve">RF400009</t>
  </si>
  <si>
    <t xml:space="preserve">Chaînage U</t>
  </si>
  <si>
    <t xml:space="preserve">RF400010</t>
  </si>
  <si>
    <t xml:space="preserve">Coffrage bois</t>
  </si>
  <si>
    <t xml:space="preserve">RF400011</t>
  </si>
  <si>
    <t xml:space="preserve">Adjuvant béton</t>
  </si>
  <si>
    <t xml:space="preserve">RF400012</t>
  </si>
  <si>
    <t xml:space="preserve">Mortier de réparation</t>
  </si>
  <si>
    <t xml:space="preserve">RF400013</t>
  </si>
  <si>
    <t xml:space="preserve">Bloc béton creux</t>
  </si>
  <si>
    <t xml:space="preserve">RF400014</t>
  </si>
  <si>
    <t xml:space="preserve">Agglo de chaînage</t>
  </si>
  <si>
    <t xml:space="preserve">RF400015</t>
  </si>
  <si>
    <t xml:space="preserve">Rond à béton</t>
  </si>
  <si>
    <t xml:space="preserve">RF400016</t>
  </si>
  <si>
    <t xml:space="preserve">Cales d’armature</t>
  </si>
  <si>
    <t xml:space="preserve">RF400017</t>
  </si>
  <si>
    <t xml:space="preserve">Semelle de fondation</t>
  </si>
  <si>
    <t xml:space="preserve">RF400018</t>
  </si>
  <si>
    <t xml:space="preserve">Enduit de soubassement</t>
  </si>
  <si>
    <t xml:space="preserve">RF400019</t>
  </si>
  <si>
    <t xml:space="preserve">Second œuvre</t>
  </si>
  <si>
    <t xml:space="preserve">Plaque BA13 standard</t>
  </si>
  <si>
    <t xml:space="preserve">RF400020</t>
  </si>
  <si>
    <t xml:space="preserve">Plaque hydrofuge</t>
  </si>
  <si>
    <t xml:space="preserve">RF400021</t>
  </si>
  <si>
    <t xml:space="preserve">Plaque phonique</t>
  </si>
  <si>
    <t xml:space="preserve">RF400022</t>
  </si>
  <si>
    <t xml:space="preserve">Plaque feu</t>
  </si>
  <si>
    <t xml:space="preserve">RF400023</t>
  </si>
  <si>
    <t xml:space="preserve">Repris — à confirmer</t>
  </si>
  <si>
    <t xml:space="preserve">Rail métallique</t>
  </si>
  <si>
    <t xml:space="preserve">RF400024</t>
  </si>
  <si>
    <t xml:space="preserve">Montant métallique</t>
  </si>
  <si>
    <t xml:space="preserve">RF400025</t>
  </si>
  <si>
    <t xml:space="preserve">Laine de verre 100 mm</t>
  </si>
  <si>
    <t xml:space="preserve">RF400026</t>
  </si>
  <si>
    <t xml:space="preserve">Laine de roche 100 mm</t>
  </si>
  <si>
    <t xml:space="preserve">RF400027</t>
  </si>
  <si>
    <t xml:space="preserve">Enduit de rebouchage</t>
  </si>
  <si>
    <t xml:space="preserve">RF400028</t>
  </si>
  <si>
    <t xml:space="preserve">Enduit de finition</t>
  </si>
  <si>
    <t xml:space="preserve">RF400029</t>
  </si>
  <si>
    <t xml:space="preserve">Peinture acrylique</t>
  </si>
  <si>
    <t xml:space="preserve">RF400030</t>
  </si>
  <si>
    <t xml:space="preserve">Sous-couche</t>
  </si>
  <si>
    <t xml:space="preserve">RF400031</t>
  </si>
  <si>
    <t xml:space="preserve">Peinture façade</t>
  </si>
  <si>
    <t xml:space="preserve">RF400032</t>
  </si>
  <si>
    <t xml:space="preserve">Carrelage intérieur standard</t>
  </si>
  <si>
    <t xml:space="preserve">RF400033</t>
  </si>
  <si>
    <t xml:space="preserve">Colle carrelage</t>
  </si>
  <si>
    <t xml:space="preserve">RF400034</t>
  </si>
  <si>
    <t xml:space="preserve">Joint carrelage</t>
  </si>
  <si>
    <t xml:space="preserve">RF400035</t>
  </si>
  <si>
    <t xml:space="preserve">Parquet stratifié</t>
  </si>
  <si>
    <t xml:space="preserve">RF400036</t>
  </si>
  <si>
    <t xml:space="preserve">Sous-couche acoustique</t>
  </si>
  <si>
    <t xml:space="preserve">RF400037</t>
  </si>
  <si>
    <t xml:space="preserve">Porte intérieure</t>
  </si>
  <si>
    <t xml:space="preserve">RF400038</t>
  </si>
  <si>
    <t xml:space="preserve">Bloc-porte</t>
  </si>
  <si>
    <t xml:space="preserve">RF400039</t>
  </si>
  <si>
    <t xml:space="preserve">Plinthe MDF</t>
  </si>
  <si>
    <t xml:space="preserve">RF400040</t>
  </si>
  <si>
    <t xml:space="preserve">Cornière d’angle</t>
  </si>
  <si>
    <t xml:space="preserve">RF400041</t>
  </si>
  <si>
    <t xml:space="preserve">Bande à joint</t>
  </si>
  <si>
    <t xml:space="preserve">RF400042</t>
  </si>
  <si>
    <t xml:space="preserve">Mastic acrylique</t>
  </si>
  <si>
    <t xml:space="preserve">RF400043</t>
  </si>
  <si>
    <t xml:space="preserve">Quincaillerie</t>
  </si>
  <si>
    <t xml:space="preserve">Vis placo 25 mm</t>
  </si>
  <si>
    <t xml:space="preserve">RF400044</t>
  </si>
  <si>
    <t xml:space="preserve">Vis bois</t>
  </si>
  <si>
    <t xml:space="preserve">RF400045</t>
  </si>
  <si>
    <t xml:space="preserve">Cheville nylon</t>
  </si>
  <si>
    <t xml:space="preserve">RF400046</t>
  </si>
  <si>
    <t xml:space="preserve">Cheville métallique</t>
  </si>
  <si>
    <t xml:space="preserve">RF400047</t>
  </si>
  <si>
    <t xml:space="preserve">Paumelle</t>
  </si>
  <si>
    <t xml:space="preserve">RF400048</t>
  </si>
  <si>
    <t xml:space="preserve">Charnière invisible</t>
  </si>
  <si>
    <t xml:space="preserve">RF400049</t>
  </si>
  <si>
    <t xml:space="preserve">Poignée porte</t>
  </si>
  <si>
    <t xml:space="preserve">RF400050</t>
  </si>
  <si>
    <t xml:space="preserve">Bouton de porte</t>
  </si>
  <si>
    <t xml:space="preserve">RF400051</t>
  </si>
  <si>
    <t xml:space="preserve">Serrure tubulaire</t>
  </si>
  <si>
    <t xml:space="preserve">RF400052</t>
  </si>
  <si>
    <t xml:space="preserve">Serrure à larder</t>
  </si>
  <si>
    <t xml:space="preserve">RF400053</t>
  </si>
  <si>
    <t xml:space="preserve">Tirefond</t>
  </si>
  <si>
    <t xml:space="preserve">RF400054</t>
  </si>
  <si>
    <t xml:space="preserve">Boulon acier</t>
  </si>
  <si>
    <t xml:space="preserve">RF400055</t>
  </si>
  <si>
    <t xml:space="preserve">Équerre</t>
  </si>
  <si>
    <t xml:space="preserve">RF400056</t>
  </si>
  <si>
    <t xml:space="preserve">Butée de porte</t>
  </si>
  <si>
    <t xml:space="preserve">RF400057</t>
  </si>
  <si>
    <t xml:space="preserve">Patère</t>
  </si>
  <si>
    <t xml:space="preserve">RF400058</t>
  </si>
  <si>
    <t xml:space="preserve">Support mural</t>
  </si>
  <si>
    <t xml:space="preserve">RF400059</t>
  </si>
  <si>
    <t xml:space="preserve">Rail de suspension</t>
  </si>
  <si>
    <t xml:space="preserve">RF400060</t>
  </si>
  <si>
    <t xml:space="preserve">Cache-vis</t>
  </si>
  <si>
    <t xml:space="preserve">RF400061</t>
  </si>
  <si>
    <t xml:space="preserve">Cales plastiques</t>
  </si>
  <si>
    <t xml:space="preserve">RF400062</t>
  </si>
  <si>
    <t xml:space="preserve">Crochet de fixation</t>
  </si>
  <si>
    <t xml:space="preserve">RF400063</t>
  </si>
  <si>
    <t xml:space="preserve">Électricité CFO</t>
  </si>
  <si>
    <t xml:space="preserve">Câble U1000 R2V 3G2,5</t>
  </si>
  <si>
    <t xml:space="preserve">RF400064</t>
  </si>
  <si>
    <t xml:space="preserve">Câble U1000 R2V 5G6</t>
  </si>
  <si>
    <t xml:space="preserve">RF400065</t>
  </si>
  <si>
    <t xml:space="preserve">Gaine ICTA</t>
  </si>
  <si>
    <t xml:space="preserve">RF400066</t>
  </si>
  <si>
    <t xml:space="preserve">Gaine TPC</t>
  </si>
  <si>
    <t xml:space="preserve">RF400067</t>
  </si>
  <si>
    <t xml:space="preserve">Interrupteur</t>
  </si>
  <si>
    <t xml:space="preserve">RF400068</t>
  </si>
  <si>
    <t xml:space="preserve">Prise 2P+T</t>
  </si>
  <si>
    <t xml:space="preserve">RF400069</t>
  </si>
  <si>
    <t xml:space="preserve">Prise étanche</t>
  </si>
  <si>
    <t xml:space="preserve">RF400070</t>
  </si>
  <si>
    <t xml:space="preserve">Disjoncteur modulaire</t>
  </si>
  <si>
    <t xml:space="preserve">RF400071</t>
  </si>
  <si>
    <t xml:space="preserve">Interrupteur différentiel</t>
  </si>
  <si>
    <t xml:space="preserve">RF400072</t>
  </si>
  <si>
    <t xml:space="preserve">Tableau électrique</t>
  </si>
  <si>
    <t xml:space="preserve">RF400073</t>
  </si>
  <si>
    <t xml:space="preserve">Peigne de raccordement</t>
  </si>
  <si>
    <t xml:space="preserve">RF400074</t>
  </si>
  <si>
    <t xml:space="preserve">Contacteur jour/nuit</t>
  </si>
  <si>
    <t xml:space="preserve">RF400075</t>
  </si>
  <si>
    <t xml:space="preserve">Spot LED encastré</t>
  </si>
  <si>
    <t xml:space="preserve">RF400076</t>
  </si>
  <si>
    <t xml:space="preserve">Dalle LED</t>
  </si>
  <si>
    <t xml:space="preserve">RF400077</t>
  </si>
  <si>
    <t xml:space="preserve">Applique étanche</t>
  </si>
  <si>
    <t xml:space="preserve">RF400078</t>
  </si>
  <si>
    <t xml:space="preserve">Chemin de câble</t>
  </si>
  <si>
    <t xml:space="preserve">RF400079</t>
  </si>
  <si>
    <t xml:space="preserve">Barrette de terre</t>
  </si>
  <si>
    <t xml:space="preserve">RF400080</t>
  </si>
  <si>
    <t xml:space="preserve">RF400081</t>
  </si>
  <si>
    <t xml:space="preserve">Boîte d’encastrement</t>
  </si>
  <si>
    <t xml:space="preserve">RF400082</t>
  </si>
  <si>
    <t xml:space="preserve">RF400083</t>
  </si>
  <si>
    <t xml:space="preserve">Électricité CFA</t>
  </si>
  <si>
    <t xml:space="preserve">Câble RJ45 Cat6</t>
  </si>
  <si>
    <t xml:space="preserve">RF400084</t>
  </si>
  <si>
    <t xml:space="preserve">Prise RJ45</t>
  </si>
  <si>
    <t xml:space="preserve">RF400085</t>
  </si>
  <si>
    <t xml:space="preserve">Baie de brassage</t>
  </si>
  <si>
    <t xml:space="preserve">RF400086</t>
  </si>
  <si>
    <t xml:space="preserve">Panneau de brassage</t>
  </si>
  <si>
    <t xml:space="preserve">RF400087</t>
  </si>
  <si>
    <t xml:space="preserve">Switch réseau</t>
  </si>
  <si>
    <t xml:space="preserve">RF400088</t>
  </si>
  <si>
    <t xml:space="preserve">Caméra IP</t>
  </si>
  <si>
    <t xml:space="preserve">RF400089</t>
  </si>
  <si>
    <t xml:space="preserve">NVR</t>
  </si>
  <si>
    <t xml:space="preserve">RF400090</t>
  </si>
  <si>
    <t xml:space="preserve">Détecteur intrusion</t>
  </si>
  <si>
    <t xml:space="preserve">RF400091</t>
  </si>
  <si>
    <t xml:space="preserve">Clavier alarme</t>
  </si>
  <si>
    <t xml:space="preserve">RF400092</t>
  </si>
  <si>
    <t xml:space="preserve">Centrale intrusion</t>
  </si>
  <si>
    <t xml:space="preserve">RF400093</t>
  </si>
  <si>
    <t xml:space="preserve">Lecteur badge</t>
  </si>
  <si>
    <t xml:space="preserve">RF400094</t>
  </si>
  <si>
    <t xml:space="preserve">Ventouse électromagnétique</t>
  </si>
  <si>
    <t xml:space="preserve">RF400095</t>
  </si>
  <si>
    <t xml:space="preserve">Contrôleur d’accès</t>
  </si>
  <si>
    <t xml:space="preserve">RF400096</t>
  </si>
  <si>
    <t xml:space="preserve">Câble incendie CR1</t>
  </si>
  <si>
    <t xml:space="preserve">RF400097</t>
  </si>
  <si>
    <t xml:space="preserve">Détecteur de fumée</t>
  </si>
  <si>
    <t xml:space="preserve">RF400098</t>
  </si>
  <si>
    <t xml:space="preserve">DM incendie</t>
  </si>
  <si>
    <t xml:space="preserve">RF400099</t>
  </si>
  <si>
    <t xml:space="preserve">Sirène</t>
  </si>
  <si>
    <t xml:space="preserve">RF400100</t>
  </si>
  <si>
    <t xml:space="preserve">Diffuseur sonore</t>
  </si>
  <si>
    <t xml:space="preserve">RF400101</t>
  </si>
  <si>
    <t xml:space="preserve">Boîtier de dérivation VDI</t>
  </si>
  <si>
    <t xml:space="preserve">RF400102</t>
  </si>
  <si>
    <t xml:space="preserve">Patch cord Cat6</t>
  </si>
  <si>
    <t xml:space="preserve">RF400103</t>
  </si>
  <si>
    <t xml:space="preserve">Plomberie sanitaire</t>
  </si>
  <si>
    <t xml:space="preserve">Tube PER</t>
  </si>
  <si>
    <t xml:space="preserve">RF400104</t>
  </si>
  <si>
    <t xml:space="preserve">Tube multicouche</t>
  </si>
  <si>
    <t xml:space="preserve">RF400105</t>
  </si>
  <si>
    <t xml:space="preserve">Tube cuivre</t>
  </si>
  <si>
    <t xml:space="preserve">RF400106</t>
  </si>
  <si>
    <t xml:space="preserve">Coude</t>
  </si>
  <si>
    <t xml:space="preserve">RF400107</t>
  </si>
  <si>
    <t xml:space="preserve">Té</t>
  </si>
  <si>
    <t xml:space="preserve">RF400108</t>
  </si>
  <si>
    <t xml:space="preserve">Vanne d’arrêt</t>
  </si>
  <si>
    <t xml:space="preserve">RF400109</t>
  </si>
  <si>
    <t xml:space="preserve">Mitigeur</t>
  </si>
  <si>
    <t xml:space="preserve">RF400110</t>
  </si>
  <si>
    <t xml:space="preserve">Lavabo</t>
  </si>
  <si>
    <t xml:space="preserve">RF400111</t>
  </si>
  <si>
    <t xml:space="preserve">WC suspendu</t>
  </si>
  <si>
    <t xml:space="preserve">RF400112</t>
  </si>
  <si>
    <t xml:space="preserve">Siphon</t>
  </si>
  <si>
    <t xml:space="preserve">RF400113</t>
  </si>
  <si>
    <t xml:space="preserve">Robinet de puisage</t>
  </si>
  <si>
    <t xml:space="preserve">RF400114</t>
  </si>
  <si>
    <t xml:space="preserve">Colonne de douche</t>
  </si>
  <si>
    <t xml:space="preserve">RF400115</t>
  </si>
  <si>
    <t xml:space="preserve">Flexible sanitaire</t>
  </si>
  <si>
    <t xml:space="preserve">RF400116</t>
  </si>
  <si>
    <t xml:space="preserve">Raccord multicouche</t>
  </si>
  <si>
    <t xml:space="preserve">RF400117</t>
  </si>
  <si>
    <t xml:space="preserve">Tube PVC évacuation</t>
  </si>
  <si>
    <t xml:space="preserve">RF400118</t>
  </si>
  <si>
    <t xml:space="preserve">Collier isophonique</t>
  </si>
  <si>
    <t xml:space="preserve">RF400119</t>
  </si>
  <si>
    <t xml:space="preserve">Chasse d’eau</t>
  </si>
  <si>
    <t xml:space="preserve">RF400120</t>
  </si>
  <si>
    <t xml:space="preserve">Bonde de douche</t>
  </si>
  <si>
    <t xml:space="preserve">RF400121</t>
  </si>
  <si>
    <t xml:space="preserve">Joint fibre</t>
  </si>
  <si>
    <t xml:space="preserve">RF400122</t>
  </si>
  <si>
    <t xml:space="preserve">Réducteur de pression</t>
  </si>
  <si>
    <t xml:space="preserve">RF400123</t>
  </si>
  <si>
    <t xml:space="preserve">CVC</t>
  </si>
  <si>
    <t xml:space="preserve">Gaine spiralée</t>
  </si>
  <si>
    <t xml:space="preserve">RF400124</t>
  </si>
  <si>
    <t xml:space="preserve">Gaine souple</t>
  </si>
  <si>
    <t xml:space="preserve">RF400125</t>
  </si>
  <si>
    <t xml:space="preserve">Bouche de soufflage</t>
  </si>
  <si>
    <t xml:space="preserve">RF400126</t>
  </si>
  <si>
    <t xml:space="preserve">Bouche d’extraction</t>
  </si>
  <si>
    <t xml:space="preserve">RF400127</t>
  </si>
  <si>
    <t xml:space="preserve">VMC simple flux</t>
  </si>
  <si>
    <t xml:space="preserve">RF400128</t>
  </si>
  <si>
    <t xml:space="preserve">VMC double flux</t>
  </si>
  <si>
    <t xml:space="preserve">RF400129</t>
  </si>
  <si>
    <t xml:space="preserve">Climatiseur monosplit</t>
  </si>
  <si>
    <t xml:space="preserve">RF400130</t>
  </si>
  <si>
    <t xml:space="preserve">Radiateur acier</t>
  </si>
  <si>
    <t xml:space="preserve">RF400131</t>
  </si>
  <si>
    <t xml:space="preserve">Thermostat</t>
  </si>
  <si>
    <t xml:space="preserve">RF400132</t>
  </si>
  <si>
    <t xml:space="preserve">Circulateur</t>
  </si>
  <si>
    <t xml:space="preserve">RF400133</t>
  </si>
  <si>
    <t xml:space="preserve">Filtre à air</t>
  </si>
  <si>
    <t xml:space="preserve">RF400134</t>
  </si>
  <si>
    <t xml:space="preserve">Calorifuge CVC</t>
  </si>
  <si>
    <t xml:space="preserve">RF400135</t>
  </si>
  <si>
    <t xml:space="preserve">Grille de reprise</t>
  </si>
  <si>
    <t xml:space="preserve">RF400136</t>
  </si>
  <si>
    <t xml:space="preserve">Condensats PVC</t>
  </si>
  <si>
    <t xml:space="preserve">RF400137</t>
  </si>
  <si>
    <t xml:space="preserve">Pompe à condensats</t>
  </si>
  <si>
    <t xml:space="preserve">RF400138</t>
  </si>
  <si>
    <t xml:space="preserve">Vanne 2 voies</t>
  </si>
  <si>
    <t xml:space="preserve">RF400139</t>
  </si>
  <si>
    <t xml:space="preserve">Sonde ambiance</t>
  </si>
  <si>
    <t xml:space="preserve">RF400140</t>
  </si>
  <si>
    <t xml:space="preserve">Purgeur automatique</t>
  </si>
  <si>
    <t xml:space="preserve">RF400141</t>
  </si>
  <si>
    <t xml:space="preserve">Joint de gaine</t>
  </si>
  <si>
    <t xml:space="preserve">RF400142</t>
  </si>
  <si>
    <t xml:space="preserve">Batterie de chauffe</t>
  </si>
  <si>
    <t xml:space="preserve">RF400143</t>
  </si>
  <si>
    <t xml:space="preserve">Serrurerie</t>
  </si>
  <si>
    <t xml:space="preserve">Serrure cylindre européen</t>
  </si>
  <si>
    <t xml:space="preserve">RF400144</t>
  </si>
  <si>
    <t xml:space="preserve">Barillet</t>
  </si>
  <si>
    <t xml:space="preserve">RF400145</t>
  </si>
  <si>
    <t xml:space="preserve">Crémone</t>
  </si>
  <si>
    <t xml:space="preserve">RF400146</t>
  </si>
  <si>
    <t xml:space="preserve">Ferme-porte</t>
  </si>
  <si>
    <t xml:space="preserve">RF400147</t>
  </si>
  <si>
    <t xml:space="preserve">Gâche électrique</t>
  </si>
  <si>
    <t xml:space="preserve">RF400148</t>
  </si>
  <si>
    <t xml:space="preserve">Anti-panique</t>
  </si>
  <si>
    <t xml:space="preserve">RF400149</t>
  </si>
  <si>
    <t xml:space="preserve">Cornière acier</t>
  </si>
  <si>
    <t xml:space="preserve">RF400150</t>
  </si>
  <si>
    <t xml:space="preserve">Profilé acier</t>
  </si>
  <si>
    <t xml:space="preserve">RF400151</t>
  </si>
  <si>
    <t xml:space="preserve">Plaque de blindage</t>
  </si>
  <si>
    <t xml:space="preserve">RF400152</t>
  </si>
  <si>
    <t xml:space="preserve">Cylindre haute sûreté</t>
  </si>
  <si>
    <t xml:space="preserve">RF400153</t>
  </si>
  <si>
    <t xml:space="preserve">Rosace</t>
  </si>
  <si>
    <t xml:space="preserve">RF400154</t>
  </si>
  <si>
    <t xml:space="preserve">Verrou</t>
  </si>
  <si>
    <t xml:space="preserve">RF400155</t>
  </si>
  <si>
    <t xml:space="preserve">Tringle de fermeture</t>
  </si>
  <si>
    <t xml:space="preserve">RF400156</t>
  </si>
  <si>
    <t xml:space="preserve">Poignée palière</t>
  </si>
  <si>
    <t xml:space="preserve">RF400157</t>
  </si>
  <si>
    <t xml:space="preserve">Cadenas</t>
  </si>
  <si>
    <t xml:space="preserve">RF400158</t>
  </si>
  <si>
    <t xml:space="preserve">Barre anti-effraction</t>
  </si>
  <si>
    <t xml:space="preserve">RF400159</t>
  </si>
  <si>
    <t xml:space="preserve">Charnière de sécurité</t>
  </si>
  <si>
    <t xml:space="preserve">RF400160</t>
  </si>
  <si>
    <t xml:space="preserve">Penture</t>
  </si>
  <si>
    <t xml:space="preserve">RF400161</t>
  </si>
  <si>
    <t xml:space="preserve">Gâche renforcée</t>
  </si>
  <si>
    <t xml:space="preserve">RF400162</t>
  </si>
  <si>
    <t xml:space="preserve">Plaque signalétique porte</t>
  </si>
  <si>
    <t xml:space="preserve">RF400163</t>
  </si>
  <si>
    <t xml:space="preserve">Sécurité</t>
  </si>
  <si>
    <t xml:space="preserve">Casque de chantier</t>
  </si>
  <si>
    <t xml:space="preserve">RF400164</t>
  </si>
  <si>
    <t xml:space="preserve">Gants de protection</t>
  </si>
  <si>
    <t xml:space="preserve">RF400165</t>
  </si>
  <si>
    <t xml:space="preserve">Chaussures de sécurité</t>
  </si>
  <si>
    <t xml:space="preserve">RF400166</t>
  </si>
  <si>
    <t xml:space="preserve">Gilet haute visibilité</t>
  </si>
  <si>
    <t xml:space="preserve">RF400167</t>
  </si>
  <si>
    <t xml:space="preserve">Lunettes de protection</t>
  </si>
  <si>
    <t xml:space="preserve">RF400168</t>
  </si>
  <si>
    <t xml:space="preserve">Bouchons d’oreille</t>
  </si>
  <si>
    <t xml:space="preserve">RF400169</t>
  </si>
  <si>
    <t xml:space="preserve">Harnais antichute</t>
  </si>
  <si>
    <t xml:space="preserve">RF400170</t>
  </si>
  <si>
    <t xml:space="preserve">Ligne de vie</t>
  </si>
  <si>
    <t xml:space="preserve">RF400171</t>
  </si>
  <si>
    <t xml:space="preserve">Extincteur poudre 6 kg</t>
  </si>
  <si>
    <t xml:space="preserve">RF400172</t>
  </si>
  <si>
    <t xml:space="preserve">Détecteur autonome fumée</t>
  </si>
  <si>
    <t xml:space="preserve">RF400173</t>
  </si>
  <si>
    <t xml:space="preserve">RF400174</t>
  </si>
  <si>
    <t xml:space="preserve">Ruban de signalisation</t>
  </si>
  <si>
    <t xml:space="preserve">RF400175</t>
  </si>
  <si>
    <t xml:space="preserve">Panneau d’évacuation</t>
  </si>
  <si>
    <t xml:space="preserve">RF400176</t>
  </si>
  <si>
    <t xml:space="preserve">Trousse de secours</t>
  </si>
  <si>
    <t xml:space="preserve">RF400177</t>
  </si>
  <si>
    <t xml:space="preserve">Gardecorps temporaire</t>
  </si>
  <si>
    <t xml:space="preserve">RF400178</t>
  </si>
  <si>
    <t xml:space="preserve">Consignation électrique</t>
  </si>
  <si>
    <t xml:space="preserve">RF400179</t>
  </si>
  <si>
    <t xml:space="preserve">Masque FFP2</t>
  </si>
  <si>
    <t xml:space="preserve">RF400180</t>
  </si>
  <si>
    <t xml:space="preserve">Visière de protection</t>
  </si>
  <si>
    <t xml:space="preserve">RF400181</t>
  </si>
  <si>
    <t xml:space="preserve">Kit antichute</t>
  </si>
  <si>
    <t xml:space="preserve">RF400182</t>
  </si>
  <si>
    <t xml:space="preserve">Armoire sécurité</t>
  </si>
  <si>
    <t xml:space="preserve">RF400183</t>
  </si>
  <si>
    <t xml:space="preserve">Consommables chantier</t>
  </si>
  <si>
    <t xml:space="preserve">Ruban adhésif</t>
  </si>
  <si>
    <t xml:space="preserve">RF400184</t>
  </si>
  <si>
    <t xml:space="preserve">Ruban de masquage</t>
  </si>
  <si>
    <t xml:space="preserve">RF400185</t>
  </si>
  <si>
    <t xml:space="preserve">Bâche de protection</t>
  </si>
  <si>
    <t xml:space="preserve">RF400186</t>
  </si>
  <si>
    <t xml:space="preserve">Film de protection</t>
  </si>
  <si>
    <t xml:space="preserve">RF400187</t>
  </si>
  <si>
    <t xml:space="preserve">Cartouche mastic</t>
  </si>
  <si>
    <t xml:space="preserve">RF400188</t>
  </si>
  <si>
    <t xml:space="preserve">Cartouche silicone</t>
  </si>
  <si>
    <t xml:space="preserve">RF400189</t>
  </si>
  <si>
    <t xml:space="preserve">Lame cutter</t>
  </si>
  <si>
    <t xml:space="preserve">RF400190</t>
  </si>
  <si>
    <t xml:space="preserve">Disque diamant</t>
  </si>
  <si>
    <t xml:space="preserve">RF400191</t>
  </si>
  <si>
    <t xml:space="preserve">Disque à meuler</t>
  </si>
  <si>
    <t xml:space="preserve">RF400192</t>
  </si>
  <si>
    <t xml:space="preserve">Colle de montage</t>
  </si>
  <si>
    <t xml:space="preserve">RF400193</t>
  </si>
  <si>
    <t xml:space="preserve">Nettoyant dégraissant</t>
  </si>
  <si>
    <t xml:space="preserve">RF400194</t>
  </si>
  <si>
    <t xml:space="preserve">Marqueur chantier</t>
  </si>
  <si>
    <t xml:space="preserve">RF400195</t>
  </si>
  <si>
    <t xml:space="preserve">Cordeau traceur</t>
  </si>
  <si>
    <t xml:space="preserve">RF400196</t>
  </si>
  <si>
    <t xml:space="preserve">Rouleau peinture</t>
  </si>
  <si>
    <t xml:space="preserve">RF400197</t>
  </si>
  <si>
    <t xml:space="preserve">Bac à peinture</t>
  </si>
  <si>
    <t xml:space="preserve">RF400198</t>
  </si>
  <si>
    <t xml:space="preserve">Manchon peinture</t>
  </si>
  <si>
    <t xml:space="preserve">RF400199</t>
  </si>
  <si>
    <t xml:space="preserve">Cutter</t>
  </si>
  <si>
    <t xml:space="preserve">RF400200</t>
  </si>
  <si>
    <t xml:space="preserve">Ponceuse abrasif</t>
  </si>
  <si>
    <t xml:space="preserve">RF400201</t>
  </si>
  <si>
    <t xml:space="preserve">Sachet de vis assorties</t>
  </si>
  <si>
    <t xml:space="preserve">RF400202</t>
  </si>
  <si>
    <t xml:space="preserve">Lingettes industrielles</t>
  </si>
  <si>
    <t xml:space="preserve">RF400203</t>
  </si>
  <si>
    <t xml:space="preserve">Maintenance multitechnique</t>
  </si>
  <si>
    <t xml:space="preserve">Ampoule LED</t>
  </si>
  <si>
    <t xml:space="preserve">RF400204</t>
  </si>
  <si>
    <t xml:space="preserve">Ballast électronique</t>
  </si>
  <si>
    <t xml:space="preserve">RF400205</t>
  </si>
  <si>
    <t xml:space="preserve">Starter LED</t>
  </si>
  <si>
    <t xml:space="preserve">RF400206</t>
  </si>
  <si>
    <t xml:space="preserve">Fusible</t>
  </si>
  <si>
    <t xml:space="preserve">RF400207</t>
  </si>
  <si>
    <t xml:space="preserve">Relais</t>
  </si>
  <si>
    <t xml:space="preserve">RF400208</t>
  </si>
  <si>
    <t xml:space="preserve">Contacteur</t>
  </si>
  <si>
    <t xml:space="preserve">RF400209</t>
  </si>
  <si>
    <t xml:space="preserve">Moteur VMC</t>
  </si>
  <si>
    <t xml:space="preserve">RF400210</t>
  </si>
  <si>
    <t xml:space="preserve">Courroie</t>
  </si>
  <si>
    <t xml:space="preserve">RF400211</t>
  </si>
  <si>
    <t xml:space="preserve">Roulement</t>
  </si>
  <si>
    <t xml:space="preserve">RF400212</t>
  </si>
  <si>
    <t xml:space="preserve">Graisse technique</t>
  </si>
  <si>
    <t xml:space="preserve">RF400213</t>
  </si>
  <si>
    <t xml:space="preserve">Thermostat d’ambiance</t>
  </si>
  <si>
    <t xml:space="preserve">RF400214</t>
  </si>
  <si>
    <t xml:space="preserve">Pièce détachée standard</t>
  </si>
  <si>
    <t xml:space="preserve">RF400215</t>
  </si>
  <si>
    <t xml:space="preserve">Joint de rechange</t>
  </si>
  <si>
    <t xml:space="preserve">RF400216</t>
  </si>
  <si>
    <t xml:space="preserve">Lubrifiant multi-usage</t>
  </si>
  <si>
    <t xml:space="preserve">RF400217</t>
  </si>
  <si>
    <t xml:space="preserve">Capteur température</t>
  </si>
  <si>
    <t xml:space="preserve">RF400218</t>
  </si>
  <si>
    <t xml:space="preserve">Sonde humidité</t>
  </si>
  <si>
    <t xml:space="preserve">RF400219</t>
  </si>
  <si>
    <t xml:space="preserve">Interrupteur de maintenance</t>
  </si>
  <si>
    <t xml:space="preserve">RF400220</t>
  </si>
  <si>
    <t xml:space="preserve">Bouton poussoir</t>
  </si>
  <si>
    <t xml:space="preserve">RF400221</t>
  </si>
  <si>
    <t xml:space="preserve">Micro-contact</t>
  </si>
  <si>
    <t xml:space="preserve">RF400222</t>
  </si>
  <si>
    <t xml:space="preserve">Module de commande</t>
  </si>
  <si>
    <t xml:space="preserve">RF400223</t>
  </si>
  <si>
    <t xml:space="preserve">Article (désignation interne)</t>
  </si>
  <si>
    <t xml:space="preserve">Réf. fabricant</t>
  </si>
  <si>
    <t xml:space="preserve">Fournisseur retenu</t>
  </si>
  <si>
    <t xml:space="preserve">Prix achat HT</t>
  </si>
  <si>
    <t xml:space="preserve">Prix public réf.</t>
  </si>
  <si>
    <t xml:space="preserve">Date prix</t>
  </si>
  <si>
    <t xml:space="preserve">Point de contrôle</t>
  </si>
  <si>
    <t xml:space="preserve">Marge %</t>
  </si>
  <si>
    <t xml:space="preserve">Prix vente HT</t>
  </si>
  <si>
    <t xml:space="preserve">TVA %</t>
  </si>
  <si>
    <t xml:space="preserve">GEW/GW90606F</t>
  </si>
  <si>
    <t xml:space="preserve">Prix public HT · le moins cher / 2</t>
  </si>
  <si>
    <t xml:space="preserve">09/09/2026</t>
  </si>
  <si>
    <t xml:space="preserve">2CSS245102R0164</t>
  </si>
  <si>
    <t xml:space="preserve">Votre tarif client · le moins cher / 2</t>
  </si>
  <si>
    <t xml:space="preserve">GEW/GW90608</t>
  </si>
  <si>
    <t xml:space="preserve">GEW/GW90610</t>
  </si>
  <si>
    <t xml:space="preserve">SCE/A9F77432</t>
  </si>
  <si>
    <t xml:space="preserve">CDC742F</t>
  </si>
  <si>
    <t xml:space="preserve">LEG/411676</t>
  </si>
  <si>
    <t xml:space="preserve">410706</t>
  </si>
  <si>
    <t xml:space="preserve">Votre tarif client · le moins cher / 3</t>
  </si>
  <si>
    <t xml:space="preserve">VAAMO2TG2S15FI25</t>
  </si>
  <si>
    <t xml:space="preserve">Votre tarif net · le moins cher / 3</t>
  </si>
  <si>
    <t xml:space="preserve">ETS221B</t>
  </si>
  <si>
    <t xml:space="preserve">092700</t>
  </si>
  <si>
    <t xml:space="preserve">LEG/412602</t>
  </si>
  <si>
    <t xml:space="preserve">TBN/1800001</t>
  </si>
  <si>
    <t xml:space="preserve">LEG/404926</t>
  </si>
  <si>
    <t xml:space="preserve">GEW/GW40103</t>
  </si>
  <si>
    <t xml:space="preserve">Prix public HT · le moins cher / 3</t>
  </si>
  <si>
    <t xml:space="preserve">LEG/400401</t>
  </si>
  <si>
    <t xml:space="preserve">LEG/004832</t>
  </si>
  <si>
    <t xml:space="preserve">F&amp;C/400080</t>
  </si>
  <si>
    <t xml:space="preserve">F&amp;C/400082</t>
  </si>
  <si>
    <t xml:space="preserve">R2V5G6B25</t>
  </si>
  <si>
    <t xml:space="preserve">H07VU1,5BEC100</t>
  </si>
  <si>
    <t xml:space="preserve">H07VU2,5BEC100</t>
  </si>
  <si>
    <t xml:space="preserve">H07VK6VJC100</t>
  </si>
  <si>
    <t xml:space="preserve">13021540</t>
  </si>
  <si>
    <t xml:space="preserve">ARN/05125-2</t>
  </si>
  <si>
    <t xml:space="preserve">ARN/07116</t>
  </si>
  <si>
    <t xml:space="preserve">REH/6113000</t>
  </si>
  <si>
    <t xml:space="preserve">098120</t>
  </si>
  <si>
    <t xml:space="preserve">CES/001005</t>
  </si>
  <si>
    <t xml:space="preserve">200864</t>
  </si>
  <si>
    <t xml:space="preserve">050299</t>
  </si>
  <si>
    <t xml:space="preserve">Votre tarif net · le moins cher / 4</t>
  </si>
  <si>
    <t xml:space="preserve">LEG/069731L</t>
  </si>
  <si>
    <t xml:space="preserve">boîte de 10</t>
  </si>
  <si>
    <t xml:space="preserve">LEG/555218</t>
  </si>
  <si>
    <t xml:space="preserve">boite de 10</t>
  </si>
  <si>
    <t xml:space="preserve">LEG/069811</t>
  </si>
  <si>
    <t xml:space="preserve">LEG/600060A</t>
  </si>
  <si>
    <t xml:space="preserve">TBN/1010863</t>
  </si>
  <si>
    <t xml:space="preserve">LEG/080041</t>
  </si>
  <si>
    <t xml:space="preserve">MII/7230</t>
  </si>
  <si>
    <t xml:space="preserve">WAG/773-173</t>
  </si>
  <si>
    <t xml:space="preserve">boîte de 50</t>
  </si>
  <si>
    <t xml:space="preserve">LEG/034215</t>
  </si>
  <si>
    <t xml:space="preserve">LEG/066631</t>
  </si>
  <si>
    <t xml:space="preserve">ELE-048</t>
  </si>
  <si>
    <t xml:space="preserve">SCE/S320476</t>
  </si>
  <si>
    <t xml:space="preserve">FOD/DBX010 / FOD/DBX015 / FOD/</t>
  </si>
  <si>
    <t xml:space="preserve">FOD/BAR32</t>
  </si>
  <si>
    <t xml:space="preserve">Prix public HT · le moins cher / 4</t>
  </si>
  <si>
    <t xml:space="preserve">714491-1</t>
  </si>
  <si>
    <t xml:space="preserve">ELE-053</t>
  </si>
  <si>
    <t xml:space="preserve">SEW/TPNC</t>
  </si>
  <si>
    <t xml:space="preserve">CFA-001</t>
  </si>
  <si>
    <t xml:space="preserve">SCE/VDIR534810</t>
  </si>
  <si>
    <t xml:space="preserve">632850</t>
  </si>
  <si>
    <t xml:space="preserve">LEG/413218</t>
  </si>
  <si>
    <t xml:space="preserve">Votre tarif net · le moins cher / 2</t>
  </si>
  <si>
    <t xml:space="preserve">TMS/512511</t>
  </si>
  <si>
    <t xml:space="preserve">CFA-009</t>
  </si>
  <si>
    <t xml:space="preserve">DIM/CR9018025</t>
  </si>
  <si>
    <t xml:space="preserve">EVI/UAV1407-010</t>
  </si>
  <si>
    <t xml:space="preserve">SLO/WRDM0S4B</t>
  </si>
  <si>
    <t xml:space="preserve">SLO/PCMULCB</t>
  </si>
  <si>
    <t xml:space="preserve">FMX/PL030</t>
  </si>
  <si>
    <t xml:space="preserve">DID/31310 / DID/31330 / DID/31</t>
  </si>
  <si>
    <t xml:space="preserve">HRC/ARD-KIT</t>
  </si>
  <si>
    <t xml:space="preserve">AVD/100723</t>
  </si>
  <si>
    <t xml:space="preserve">MII/100861</t>
  </si>
  <si>
    <t xml:space="preserve">AVD/100728</t>
  </si>
  <si>
    <t xml:space="preserve">F&amp;C/400001</t>
  </si>
  <si>
    <t xml:space="preserve">EBE/032528</t>
  </si>
  <si>
    <t xml:space="preserve">907H210N</t>
  </si>
  <si>
    <t xml:space="preserve">LIQ-100</t>
  </si>
  <si>
    <t xml:space="preserve">SYL/0090012</t>
  </si>
  <si>
    <t xml:space="preserve">MII/765482</t>
  </si>
  <si>
    <t xml:space="preserve">MII/100998</t>
  </si>
  <si>
    <t xml:space="preserve">144029</t>
  </si>
  <si>
    <t xml:space="preserve">SYL/0045159</t>
  </si>
  <si>
    <t xml:space="preserve">MII/S8358</t>
  </si>
  <si>
    <t xml:space="preserve">ES10927</t>
  </si>
  <si>
    <t xml:space="preserve">51897</t>
  </si>
  <si>
    <t xml:space="preserve">MII/75371</t>
  </si>
  <si>
    <t xml:space="preserve">76661</t>
  </si>
  <si>
    <t xml:space="preserve">MII/78401</t>
  </si>
  <si>
    <t xml:space="preserve">pot de 5</t>
  </si>
  <si>
    <t xml:space="preserve">MII/75891</t>
  </si>
  <si>
    <t xml:space="preserve">1173140400</t>
  </si>
  <si>
    <t xml:space="preserve">MII/7790020</t>
  </si>
  <si>
    <t xml:space="preserve">MII/70521</t>
  </si>
  <si>
    <t xml:space="preserve">16125</t>
  </si>
  <si>
    <t xml:space="preserve">16143</t>
  </si>
  <si>
    <t xml:space="preserve">10312</t>
  </si>
  <si>
    <t xml:space="preserve">SOM/3315-16-14</t>
  </si>
  <si>
    <t xml:space="preserve">TUB/PER-50M-20B</t>
  </si>
  <si>
    <t xml:space="preserve">CSA/88.20.580</t>
  </si>
  <si>
    <t xml:space="preserve">SOM/3315-12-14</t>
  </si>
  <si>
    <t xml:space="preserve">PLB-006</t>
  </si>
  <si>
    <t xml:space="preserve">GIA/R179.162016</t>
  </si>
  <si>
    <t xml:space="preserve">SOM/3312-16-12</t>
  </si>
  <si>
    <t xml:space="preserve">HNS/310440</t>
  </si>
  <si>
    <t xml:space="preserve">Votre tarif client · le moins cher / 4</t>
  </si>
  <si>
    <t xml:space="preserve">294-12CC1</t>
  </si>
  <si>
    <t xml:space="preserve">746000</t>
  </si>
  <si>
    <t xml:space="preserve">GIS/F01FF0150-12 / GIS/F01FF01</t>
  </si>
  <si>
    <t xml:space="preserve">20052342</t>
  </si>
  <si>
    <t xml:space="preserve">20052057</t>
  </si>
  <si>
    <t xml:space="preserve">CMH100/45ENF</t>
  </si>
  <si>
    <t xml:space="preserve">NIC/BT16GT</t>
  </si>
  <si>
    <t xml:space="preserve">NIC/SC456</t>
  </si>
  <si>
    <t xml:space="preserve">VAL/6103-001</t>
  </si>
  <si>
    <t xml:space="preserve">FOB/700160</t>
  </si>
  <si>
    <t xml:space="preserve">00763000000</t>
  </si>
  <si>
    <t xml:space="preserve">GBR/111.791.00.2</t>
  </si>
  <si>
    <t xml:space="preserve">VIT/CUV-SPLE-HZ</t>
  </si>
  <si>
    <t xml:space="preserve">OLF/7MA0001</t>
  </si>
  <si>
    <t xml:space="preserve">rouleau de 10 m</t>
  </si>
  <si>
    <t xml:space="preserve">FRK/0000-EVP1000</t>
  </si>
  <si>
    <t xml:space="preserve">ARS/3000784</t>
  </si>
  <si>
    <t xml:space="preserve">ARS/3010782</t>
  </si>
  <si>
    <t xml:space="preserve">RSN/854293</t>
  </si>
  <si>
    <t xml:space="preserve">ACA/MULTICOLLECTO</t>
  </si>
  <si>
    <t xml:space="preserve">FRI/1041064</t>
  </si>
  <si>
    <t xml:space="preserve">sachet de 100 pièces</t>
  </si>
  <si>
    <t xml:space="preserve">CGF/462-1000</t>
  </si>
  <si>
    <t xml:space="preserve">lot de 20</t>
  </si>
  <si>
    <t xml:space="preserve">425424</t>
  </si>
  <si>
    <t xml:space="preserve">ATL/423535</t>
  </si>
  <si>
    <t xml:space="preserve">COM/809603</t>
  </si>
  <si>
    <t xml:space="preserve">COM/429303</t>
  </si>
  <si>
    <t xml:space="preserve">GIA/R2003.06</t>
  </si>
  <si>
    <t xml:space="preserve">THE/EVA24070180</t>
  </si>
  <si>
    <t xml:space="preserve">90414</t>
  </si>
  <si>
    <t xml:space="preserve">CVC-011</t>
  </si>
  <si>
    <t xml:space="preserve">PA2215CE12</t>
  </si>
  <si>
    <t xml:space="preserve">604140</t>
  </si>
  <si>
    <t xml:space="preserve">400645</t>
  </si>
  <si>
    <t xml:space="preserve">HNS/522250</t>
  </si>
  <si>
    <t xml:space="preserve">UNE/813922</t>
  </si>
  <si>
    <t xml:space="preserve">KST/150.1330</t>
  </si>
  <si>
    <t xml:space="preserve">jeu de 6</t>
  </si>
  <si>
    <t xml:space="preserve">POR/D2500AA</t>
  </si>
  <si>
    <t xml:space="preserve">55000278/0</t>
  </si>
  <si>
    <t xml:space="preserve">UCC10</t>
  </si>
  <si>
    <t xml:space="preserve">ELM/7733701843 / ELM/773370184</t>
  </si>
  <si>
    <t xml:space="preserve">SFA/19</t>
  </si>
  <si>
    <t xml:space="preserve">MCD/04/BLWC80</t>
  </si>
  <si>
    <t xml:space="preserve">CVC-026</t>
  </si>
  <si>
    <t xml:space="preserve">ELM/SER50</t>
  </si>
  <si>
    <t xml:space="preserve">SOM/802-02</t>
  </si>
  <si>
    <t xml:space="preserve">00700121</t>
  </si>
  <si>
    <t xml:space="preserve">SER-007</t>
  </si>
  <si>
    <t xml:space="preserve">00802002</t>
  </si>
  <si>
    <t xml:space="preserve">EFF/BVA300SSNFS24</t>
  </si>
  <si>
    <t xml:space="preserve">HRC/G-HR-FIRST101</t>
  </si>
  <si>
    <t xml:space="preserve">00903476</t>
  </si>
  <si>
    <t xml:space="preserve">FGS/164N120X11G</t>
  </si>
  <si>
    <t xml:space="preserve">boîte de 2</t>
  </si>
  <si>
    <t xml:space="preserve">HRC/F-8535-ARG</t>
  </si>
  <si>
    <t xml:space="preserve">SER-025</t>
  </si>
  <si>
    <t xml:space="preserve">J/622100-01-0A</t>
  </si>
  <si>
    <t xml:space="preserve">CHR/73117004ACH00</t>
  </si>
  <si>
    <t xml:space="preserve">HRC/I-CAD-L40</t>
  </si>
  <si>
    <t xml:space="preserve">SER-031</t>
  </si>
  <si>
    <t xml:space="preserve">3M/130610000</t>
  </si>
  <si>
    <t xml:space="preserve">UTM/16129065</t>
  </si>
  <si>
    <t xml:space="preserve">boîte de 500 u</t>
  </si>
  <si>
    <t xml:space="preserve">BES/C11040-12</t>
  </si>
  <si>
    <t xml:space="preserve">BOS/2608619257</t>
  </si>
  <si>
    <t xml:space="preserve">SIN/901222</t>
  </si>
  <si>
    <t xml:space="preserve">NOA/4120393</t>
  </si>
  <si>
    <t xml:space="preserve">SSI-002</t>
  </si>
  <si>
    <t xml:space="preserve">VIM/PD6GA</t>
  </si>
  <si>
    <t xml:space="preserve">SSI-004</t>
  </si>
  <si>
    <t xml:space="preserve">NEU/NE4700</t>
  </si>
  <si>
    <t xml:space="preserve">SSI-012</t>
  </si>
  <si>
    <t xml:space="preserve">SOU/108288</t>
  </si>
  <si>
    <t xml:space="preserve">2716174</t>
  </si>
  <si>
    <t xml:space="preserve">PRO-FC1-110</t>
  </si>
  <si>
    <t xml:space="preserve">SSI-016</t>
  </si>
  <si>
    <t xml:space="preserve">Signalisation</t>
  </si>
  <si>
    <t xml:space="preserve">SSI-017</t>
  </si>
  <si>
    <t xml:space="preserve">96115</t>
  </si>
  <si>
    <t xml:space="preserve">P03302400</t>
  </si>
  <si>
    <t xml:space="preserve">Votre tarif client · le moins cher / 5</t>
  </si>
  <si>
    <t xml:space="preserve">96658</t>
  </si>
  <si>
    <t xml:space="preserve">LVT/X1630SL47NT17</t>
  </si>
  <si>
    <t xml:space="preserve">boîte de 100</t>
  </si>
  <si>
    <t xml:space="preserve">2029-3004</t>
  </si>
  <si>
    <t xml:space="preserve">rouleau de 10</t>
  </si>
  <si>
    <t xml:space="preserve">274637</t>
  </si>
  <si>
    <t xml:space="preserve">2816675</t>
  </si>
  <si>
    <t xml:space="preserve">153885</t>
  </si>
  <si>
    <t xml:space="preserve">rouleau de 1.2</t>
  </si>
  <si>
    <t xml:space="preserve">DUX/101100303</t>
  </si>
  <si>
    <t xml:space="preserve">BST/30604301</t>
  </si>
  <si>
    <t xml:space="preserve">sac de 2.5 kg</t>
  </si>
  <si>
    <t xml:space="preserve">rouleau de 150 m</t>
  </si>
  <si>
    <t xml:space="preserve">PAI/BA30</t>
  </si>
  <si>
    <t xml:space="preserve">rouleau de 30 m</t>
  </si>
  <si>
    <t xml:space="preserve">UTM/16300001</t>
  </si>
  <si>
    <t xml:space="preserve">boite de 1000</t>
  </si>
  <si>
    <t xml:space="preserve">boîte de 1000 pcs</t>
  </si>
  <si>
    <t xml:space="preserve">CGX/56094</t>
  </si>
  <si>
    <t xml:space="preserve">BBG/1305392</t>
  </si>
  <si>
    <t xml:space="preserve">13125</t>
  </si>
  <si>
    <t xml:space="preserve">243823</t>
  </si>
  <si>
    <t xml:space="preserve">DUX/111100207</t>
  </si>
  <si>
    <t xml:space="preserve">DUX/128100122</t>
  </si>
  <si>
    <t xml:space="preserve">DUX/108100502</t>
  </si>
  <si>
    <t xml:space="preserve">SIN/920415</t>
  </si>
  <si>
    <t xml:space="preserve">5358530</t>
  </si>
  <si>
    <t xml:space="preserve">31255</t>
  </si>
  <si>
    <t xml:space="preserve">3M/221419</t>
  </si>
  <si>
    <t xml:space="preserve">100130 U</t>
  </si>
  <si>
    <t xml:space="preserve">SEI/48640405</t>
  </si>
  <si>
    <t xml:space="preserve">lot de 5</t>
  </si>
  <si>
    <t xml:space="preserve">DLP/406001</t>
  </si>
  <si>
    <t xml:space="preserve">sac de 25 kg</t>
  </si>
  <si>
    <t xml:space="preserve">BST/30121641</t>
  </si>
  <si>
    <t xml:space="preserve">sac de 5 kg</t>
  </si>
  <si>
    <t xml:space="preserve">RUI/02901</t>
  </si>
  <si>
    <t xml:space="preserve">STW/996</t>
  </si>
  <si>
    <t xml:space="preserve">QSUDLSW7</t>
  </si>
  <si>
    <t xml:space="preserve">rouleau de 7 m</t>
  </si>
  <si>
    <t xml:space="preserve">SOL-011</t>
  </si>
  <si>
    <t xml:space="preserve">SOL-012</t>
  </si>
  <si>
    <t xml:space="preserve">SOL-013</t>
  </si>
  <si>
    <t xml:space="preserve">PRU/1619</t>
  </si>
  <si>
    <t xml:space="preserve">772148D 00</t>
  </si>
  <si>
    <t xml:space="preserve">RUS/3302-750ML</t>
  </si>
  <si>
    <t xml:space="preserve">F35094</t>
  </si>
  <si>
    <t xml:space="preserve">693056</t>
  </si>
  <si>
    <t xml:space="preserve">MNN/627000</t>
  </si>
  <si>
    <t xml:space="preserve">52656</t>
  </si>
  <si>
    <t xml:space="preserve">BLU/RO230M45BE</t>
  </si>
  <si>
    <t xml:space="preserve">CTR/C250F0100 / CTR/C250F0300 </t>
  </si>
  <si>
    <t xml:space="preserve">HAF/155.01.231</t>
  </si>
  <si>
    <t xml:space="preserve">BST/30602263</t>
  </si>
  <si>
    <t xml:space="preserve">sac de 1 kg</t>
  </si>
  <si>
    <t xml:space="preserve">GOE-005</t>
  </si>
  <si>
    <t xml:space="preserve">sac de 35 kg</t>
  </si>
  <si>
    <t xml:space="preserve">LAN/LF-06992</t>
  </si>
  <si>
    <t xml:space="preserve">G3D/FST20325</t>
  </si>
  <si>
    <t xml:space="preserve">rouleau de 1 m</t>
  </si>
  <si>
    <t xml:space="preserve">UTM/16400001</t>
  </si>
  <si>
    <t xml:space="preserve">UTM/93510150</t>
  </si>
  <si>
    <t xml:space="preserve">UTM/12640040</t>
  </si>
  <si>
    <t xml:space="preserve">boîte de 200 u</t>
  </si>
  <si>
    <t xml:space="preserve">UTM/12550030</t>
  </si>
  <si>
    <t xml:space="preserve">boîte de 100 u</t>
  </si>
  <si>
    <t xml:space="preserve">UTM/15563254</t>
  </si>
  <si>
    <t xml:space="preserve">boîte de 250 u</t>
  </si>
  <si>
    <t xml:space="preserve">ATN/621016X40</t>
  </si>
  <si>
    <t xml:space="preserve">boîte de 200</t>
  </si>
  <si>
    <t xml:space="preserve">351400750134</t>
  </si>
  <si>
    <t xml:space="preserve">SIT/DS08</t>
  </si>
  <si>
    <t xml:space="preserve">FIS/50354</t>
  </si>
  <si>
    <t xml:space="preserve">SPI/058618</t>
  </si>
  <si>
    <t xml:space="preserve">boite de 50</t>
  </si>
  <si>
    <t xml:space="preserve">SPI/565012</t>
  </si>
  <si>
    <t xml:space="preserve">UTM/80208060</t>
  </si>
  <si>
    <t xml:space="preserve">UTM/90308200</t>
  </si>
  <si>
    <t xml:space="preserve">boite de 200 u</t>
  </si>
  <si>
    <t xml:space="preserve">20427</t>
  </si>
  <si>
    <t xml:space="preserve">ING/A853035</t>
  </si>
  <si>
    <t xml:space="preserve">64502</t>
  </si>
  <si>
    <t xml:space="preserve">rouleau de 100 m</t>
  </si>
  <si>
    <t xml:space="preserve">BST/30613629</t>
  </si>
  <si>
    <t xml:space="preserve">cartouche de 310 ml</t>
  </si>
  <si>
    <t xml:space="preserve">FOB/MS305-BLANC</t>
  </si>
  <si>
    <t xml:space="preserve">SOU/110980</t>
  </si>
  <si>
    <t xml:space="preserve">cartouche de 290 ml</t>
  </si>
  <si>
    <t xml:space="preserve">UTM/16090</t>
  </si>
  <si>
    <t xml:space="preserve">HEN/1419285</t>
  </si>
  <si>
    <t xml:space="preserve">bidon de 4.25 kg</t>
  </si>
  <si>
    <t xml:space="preserve">560101</t>
  </si>
  <si>
    <t xml:space="preserve">Votre tarif net · le moins cher / 5</t>
  </si>
  <si>
    <t xml:space="preserve">UTM/MASQUES11</t>
  </si>
  <si>
    <t xml:space="preserve">boite de 20 m</t>
  </si>
  <si>
    <t xml:space="preserve">28103</t>
  </si>
  <si>
    <t xml:space="preserve">HGR/155721</t>
  </si>
  <si>
    <t xml:space="preserve">BTR/1213529</t>
  </si>
  <si>
    <t xml:space="preserve">160755</t>
  </si>
  <si>
    <t xml:space="preserve">STP/451-50</t>
  </si>
  <si>
    <t xml:space="preserve">POU/BO</t>
  </si>
  <si>
    <t xml:space="preserve">HYG/SAC130150</t>
  </si>
  <si>
    <t xml:space="preserve">sac de 130150</t>
  </si>
  <si>
    <t xml:space="preserve">BTR/0901099</t>
  </si>
  <si>
    <t xml:space="preserve">NOA/3225341</t>
  </si>
  <si>
    <t xml:space="preserve">1618596173</t>
  </si>
  <si>
    <t xml:space="preserve">4933441950</t>
  </si>
  <si>
    <t xml:space="preserve">66253371509</t>
  </si>
  <si>
    <t xml:space="preserve">752436</t>
  </si>
  <si>
    <t xml:space="preserve">TTI/4933447480</t>
  </si>
  <si>
    <t xml:space="preserve">75901</t>
  </si>
  <si>
    <t xml:space="preserve">LVT/X074152000600</t>
  </si>
  <si>
    <t xml:space="preserve">TT118</t>
  </si>
  <si>
    <t xml:space="preserve">29403</t>
  </si>
  <si>
    <t xml:space="preserve">STH/4229-120-1800</t>
  </si>
  <si>
    <t xml:space="preserve">914737</t>
  </si>
  <si>
    <t xml:space="preserve">FES/493062</t>
  </si>
  <si>
    <t xml:space="preserve">FR10AM50V16</t>
  </si>
  <si>
    <t xml:space="preserve">LRD08</t>
  </si>
  <si>
    <t xml:space="preserve">LEG/412523</t>
  </si>
  <si>
    <t xml:space="preserve">MTC-007</t>
  </si>
  <si>
    <t xml:space="preserve">CRC/6055</t>
  </si>
  <si>
    <t xml:space="preserve">STH/0781-120-1110</t>
  </si>
  <si>
    <t xml:space="preserve">33368</t>
  </si>
  <si>
    <t xml:space="preserve">KAR/26377670</t>
  </si>
  <si>
    <t xml:space="preserve">MRK/7021AQ3</t>
  </si>
  <si>
    <t xml:space="preserve">TOR/4906121428</t>
  </si>
  <si>
    <t xml:space="preserve">TOR/6205301401</t>
  </si>
  <si>
    <t xml:space="preserve">TTI/4933478099</t>
  </si>
  <si>
    <t xml:space="preserve">MTC-018</t>
  </si>
  <si>
    <t xml:space="preserve">Famille</t>
  </si>
  <si>
    <t xml:space="preserve">Désignation</t>
  </si>
  <si>
    <t xml:space="preserve">Enseigne à interroger</t>
  </si>
  <si>
    <t xml:space="preserve">Réf. relevée</t>
  </si>
  <si>
    <t xml:space="preserve">Date</t>
  </si>
  <si>
    <t xml:space="preserve">Electricite CFO</t>
  </si>
  <si>
    <t xml:space="preserve">Rexel / YESSS Électrique</t>
  </si>
  <si>
    <t xml:space="preserve">Aucun produit correspondant trouvé lors de la collecte du 09/09/2026</t>
  </si>
  <si>
    <t xml:space="preserve">Courants faibles</t>
  </si>
  <si>
    <t xml:space="preserve">YESSS (univers plomberie) / La Plateforme</t>
  </si>
  <si>
    <t xml:space="preserve">Securite incendie</t>
  </si>
  <si>
    <t xml:space="preserve">Sols et carrelage</t>
  </si>
  <si>
    <t xml:space="preserve">Gros oeuvre</t>
  </si>
</sst>
</file>

<file path=xl/styles.xml><?xml version="1.0" encoding="utf-8"?>
<styleSheet xmlns="http://schemas.openxmlformats.org/spreadsheetml/2006/main">
  <numFmts count="6">
    <numFmt numFmtId="164" formatCode="General"/>
    <numFmt numFmtId="165" formatCode="#,##0.00&quot; €&quot;"/>
    <numFmt numFmtId="166" formatCode="0\ %"/>
    <numFmt numFmtId="167" formatCode="0.0&quot; %&quot;"/>
    <numFmt numFmtId="168" formatCode="#\ ##0"/>
    <numFmt numFmtId="169" formatCode="0&quot; %&quot;"/>
  </numFmts>
  <fonts count="40">
    <font>
      <sz val="11"/>
      <color theme="1"/>
      <name val="Calibri"/>
      <family val="2"/>
      <charset val="1"/>
    </font>
    <font>
      <sz val="10"/>
      <name val="Arial"/>
      <family val="0"/>
    </font>
    <font>
      <sz val="10"/>
      <name val="Arial"/>
      <family val="0"/>
    </font>
    <font>
      <sz val="10"/>
      <name val="Arial"/>
      <family val="0"/>
    </font>
    <font>
      <b val="true"/>
      <sz val="18"/>
      <color rgb="FFFFFFFF"/>
      <name val="Calibri"/>
      <family val="0"/>
      <charset val="1"/>
    </font>
    <font>
      <sz val="10"/>
      <color rgb="FF243447"/>
      <name val="Calibri"/>
      <family val="0"/>
      <charset val="1"/>
    </font>
    <font>
      <b val="true"/>
      <sz val="22"/>
      <color rgb="FF13294B"/>
      <name val="Calibri"/>
      <family val="0"/>
      <charset val="1"/>
    </font>
    <font>
      <sz val="9"/>
      <color rgb="FF6B7684"/>
      <name val="Calibri"/>
      <family val="0"/>
      <charset val="1"/>
    </font>
    <font>
      <b val="true"/>
      <sz val="10"/>
      <color rgb="FF13294B"/>
      <name val="Calibri"/>
      <family val="0"/>
      <charset val="1"/>
    </font>
    <font>
      <sz val="10"/>
      <name val="Calibri"/>
      <family val="0"/>
      <charset val="1"/>
    </font>
    <font>
      <b val="true"/>
      <sz val="16"/>
      <color rgb="FFFFFFFF"/>
      <name val="Calibri"/>
      <family val="0"/>
      <charset val="1"/>
    </font>
    <font>
      <b val="true"/>
      <sz val="14"/>
      <color rgb="FF13294B"/>
      <name val="Calibri"/>
      <family val="0"/>
      <charset val="1"/>
    </font>
    <font>
      <b val="true"/>
      <sz val="10"/>
      <color rgb="FFFFFFFF"/>
      <name val="Calibri"/>
      <family val="0"/>
      <charset val="1"/>
    </font>
    <font>
      <b val="true"/>
      <sz val="10"/>
      <color rgb="FF1F4E79"/>
      <name val="Calibri"/>
      <family val="0"/>
      <charset val="1"/>
    </font>
    <font>
      <b val="true"/>
      <sz val="10"/>
      <color rgb="FF2E75B6"/>
      <name val="Calibri"/>
      <family val="0"/>
      <charset val="1"/>
    </font>
    <font>
      <b val="true"/>
      <sz val="10"/>
      <color rgb="FFBF8F00"/>
      <name val="Calibri"/>
      <family val="0"/>
      <charset val="1"/>
    </font>
    <font>
      <b val="true"/>
      <sz val="10"/>
      <color rgb="FF1F7A8C"/>
      <name val="Calibri"/>
      <family val="0"/>
      <charset val="1"/>
    </font>
    <font>
      <b val="true"/>
      <sz val="10"/>
      <color rgb="FF4472C4"/>
      <name val="Calibri"/>
      <family val="0"/>
      <charset val="1"/>
    </font>
    <font>
      <b val="true"/>
      <sz val="10"/>
      <color rgb="FF7B3F00"/>
      <name val="Calibri"/>
      <family val="0"/>
      <charset val="1"/>
    </font>
    <font>
      <b val="true"/>
      <sz val="10"/>
      <color rgb="FFC00000"/>
      <name val="Calibri"/>
      <family val="0"/>
      <charset val="1"/>
    </font>
    <font>
      <b val="true"/>
      <sz val="10"/>
      <color rgb="FF7F7F7F"/>
      <name val="Calibri"/>
      <family val="0"/>
      <charset val="1"/>
    </font>
    <font>
      <b val="true"/>
      <sz val="10"/>
      <color rgb="FF8064A2"/>
      <name val="Calibri"/>
      <family val="0"/>
      <charset val="1"/>
    </font>
    <font>
      <b val="true"/>
      <sz val="10"/>
      <color rgb="FFA0522D"/>
      <name val="Calibri"/>
      <family val="0"/>
      <charset val="1"/>
    </font>
    <font>
      <b val="true"/>
      <sz val="10"/>
      <color rgb="FF976F4C"/>
      <name val="Calibri"/>
      <family val="0"/>
      <charset val="1"/>
    </font>
    <font>
      <b val="true"/>
      <sz val="10"/>
      <color rgb="FF595959"/>
      <name val="Calibri"/>
      <family val="0"/>
      <charset val="1"/>
    </font>
    <font>
      <b val="true"/>
      <sz val="10"/>
      <color rgb="FF44546A"/>
      <name val="Calibri"/>
      <family val="0"/>
      <charset val="1"/>
    </font>
    <font>
      <b val="true"/>
      <sz val="10"/>
      <color rgb="FF538135"/>
      <name val="Calibri"/>
      <family val="0"/>
      <charset val="1"/>
    </font>
    <font>
      <b val="true"/>
      <sz val="10"/>
      <color rgb="FF833C00"/>
      <name val="Calibri"/>
      <family val="0"/>
      <charset val="1"/>
    </font>
    <font>
      <b val="true"/>
      <sz val="10"/>
      <color rgb="FF2F5597"/>
      <name val="Calibri"/>
      <family val="0"/>
      <charset val="1"/>
    </font>
    <font>
      <b val="true"/>
      <sz val="10"/>
      <color rgb="FF3E7A3E"/>
      <name val="Calibri"/>
      <family val="0"/>
      <charset val="1"/>
    </font>
    <font>
      <sz val="9"/>
      <color rgb="FF3E7A3E"/>
      <name val="Calibri"/>
      <family val="0"/>
      <charset val="1"/>
    </font>
    <font>
      <u val="single"/>
      <sz val="9"/>
      <color rgb="FF2E5C8A"/>
      <name val="Calibri"/>
      <family val="0"/>
      <charset val="1"/>
    </font>
    <font>
      <b val="true"/>
      <sz val="9"/>
      <color rgb="FF9C6500"/>
      <name val="Calibri"/>
      <family val="0"/>
      <charset val="1"/>
    </font>
    <font>
      <b val="true"/>
      <sz val="9"/>
      <color rgb="FF13294B"/>
      <name val="Calibri"/>
      <family val="0"/>
      <charset val="1"/>
    </font>
    <font>
      <b val="true"/>
      <sz val="11"/>
      <color rgb="FF9C6500"/>
      <name val="Calibri"/>
      <family val="0"/>
      <charset val="1"/>
    </font>
    <font>
      <b val="true"/>
      <sz val="9"/>
      <color rgb="FFFFFFFF"/>
      <name val="Calibri"/>
      <family val="0"/>
      <charset val="1"/>
    </font>
    <font>
      <b val="true"/>
      <sz val="10"/>
      <name val="Calibri"/>
      <family val="0"/>
      <charset val="1"/>
    </font>
    <font>
      <i val="true"/>
      <sz val="10"/>
      <color rgb="FF7F5F00"/>
      <name val="Calibri"/>
      <family val="0"/>
      <charset val="1"/>
    </font>
    <font>
      <sz val="9"/>
      <color rgb="FF9C6500"/>
      <name val="Calibri"/>
      <family val="0"/>
      <charset val="1"/>
    </font>
    <font>
      <b val="true"/>
      <sz val="10"/>
      <color rgb="FF9C6500"/>
      <name val="Calibri"/>
      <family val="0"/>
      <charset val="1"/>
    </font>
  </fonts>
  <fills count="11">
    <fill>
      <patternFill patternType="none"/>
    </fill>
    <fill>
      <patternFill patternType="gray125"/>
    </fill>
    <fill>
      <patternFill patternType="solid">
        <fgColor rgb="FF13294B"/>
        <bgColor rgb="FF243447"/>
      </patternFill>
    </fill>
    <fill>
      <patternFill patternType="solid">
        <fgColor rgb="FFEAF0F7"/>
        <bgColor rgb="FFE8EEF5"/>
      </patternFill>
    </fill>
    <fill>
      <patternFill patternType="solid">
        <fgColor rgb="FFE8EEF5"/>
        <bgColor rgb="FFEAF0F7"/>
      </patternFill>
    </fill>
    <fill>
      <patternFill patternType="solid">
        <fgColor rgb="FFE3F0DD"/>
        <bgColor rgb="FFE8EEF5"/>
      </patternFill>
    </fill>
    <fill>
      <patternFill patternType="solid">
        <fgColor rgb="FFF4F5F7"/>
        <bgColor rgb="FFFAFBFC"/>
      </patternFill>
    </fill>
    <fill>
      <patternFill patternType="solid">
        <fgColor rgb="FFFDF3D8"/>
        <bgColor rgb="FFF4F5F7"/>
      </patternFill>
    </fill>
    <fill>
      <patternFill patternType="solid">
        <fgColor rgb="FFFFFFFF"/>
        <bgColor rgb="FFFAFBFC"/>
      </patternFill>
    </fill>
    <fill>
      <patternFill patternType="solid">
        <fgColor rgb="FFFAFBFC"/>
        <bgColor rgb="FFFFFFFF"/>
      </patternFill>
    </fill>
    <fill>
      <patternFill patternType="solid">
        <fgColor rgb="FF2E5C8A"/>
        <bgColor rgb="FF2F5597"/>
      </patternFill>
    </fill>
  </fills>
  <borders count="5">
    <border diagonalUp="false" diagonalDown="false">
      <left/>
      <right/>
      <top/>
      <bottom/>
      <diagonal/>
    </border>
    <border diagonalUp="false" diagonalDown="false">
      <left/>
      <right/>
      <top/>
      <bottom style="thin">
        <color rgb="FFD5DBE1"/>
      </bottom>
      <diagonal/>
    </border>
    <border diagonalUp="false" diagonalDown="false">
      <left style="thin">
        <color rgb="FFD5DBE1"/>
      </left>
      <right style="thin">
        <color rgb="FFD5DBE1"/>
      </right>
      <top style="thin">
        <color rgb="FFD5DBE1"/>
      </top>
      <bottom style="thin">
        <color rgb="FFD5DBE1"/>
      </bottom>
      <diagonal/>
    </border>
    <border diagonalUp="false" diagonalDown="false">
      <left style="medium">
        <color rgb="FF9C6500"/>
      </left>
      <right style="medium">
        <color rgb="FF9C6500"/>
      </right>
      <top style="medium">
        <color rgb="FF9C6500"/>
      </top>
      <bottom style="medium">
        <color rgb="FF9C6500"/>
      </bottom>
      <diagonal/>
    </border>
    <border diagonalUp="false" diagonalDown="false">
      <left style="thin">
        <color rgb="FFC9D3E1"/>
      </left>
      <right style="thin">
        <color rgb="FFC9D3E1"/>
      </right>
      <top style="thin">
        <color rgb="FFC9D3E1"/>
      </top>
      <bottom style="thin">
        <color rgb="FFC9D3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5" borderId="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8" fillId="6" borderId="2" xfId="0" applyFont="true" applyBorder="true" applyAlignment="false" applyProtection="false">
      <alignment horizontal="general" vertical="bottom" textRotation="0" wrapText="false" indent="0" shrinkToFit="false"/>
      <protection locked="true" hidden="false"/>
    </xf>
    <xf numFmtId="164" fontId="8" fillId="7" borderId="2" xfId="0" applyFont="true" applyBorder="true" applyAlignment="false" applyProtection="false">
      <alignment horizontal="general" vertical="bottom" textRotation="0" wrapText="false" indent="0" shrinkToFit="false"/>
      <protection locked="true" hidden="false"/>
    </xf>
    <xf numFmtId="164" fontId="8" fillId="8" borderId="2"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11" fillId="7" borderId="3"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2"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general" vertical="center" textRotation="0" wrapText="false" indent="0" shrinkToFit="false"/>
      <protection locked="true" hidden="false"/>
    </xf>
    <xf numFmtId="165" fontId="9" fillId="0"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9" fillId="9" borderId="2" xfId="0" applyFont="true" applyBorder="true" applyAlignment="true" applyProtection="false">
      <alignment horizontal="general" vertical="center" textRotation="0" wrapText="true" indent="0" shrinkToFit="false"/>
      <protection locked="true" hidden="false"/>
    </xf>
    <xf numFmtId="164" fontId="9" fillId="9" borderId="2" xfId="0" applyFont="true" applyBorder="true" applyAlignment="true" applyProtection="false">
      <alignment horizontal="general" vertical="center" textRotation="0" wrapText="false" indent="0" shrinkToFit="false"/>
      <protection locked="true" hidden="false"/>
    </xf>
    <xf numFmtId="165" fontId="9" fillId="9" borderId="2" xfId="0" applyFont="true" applyBorder="true" applyAlignment="true" applyProtection="false">
      <alignment horizontal="center" vertical="center" textRotation="0" wrapText="false" indent="0" shrinkToFit="false"/>
      <protection locked="true" hidden="false"/>
    </xf>
    <xf numFmtId="164" fontId="9" fillId="9" borderId="2" xfId="0" applyFont="true" applyBorder="true" applyAlignment="true" applyProtection="false">
      <alignment horizontal="center" vertical="center" textRotation="0" wrapText="false" indent="0" shrinkToFit="false"/>
      <protection locked="true" hidden="false"/>
    </xf>
    <xf numFmtId="164" fontId="13" fillId="0" borderId="2" xfId="0" applyFont="true" applyBorder="true" applyAlignment="true" applyProtection="false">
      <alignment horizontal="general" vertical="center" textRotation="0" wrapText="fals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14" fillId="9" borderId="2" xfId="0" applyFont="true" applyBorder="true" applyAlignment="true" applyProtection="false">
      <alignment horizontal="general" vertical="center" textRotation="0" wrapText="false" indent="0" shrinkToFit="false"/>
      <protection locked="true" hidden="false"/>
    </xf>
    <xf numFmtId="166" fontId="9" fillId="9" borderId="2" xfId="0" applyFont="true" applyBorder="true" applyAlignment="true" applyProtection="false">
      <alignment horizontal="center" vertical="center" textRotation="0" wrapText="false" indent="0" shrinkToFit="false"/>
      <protection locked="true" hidden="false"/>
    </xf>
    <xf numFmtId="164" fontId="15" fillId="0" borderId="2" xfId="0" applyFont="true" applyBorder="true" applyAlignment="true" applyProtection="false">
      <alignment horizontal="general" vertical="center" textRotation="0" wrapText="false" indent="0" shrinkToFit="false"/>
      <protection locked="true" hidden="false"/>
    </xf>
    <xf numFmtId="164" fontId="16" fillId="9" borderId="2" xfId="0" applyFont="true" applyBorder="true" applyAlignment="true" applyProtection="false">
      <alignment horizontal="general" vertical="center" textRotation="0" wrapText="false" indent="0" shrinkToFit="false"/>
      <protection locked="true" hidden="false"/>
    </xf>
    <xf numFmtId="164" fontId="17" fillId="0" borderId="2" xfId="0" applyFont="true" applyBorder="true" applyAlignment="true" applyProtection="false">
      <alignment horizontal="general" vertical="center" textRotation="0" wrapText="false" indent="0" shrinkToFit="false"/>
      <protection locked="true" hidden="false"/>
    </xf>
    <xf numFmtId="164" fontId="18" fillId="9" borderId="2" xfId="0" applyFont="true" applyBorder="true" applyAlignment="true" applyProtection="false">
      <alignment horizontal="general" vertical="center" textRotation="0" wrapText="false" indent="0" shrinkToFit="false"/>
      <protection locked="true" hidden="false"/>
    </xf>
    <xf numFmtId="164" fontId="19" fillId="0" borderId="2" xfId="0" applyFont="true" applyBorder="true" applyAlignment="true" applyProtection="false">
      <alignment horizontal="general" vertical="center" textRotation="0" wrapText="false" indent="0" shrinkToFit="false"/>
      <protection locked="true" hidden="false"/>
    </xf>
    <xf numFmtId="164" fontId="20" fillId="9" borderId="2" xfId="0" applyFont="true" applyBorder="true" applyAlignment="true" applyProtection="false">
      <alignment horizontal="general" vertical="center" textRotation="0" wrapText="false" indent="0" shrinkToFit="false"/>
      <protection locked="true" hidden="false"/>
    </xf>
    <xf numFmtId="164" fontId="21" fillId="0" borderId="2" xfId="0" applyFont="true" applyBorder="true" applyAlignment="true" applyProtection="false">
      <alignment horizontal="general" vertical="center" textRotation="0" wrapText="false" indent="0" shrinkToFit="false"/>
      <protection locked="true" hidden="false"/>
    </xf>
    <xf numFmtId="164" fontId="22" fillId="9" borderId="2" xfId="0" applyFont="true" applyBorder="true" applyAlignment="true" applyProtection="false">
      <alignment horizontal="general" vertical="center" textRotation="0" wrapText="false" indent="0" shrinkToFit="false"/>
      <protection locked="true" hidden="false"/>
    </xf>
    <xf numFmtId="164" fontId="23" fillId="0" borderId="2" xfId="0" applyFont="true" applyBorder="true" applyAlignment="true" applyProtection="false">
      <alignment horizontal="general" vertical="center" textRotation="0" wrapText="false" indent="0" shrinkToFit="false"/>
      <protection locked="true" hidden="false"/>
    </xf>
    <xf numFmtId="164" fontId="24" fillId="9" borderId="2" xfId="0" applyFont="true" applyBorder="true" applyAlignment="true" applyProtection="false">
      <alignment horizontal="general" vertical="center" textRotation="0" wrapText="false" indent="0" shrinkToFit="false"/>
      <protection locked="true" hidden="false"/>
    </xf>
    <xf numFmtId="164" fontId="25" fillId="0" borderId="2" xfId="0" applyFont="true" applyBorder="true" applyAlignment="true" applyProtection="false">
      <alignment horizontal="general" vertical="center" textRotation="0" wrapText="false" indent="0" shrinkToFit="false"/>
      <protection locked="true" hidden="false"/>
    </xf>
    <xf numFmtId="164" fontId="26" fillId="9" borderId="2" xfId="0" applyFont="true" applyBorder="true" applyAlignment="true" applyProtection="false">
      <alignment horizontal="general" vertical="center" textRotation="0" wrapText="false" indent="0" shrinkToFit="false"/>
      <protection locked="true" hidden="false"/>
    </xf>
    <xf numFmtId="164" fontId="27" fillId="0" borderId="2" xfId="0" applyFont="true" applyBorder="true" applyAlignment="true" applyProtection="false">
      <alignment horizontal="general" vertical="center" textRotation="0" wrapText="false" indent="0" shrinkToFit="false"/>
      <protection locked="true" hidden="false"/>
    </xf>
    <xf numFmtId="164" fontId="28" fillId="9" borderId="2" xfId="0" applyFont="true" applyBorder="true" applyAlignment="true" applyProtection="false">
      <alignment horizontal="general" vertical="center" textRotation="0" wrapText="false" indent="0" shrinkToFit="false"/>
      <protection locked="true" hidden="false"/>
    </xf>
    <xf numFmtId="164" fontId="12" fillId="10" borderId="2" xfId="0" applyFont="true" applyBorder="true" applyAlignment="true" applyProtection="false">
      <alignment horizontal="general" vertical="center" textRotation="0" wrapText="false" indent="0" shrinkToFit="false"/>
      <protection locked="true" hidden="false"/>
    </xf>
    <xf numFmtId="164" fontId="12" fillId="10" borderId="2" xfId="0" applyFont="true" applyBorder="true" applyAlignment="true" applyProtection="false">
      <alignment horizontal="center" vertical="center" textRotation="0" wrapText="false" indent="0" shrinkToFit="false"/>
      <protection locked="true" hidden="false"/>
    </xf>
    <xf numFmtId="166" fontId="12" fillId="10" borderId="2" xfId="0" applyFont="true" applyBorder="true" applyAlignment="true" applyProtection="false">
      <alignment horizontal="center" vertical="center" textRotation="0" wrapText="false" indent="0" shrinkToFit="false"/>
      <protection locked="true" hidden="false"/>
    </xf>
    <xf numFmtId="165" fontId="29" fillId="5"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5" fontId="8" fillId="0" borderId="2" xfId="0" applyFont="true" applyBorder="true" applyAlignment="true" applyProtection="false">
      <alignment horizontal="center" vertical="center" textRotation="0" wrapText="false" indent="0" shrinkToFit="false"/>
      <protection locked="true" hidden="false"/>
    </xf>
    <xf numFmtId="167" fontId="9" fillId="0" borderId="2" xfId="0" applyFont="true" applyBorder="true" applyAlignment="true" applyProtection="false">
      <alignment horizontal="center" vertical="center" textRotation="0" wrapText="false" indent="0" shrinkToFit="false"/>
      <protection locked="true" hidden="false"/>
    </xf>
    <xf numFmtId="164" fontId="30"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center" textRotation="0" wrapText="true" indent="0" shrinkToFit="false"/>
      <protection locked="true" hidden="false"/>
    </xf>
    <xf numFmtId="164" fontId="31" fillId="0" borderId="2" xfId="0" applyFont="true" applyBorder="true" applyAlignment="true" applyProtection="false">
      <alignment horizontal="center" vertical="center" textRotation="0" wrapText="false" indent="0" shrinkToFit="false"/>
      <protection locked="true" hidden="false"/>
    </xf>
    <xf numFmtId="164" fontId="8" fillId="9" borderId="2" xfId="0" applyFont="true" applyBorder="true" applyAlignment="true" applyProtection="false">
      <alignment horizontal="general" vertical="center" textRotation="0" wrapText="false" indent="0" shrinkToFit="false"/>
      <protection locked="true" hidden="false"/>
    </xf>
    <xf numFmtId="165" fontId="8" fillId="9" borderId="2" xfId="0" applyFont="true" applyBorder="true" applyAlignment="true" applyProtection="false">
      <alignment horizontal="center" vertical="center" textRotation="0" wrapText="false" indent="0" shrinkToFit="false"/>
      <protection locked="true" hidden="false"/>
    </xf>
    <xf numFmtId="167" fontId="9" fillId="9" borderId="2" xfId="0" applyFont="true" applyBorder="true" applyAlignment="true" applyProtection="false">
      <alignment horizontal="center" vertical="center" textRotation="0" wrapText="false" indent="0" shrinkToFit="false"/>
      <protection locked="true" hidden="false"/>
    </xf>
    <xf numFmtId="164" fontId="32" fillId="7" borderId="2" xfId="0" applyFont="true" applyBorder="true" applyAlignment="true" applyProtection="false">
      <alignment horizontal="center" vertical="center" textRotation="0" wrapText="true" indent="0" shrinkToFit="false"/>
      <protection locked="true" hidden="false"/>
    </xf>
    <xf numFmtId="164" fontId="7" fillId="9" borderId="2" xfId="0" applyFont="true" applyBorder="true" applyAlignment="true" applyProtection="false">
      <alignment horizontal="general" vertical="center" textRotation="0" wrapText="true" indent="0" shrinkToFit="false"/>
      <protection locked="true" hidden="false"/>
    </xf>
    <xf numFmtId="164" fontId="31" fillId="9" borderId="2" xfId="0" applyFont="true" applyBorder="true" applyAlignment="true" applyProtection="false">
      <alignment horizontal="center" vertical="center" textRotation="0" wrapText="false" indent="0" shrinkToFit="false"/>
      <protection locked="true" hidden="false"/>
    </xf>
    <xf numFmtId="164" fontId="30" fillId="9"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9" fillId="9" borderId="2" xfId="0" applyFont="true" applyBorder="true" applyAlignment="true" applyProtection="false">
      <alignment horizontal="center" vertical="center" textRotation="0" wrapText="true" indent="0" shrinkToFit="false"/>
      <protection locked="true" hidden="false"/>
    </xf>
    <xf numFmtId="164" fontId="12" fillId="2" borderId="2" xfId="0" applyFont="true" applyBorder="true" applyAlignment="true" applyProtection="false">
      <alignment horizontal="center" vertical="center" textRotation="0" wrapText="false" indent="0" shrinkToFit="false"/>
      <protection locked="true" hidden="false"/>
    </xf>
    <xf numFmtId="164" fontId="29" fillId="5" borderId="2" xfId="0" applyFont="true" applyBorder="tru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32" fillId="7" borderId="2" xfId="0" applyFont="true" applyBorder="true" applyAlignment="true" applyProtection="false">
      <alignment horizontal="general" vertical="center" textRotation="0" wrapText="true" indent="0" shrinkToFit="false"/>
      <protection locked="true" hidden="false"/>
    </xf>
    <xf numFmtId="164" fontId="33" fillId="6" borderId="2"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34" fillId="0" borderId="2" xfId="0" applyFont="true" applyBorder="true" applyAlignment="true" applyProtection="false">
      <alignment horizontal="center" vertical="bottom" textRotation="0" wrapText="false" indent="0" shrinkToFit="false"/>
      <protection locked="true" hidden="false"/>
    </xf>
    <xf numFmtId="164" fontId="35" fillId="2" borderId="4" xfId="0" applyFont="true" applyBorder="true" applyAlignment="true" applyProtection="false">
      <alignment horizontal="center" vertical="center" textRotation="0" wrapText="true" indent="0" shrinkToFit="false"/>
      <protection locked="true" hidden="false"/>
    </xf>
    <xf numFmtId="164" fontId="31" fillId="9" borderId="2" xfId="0" applyFont="true" applyBorder="true" applyAlignment="true" applyProtection="false">
      <alignment horizontal="general" vertical="center" textRotation="0" wrapText="false" indent="0" shrinkToFit="false"/>
      <protection locked="true" hidden="false"/>
    </xf>
    <xf numFmtId="164" fontId="9" fillId="5" borderId="2" xfId="0" applyFont="true" applyBorder="true" applyAlignment="true" applyProtection="false">
      <alignment horizontal="general" vertical="center" textRotation="0" wrapText="false" indent="0" shrinkToFit="false"/>
      <protection locked="true" hidden="false"/>
    </xf>
    <xf numFmtId="165" fontId="9" fillId="5" borderId="2" xfId="0" applyFont="true" applyBorder="true" applyAlignment="true" applyProtection="false">
      <alignment horizontal="center" vertical="center" textRotation="0" wrapText="false" indent="0" shrinkToFit="false"/>
      <protection locked="true" hidden="false"/>
    </xf>
    <xf numFmtId="164" fontId="31" fillId="0" borderId="2" xfId="0" applyFont="true" applyBorder="true" applyAlignment="true" applyProtection="false">
      <alignment horizontal="general" vertical="center" textRotation="0" wrapText="false" indent="0" shrinkToFit="false"/>
      <protection locked="true" hidden="false"/>
    </xf>
    <xf numFmtId="164" fontId="36" fillId="0" borderId="2"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36" fillId="9"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general" vertical="center" textRotation="0" wrapText="false" indent="0" shrinkToFit="false"/>
      <protection locked="true" hidden="false"/>
    </xf>
    <xf numFmtId="164" fontId="31" fillId="0" borderId="2" xfId="0" applyFont="true" applyBorder="true" applyAlignment="true" applyProtection="false">
      <alignment horizontal="general"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8" fontId="9" fillId="0" borderId="2" xfId="0" applyFont="true" applyBorder="true" applyAlignment="true" applyProtection="false">
      <alignment horizontal="center" vertical="center" textRotation="0" wrapText="true" indent="0" shrinkToFit="false"/>
      <protection locked="true" hidden="false"/>
    </xf>
    <xf numFmtId="164" fontId="29" fillId="5" borderId="2"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general" vertical="center" textRotation="0" wrapText="false" indent="0" shrinkToFit="false"/>
      <protection locked="true" hidden="false"/>
    </xf>
    <xf numFmtId="164" fontId="9" fillId="7" borderId="2" xfId="0" applyFont="true" applyBorder="true" applyAlignment="true" applyProtection="false">
      <alignment horizontal="general"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general" vertical="center" textRotation="0" wrapText="false" indent="0" shrinkToFit="false"/>
      <protection locked="true" hidden="false"/>
    </xf>
    <xf numFmtId="164" fontId="9" fillId="6" borderId="2" xfId="0" applyFont="true" applyBorder="true" applyAlignment="true" applyProtection="false">
      <alignment horizontal="general"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false" indent="0" shrinkToFit="false"/>
      <protection locked="true" hidden="false"/>
    </xf>
    <xf numFmtId="165" fontId="9" fillId="9" borderId="2" xfId="0" applyFont="true" applyBorder="true" applyAlignment="true" applyProtection="false">
      <alignment horizontal="general" vertical="center" textRotation="0" wrapText="false" indent="0" shrinkToFit="false"/>
      <protection locked="true" hidden="false"/>
    </xf>
    <xf numFmtId="167" fontId="9" fillId="8" borderId="2" xfId="0" applyFont="true" applyBorder="true" applyAlignment="true" applyProtection="false">
      <alignment horizontal="general" vertical="center" textRotation="0" wrapText="false" indent="0" shrinkToFit="false"/>
      <protection locked="true" hidden="false"/>
    </xf>
    <xf numFmtId="169" fontId="9" fillId="9" borderId="2" xfId="0" applyFont="true" applyBorder="true" applyAlignment="true" applyProtection="false">
      <alignment horizontal="center" vertical="center" textRotation="0" wrapText="false" indent="0" shrinkToFit="false"/>
      <protection locked="true" hidden="false"/>
    </xf>
    <xf numFmtId="165" fontId="9" fillId="5" borderId="2" xfId="0" applyFont="true" applyBorder="true" applyAlignment="true" applyProtection="false">
      <alignment horizontal="general" vertical="center" textRotation="0" wrapText="false" indent="0" shrinkToFit="false"/>
      <protection locked="true" hidden="false"/>
    </xf>
    <xf numFmtId="165" fontId="9" fillId="0" borderId="2" xfId="0" applyFont="true" applyBorder="true" applyAlignment="true" applyProtection="false">
      <alignment horizontal="general" vertical="center" textRotation="0" wrapText="false" indent="0" shrinkToFit="false"/>
      <protection locked="true" hidden="false"/>
    </xf>
    <xf numFmtId="164" fontId="29" fillId="5" borderId="2" xfId="0" applyFont="true" applyBorder="true" applyAlignment="true" applyProtection="false">
      <alignment horizontal="center" vertical="center" textRotation="0" wrapText="false" indent="0" shrinkToFit="false"/>
      <protection locked="true" hidden="false"/>
    </xf>
    <xf numFmtId="169" fontId="9" fillId="0" borderId="2" xfId="0" applyFont="true" applyBorder="true" applyAlignment="true" applyProtection="false">
      <alignment horizontal="center" vertical="center" textRotation="0" wrapText="false" indent="0" shrinkToFit="false"/>
      <protection locked="true" hidden="false"/>
    </xf>
    <xf numFmtId="165" fontId="9" fillId="6" borderId="2" xfId="0" applyFont="true" applyBorder="true" applyAlignment="true" applyProtection="false">
      <alignment horizontal="general" vertical="center" textRotation="0" wrapText="false" indent="0" shrinkToFit="false"/>
      <protection locked="true" hidden="false"/>
    </xf>
    <xf numFmtId="167" fontId="9" fillId="6" borderId="2" xfId="0" applyFont="true" applyBorder="true" applyAlignment="true" applyProtection="false">
      <alignment horizontal="center" vertical="center" textRotation="0" wrapText="false" indent="0" shrinkToFit="false"/>
      <protection locked="true" hidden="false"/>
    </xf>
    <xf numFmtId="164" fontId="37" fillId="6" borderId="2" xfId="0" applyFont="true" applyBorder="true" applyAlignment="true" applyProtection="false">
      <alignment horizontal="center" vertical="center" textRotation="0" wrapText="false" indent="0" shrinkToFit="false"/>
      <protection locked="true" hidden="false"/>
    </xf>
    <xf numFmtId="164" fontId="38" fillId="6" borderId="2" xfId="0" applyFont="true" applyBorder="true" applyAlignment="true" applyProtection="false">
      <alignment horizontal="general" vertical="center" textRotation="0" wrapText="true" indent="0" shrinkToFit="false"/>
      <protection locked="true" hidden="false"/>
    </xf>
    <xf numFmtId="167" fontId="9" fillId="6" borderId="2" xfId="0" applyFont="true" applyBorder="true" applyAlignment="true" applyProtection="false">
      <alignment horizontal="general" vertical="center" textRotation="0" wrapText="false" indent="0" shrinkToFit="false"/>
      <protection locked="true" hidden="false"/>
    </xf>
    <xf numFmtId="169" fontId="9" fillId="6" borderId="2" xfId="0" applyFont="true" applyBorder="true" applyAlignment="true" applyProtection="false">
      <alignment horizontal="center" vertical="center" textRotation="0" wrapText="false" indent="0" shrinkToFit="false"/>
      <protection locked="true" hidden="false"/>
    </xf>
    <xf numFmtId="164" fontId="31" fillId="6" borderId="2" xfId="0" applyFont="true" applyBorder="true" applyAlignment="true" applyProtection="false">
      <alignment horizontal="center" vertical="center" textRotation="0" wrapText="false" indent="0" shrinkToFit="false"/>
      <protection locked="true" hidden="false"/>
    </xf>
    <xf numFmtId="164" fontId="38" fillId="9" borderId="2" xfId="0" applyFont="true" applyBorder="true" applyAlignment="true" applyProtection="false">
      <alignment horizontal="general" vertical="center" textRotation="0" wrapText="true" indent="0" shrinkToFit="false"/>
      <protection locked="true" hidden="false"/>
    </xf>
    <xf numFmtId="164" fontId="38" fillId="0" borderId="2" xfId="0" applyFont="true" applyBorder="true" applyAlignment="true" applyProtection="false">
      <alignment horizontal="general" vertical="center" textRotation="0" wrapText="true" indent="0" shrinkToFit="false"/>
      <protection locked="true" hidden="false"/>
    </xf>
    <xf numFmtId="165" fontId="9" fillId="7" borderId="2" xfId="0" applyFont="true" applyBorder="true" applyAlignment="true" applyProtection="false">
      <alignment horizontal="general" vertical="center" textRotation="0" wrapText="false" indent="0" shrinkToFit="false"/>
      <protection locked="true" hidden="false"/>
    </xf>
    <xf numFmtId="167" fontId="9" fillId="7" borderId="2" xfId="0" applyFont="true" applyBorder="true" applyAlignment="true" applyProtection="false">
      <alignment horizontal="center" vertical="center" textRotation="0" wrapText="false" indent="0" shrinkToFit="false"/>
      <protection locked="true" hidden="false"/>
    </xf>
    <xf numFmtId="164" fontId="39" fillId="7" borderId="2" xfId="0" applyFont="true" applyBorder="true" applyAlignment="true" applyProtection="false">
      <alignment horizontal="center" vertical="center" textRotation="0" wrapText="false" indent="0" shrinkToFit="false"/>
      <protection locked="true" hidden="false"/>
    </xf>
    <xf numFmtId="164" fontId="38" fillId="7" borderId="2" xfId="0" applyFont="true" applyBorder="true" applyAlignment="true" applyProtection="false">
      <alignment horizontal="general" vertical="center" textRotation="0" wrapText="true" indent="0" shrinkToFit="false"/>
      <protection locked="true" hidden="false"/>
    </xf>
    <xf numFmtId="167" fontId="9" fillId="7" borderId="2" xfId="0" applyFont="true" applyBorder="true" applyAlignment="true" applyProtection="false">
      <alignment horizontal="general" vertical="center" textRotation="0" wrapText="false" indent="0" shrinkToFit="false"/>
      <protection locked="true" hidden="false"/>
    </xf>
    <xf numFmtId="169" fontId="9" fillId="7" borderId="2" xfId="0" applyFont="true" applyBorder="true" applyAlignment="true" applyProtection="false">
      <alignment horizontal="center" vertical="center" textRotation="0" wrapText="false" indent="0" shrinkToFit="false"/>
      <protection locked="true" hidden="false"/>
    </xf>
    <xf numFmtId="167" fontId="9" fillId="9" borderId="2" xfId="0" applyFont="true" applyBorder="true" applyAlignment="true" applyProtection="false">
      <alignment horizontal="general" vertical="center" textRotation="0" wrapText="false" indent="0" shrinkToFit="false"/>
      <protection locked="true" hidden="false"/>
    </xf>
    <xf numFmtId="167" fontId="9" fillId="0" borderId="2"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3294B"/>
          <bgColor rgb="FF000000"/>
        </patternFill>
      </fill>
    </dxf>
    <dxf>
      <fill>
        <patternFill patternType="solid">
          <fgColor rgb="FFFAFBFC"/>
          <bgColor rgb="FF000000"/>
        </patternFill>
      </fill>
    </dxf>
    <dxf>
      <fill>
        <patternFill patternType="solid">
          <bgColor rgb="FF000000"/>
        </patternFill>
      </fill>
    </dxf>
    <dxf>
      <fill>
        <patternFill patternType="solid">
          <fgColor rgb="FFFFFFFF"/>
          <bgColor rgb="FF000000"/>
        </patternFill>
      </fill>
    </dxf>
    <dxf>
      <fill>
        <patternFill patternType="solid">
          <fgColor rgb="FFE3F0DD"/>
          <bgColor rgb="FF000000"/>
        </patternFill>
      </fill>
    </dxf>
    <dxf>
      <fill>
        <patternFill patternType="solid">
          <fgColor rgb="FF3E7A3E"/>
          <bgColor rgb="FF000000"/>
        </patternFill>
      </fill>
    </dxf>
    <dxf>
      <fill>
        <patternFill patternType="solid">
          <fgColor rgb="FFFDF3D8"/>
          <bgColor rgb="FF000000"/>
        </patternFill>
      </fill>
    </dxf>
    <dxf>
      <fill>
        <patternFill patternType="solid">
          <fgColor rgb="FF9C6500"/>
          <bgColor rgb="FF000000"/>
        </patternFill>
      </fill>
    </dxf>
    <dxf>
      <fill>
        <patternFill patternType="solid">
          <fgColor rgb="FF6B7684"/>
          <bgColor rgb="FF000000"/>
        </patternFill>
      </fill>
    </dxf>
    <dxf>
      <fill>
        <patternFill patternType="solid">
          <fgColor rgb="FF2E5C8A"/>
          <bgColor rgb="FF000000"/>
        </patternFill>
      </fill>
    </dxf>
    <dxf>
      <fill>
        <patternFill patternType="solid">
          <fgColor rgb="FFF4F5F7"/>
          <bgColor rgb="FF000000"/>
        </patternFill>
      </fill>
    </dxf>
    <dxf>
      <fill>
        <patternFill patternType="solid">
          <fgColor rgb="FF7F5F00"/>
          <bgColor rgb="FF000000"/>
        </patternFill>
      </fill>
    </dxf>
  </dxfs>
  <colors>
    <indexedColors>
      <rgbColor rgb="FF000000"/>
      <rgbColor rgb="FFFFFFFF"/>
      <rgbColor rgb="FFC00000"/>
      <rgbColor rgb="FF00FF00"/>
      <rgbColor rgb="FF0000FF"/>
      <rgbColor rgb="FFFFFF00"/>
      <rgbColor rgb="FFFF00FF"/>
      <rgbColor rgb="FF00FFFF"/>
      <rgbColor rgb="FF800000"/>
      <rgbColor rgb="FF538135"/>
      <rgbColor rgb="FF000080"/>
      <rgbColor rgb="FF7F5F00"/>
      <rgbColor rgb="FF800080"/>
      <rgbColor rgb="FF1F7A8C"/>
      <rgbColor rgb="FFD5DBE1"/>
      <rgbColor rgb="FF7F7F7F"/>
      <rgbColor rgb="FF8064A2"/>
      <rgbColor rgb="FFA0522D"/>
      <rgbColor rgb="FFFDF3D8"/>
      <rgbColor rgb="FFEAF0F7"/>
      <rgbColor rgb="FF595959"/>
      <rgbColor rgb="FF976F4C"/>
      <rgbColor rgb="FF2E75B6"/>
      <rgbColor rgb="FFC9D3E1"/>
      <rgbColor rgb="FF000080"/>
      <rgbColor rgb="FFFF00FF"/>
      <rgbColor rgb="FFFFFF00"/>
      <rgbColor rgb="FF00FFFF"/>
      <rgbColor rgb="FF800080"/>
      <rgbColor rgb="FF800000"/>
      <rgbColor rgb="FF2E5C8A"/>
      <rgbColor rgb="FF0000FF"/>
      <rgbColor rgb="FF00CCFF"/>
      <rgbColor rgb="FFE8EEF5"/>
      <rgbColor rgb="FFE3F0DD"/>
      <rgbColor rgb="FFF4F5F7"/>
      <rgbColor rgb="FF99CCFF"/>
      <rgbColor rgb="FFFF99CC"/>
      <rgbColor rgb="FFCC99FF"/>
      <rgbColor rgb="FFFAFBFC"/>
      <rgbColor rgb="FF4472C4"/>
      <rgbColor rgb="FF33CCCC"/>
      <rgbColor rgb="FF99CC00"/>
      <rgbColor rgb="FFFFCC00"/>
      <rgbColor rgb="FFBF8F00"/>
      <rgbColor rgb="FF9C6500"/>
      <rgbColor rgb="FF6B7684"/>
      <rgbColor rgb="FFA6A6A6"/>
      <rgbColor rgb="FF13294B"/>
      <rgbColor rgb="FF3E7A3E"/>
      <rgbColor rgb="FF2F5597"/>
      <rgbColor rgb="FF44546A"/>
      <rgbColor rgb="FF833C00"/>
      <rgbColor rgb="FF7B3F00"/>
      <rgbColor rgb="FF1F4E79"/>
      <rgbColor rgb="FF2434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www.afdb.fr/gewiss-gw90606f-disjoncteur-fixmatic-auto-10-courbe-phase-neutre-gewiss-gw90606f_SKU753206.html" TargetMode="External"/><Relationship Id="rId2" Type="http://schemas.openxmlformats.org/officeDocument/2006/relationships/hyperlink" Target="https://www.rexel.fr/frx/search?text=" TargetMode="External"/><Relationship Id="rId3" Type="http://schemas.openxmlformats.org/officeDocument/2006/relationships/hyperlink" Target="https://www.afdb.fr/gewiss-gw90608-disjoncteur-20-courbe-phase-neutre-gewiss-gw90608_SKU753209.html" TargetMode="External"/><Relationship Id="rId4" Type="http://schemas.openxmlformats.org/officeDocument/2006/relationships/hyperlink" Target="https://www.afdb.fr/gewiss-gw90610-disjoncteur-32-courbe-phase-neutre-gewiss-gw90610_SKU753211.html" TargetMode="External"/><Relationship Id="rId5" Type="http://schemas.openxmlformats.org/officeDocument/2006/relationships/hyperlink" Target="https://www.afdb.fr/schneider-electric-disjoncteur-acti9-ic60n-4p-courbe-32-schneider-electric-a9f77432_SKU610554.html" TargetMode="External"/><Relationship Id="rId6" Type="http://schemas.openxmlformats.org/officeDocument/2006/relationships/hyperlink" Target="https://www.rexel.fr/frx/search?text=" TargetMode="External"/><Relationship Id="rId7" Type="http://schemas.openxmlformats.org/officeDocument/2006/relationships/hyperlink" Target="https://www.afdb.fr/legrand-411676-interrupteur-differentiel-dx3-id-4pg-63-type-30-legrand-411676_SKU513789.html" TargetMode="External"/><Relationship Id="rId8" Type="http://schemas.openxmlformats.org/officeDocument/2006/relationships/hyperlink" Target="https://www.rexel.fr/frx/search?text=" TargetMode="External"/><Relationship Id="rId9" Type="http://schemas.openxmlformats.org/officeDocument/2006/relationships/hyperlink" Target="https://www.rexel.fr/frx/search?text=" TargetMode="External"/><Relationship Id="rId10" Type="http://schemas.openxmlformats.org/officeDocument/2006/relationships/hyperlink" Target="https://www.rexel.fr/frx/search?text=" TargetMode="External"/><Relationship Id="rId11" Type="http://schemas.openxmlformats.org/officeDocument/2006/relationships/hyperlink" Target="https://www.pointp.fr/p/outillage-quincaillerie/telerupteur-unipolaire-16-amperes-bobine-230-volts-ref-92700-A3098938" TargetMode="External"/><Relationship Id="rId12" Type="http://schemas.openxmlformats.org/officeDocument/2006/relationships/hyperlink" Target="https://www.afdb.fr/legrand-412602-minuterie-modulaire-230-v-50-60-hz-sortie-16-250-v-1-module-legrand-412602_SKU513852.html" TargetMode="External"/><Relationship Id="rId13" Type="http://schemas.openxmlformats.org/officeDocument/2006/relationships/hyperlink" Target="https://www.afdb.fr/theben-1800001-horloge-programmable-analogique-sul-180-1-canal-theben-1800001_SKU172476.html" TargetMode="External"/><Relationship Id="rId14" Type="http://schemas.openxmlformats.org/officeDocument/2006/relationships/hyperlink" Target="https://www.afdb.fr/legrand-404926-peigne-alimentation-universel-phase-neutre-hx-vx-horizontale-1-p-13-modules-legrand-404926_SKU514369.html" TargetMode="External"/><Relationship Id="rId15" Type="http://schemas.openxmlformats.org/officeDocument/2006/relationships/hyperlink" Target="https://www.afdb.fr/gewiss-gw40103-coffret-etanche-ip65-400-v-12-modules-gewiss-gw40103_SKU668371.html" TargetMode="External"/><Relationship Id="rId16" Type="http://schemas.openxmlformats.org/officeDocument/2006/relationships/hyperlink" Target="https://www.afdb.fr/legrand-400401-repartiteur-modulaire-barreaux-etages-xl-ik05-bipolaire-100a-6-departs-4-modules-nouveau-modele-legrand-400401_SKU788768.html" TargetMode="External"/><Relationship Id="rId17" Type="http://schemas.openxmlformats.org/officeDocument/2006/relationships/hyperlink" Target="https://www.afdb.fr/legrand-004832-bornier-repartition-isole-8-connexions-1-5-mm-16-mm-terre-legrand-004832_SKU410512.html" TargetMode="External"/><Relationship Id="rId18" Type="http://schemas.openxmlformats.org/officeDocument/2006/relationships/hyperlink" Target="https://www.afdb.fr/fils-cables-cable-rigide-u-1000-r2v-3g1-5-mm-10-noir-fils-cables-20218275c_SKU552674.html" TargetMode="External"/><Relationship Id="rId19" Type="http://schemas.openxmlformats.org/officeDocument/2006/relationships/hyperlink" Target="https://www.afdb.fr/fils-cables-cable-rigide-u-1000-r2v-3g2-5-mm-10-noir-fils-cables-20218285c_SKU552676.html" TargetMode="External"/><Relationship Id="rId20" Type="http://schemas.openxmlformats.org/officeDocument/2006/relationships/hyperlink" Target="https://www.rexel.fr/frx/search?text=" TargetMode="External"/><Relationship Id="rId21" Type="http://schemas.openxmlformats.org/officeDocument/2006/relationships/hyperlink" Target="https://www.rexel.fr/frx/search?text=" TargetMode="External"/><Relationship Id="rId22" Type="http://schemas.openxmlformats.org/officeDocument/2006/relationships/hyperlink" Target="https://www.rexel.fr/frx/search?text=" TargetMode="External"/><Relationship Id="rId23" Type="http://schemas.openxmlformats.org/officeDocument/2006/relationships/hyperlink" Target="https://www.afdb.fr/gewiss-dx20525r-gaine-electrique-icta-tire-fils-gris-fonce-diametre-25-mm-gewiss-dx20525r_SKU761461.html" TargetMode="External"/><Relationship Id="rId24" Type="http://schemas.openxmlformats.org/officeDocument/2006/relationships/hyperlink" Target="https://www.afdb.fr/gewiss-dx27716-tube-irl-tulipe-rigide-lisse-l3-gris-d16-mm-gewiss-dx27716_SKU138163.html" TargetMode="External"/><Relationship Id="rId25" Type="http://schemas.openxmlformats.org/officeDocument/2006/relationships/hyperlink" Target="https://www.afdb.fr/obo-bettermann-goulotte-appareillage-obo-bettermann-rapid-45-2-pvc-h-53-mm-100-6113000_SKUM226742.html" TargetMode="External"/><Relationship Id="rId26" Type="http://schemas.openxmlformats.org/officeDocument/2006/relationships/hyperlink" Target="https://www.afdb.fr/obo-bettermann-goulotte-appareillage-obo-bettermann-rapid-45-2-pvc-h-53-mm-100-6113000_SKUM226742.html" TargetMode="External"/><Relationship Id="rId27" Type="http://schemas.openxmlformats.org/officeDocument/2006/relationships/hyperlink" Target="https://www.pointp.fr/p/outillage-quincaillerie/moul-20x12-5-avec-cloison-lg-098120-od-A3620402" TargetMode="External"/><Relationship Id="rId28" Type="http://schemas.openxmlformats.org/officeDocument/2006/relationships/hyperlink" Target="https://www.afdb.fr/niedax-001005-dalle-chemin-cable-psn-perforee-3-147-x-27-mm-niedax-001005_SKU239618.html" TargetMode="External"/><Relationship Id="rId29" Type="http://schemas.openxmlformats.org/officeDocument/2006/relationships/hyperlink" Target="https://www.pointp.fr/p/outillage-quincaillerie/detrompeur-pour-fiche-prise-2p-t-ref-050299-A1304505" TargetMode="External"/><Relationship Id="rId30" Type="http://schemas.openxmlformats.org/officeDocument/2006/relationships/hyperlink" Target="https://www.afdb.fr/legrand-prise-courant-2p-etanche-plexo-legrand-16-250-v-fixation-saillie-gris-boite-10-069731l_SKUM168912.html" TargetMode="External"/><Relationship Id="rId31" Type="http://schemas.openxmlformats.org/officeDocument/2006/relationships/hyperlink" Target="https://www.afdb.fr/legrand-555218-p17-prise-mobile-32a-3p-415v-ip44-boite-10_SKU801939.html" TargetMode="External"/><Relationship Id="rId32" Type="http://schemas.openxmlformats.org/officeDocument/2006/relationships/hyperlink" Target="https://www.afdb.fr/legrand-069811-interrupteur-va-vient-etanche-plexo-complet-ip55-encastre-gris-legrand-069811_SKU418796.html" TargetMode="External"/><Relationship Id="rId33" Type="http://schemas.openxmlformats.org/officeDocument/2006/relationships/hyperlink" Target="https://www.afdb.fr/legrand-600060a-interrupteur-variateur-dooxie-universel-2-fils-neutre-125-w-led-legrand-600060a_SKU880192.html" TargetMode="External"/><Relationship Id="rId34" Type="http://schemas.openxmlformats.org/officeDocument/2006/relationships/hyperlink" Target="https://www.afdb.fr/theben-1010500-detecteur-mouvement-theluxa-mural-exterieur-s150-wh-blanc-theben-1010500_SKU379021.html" TargetMode="External"/><Relationship Id="rId35" Type="http://schemas.openxmlformats.org/officeDocument/2006/relationships/hyperlink" Target="https://www.afdb.fr/legrand-80041-boite-encastrement-batibox-cloisons-seches-1-poste-legrand-080041_SKU419530.html" TargetMode="External"/><Relationship Id="rId36" Type="http://schemas.openxmlformats.org/officeDocument/2006/relationships/hyperlink" Target="https://www.afdb.fr/miidex-7230-boite-derivation-etanche-450-v-ac-ip68-2-entrees-miidex-lighting-7230_SKU781705.html" TargetMode="External"/><Relationship Id="rId37" Type="http://schemas.openxmlformats.org/officeDocument/2006/relationships/hyperlink" Target="https://www.afdb.fr/wago-773-173-boite-50-bornes-connexion-automatiques-transparentes-3-fils-2-5-6-mm-wago-773-173_SKU407395.html" TargetMode="External"/><Relationship Id="rId38" Type="http://schemas.openxmlformats.org/officeDocument/2006/relationships/hyperlink" Target="https://www.afdb.fr/legrand-034215-barrette-connexion-nylbloc-capacite-assignee-10-mm-noir-legrand-034215_SKU414216.html" TargetMode="External"/><Relationship Id="rId39" Type="http://schemas.openxmlformats.org/officeDocument/2006/relationships/hyperlink" Target="https://www.afdb.fr/legrand-066631-plaque-celiane-finition-blanc-laque-1-poste-legrand-066631_SKU735373.html" TargetMode="External"/><Relationship Id="rId40" Type="http://schemas.openxmlformats.org/officeDocument/2006/relationships/hyperlink" Target="https://www.afdb.fr/schneider-electric-s320476-mecanisme-prise-rj45-ovalis-categorie-6-stp-grade-3-blanc-schneider-electric-s320476_SKU861384.html" TargetMode="External"/><Relationship Id="rId41" Type="http://schemas.openxmlformats.org/officeDocument/2006/relationships/hyperlink" Target="https://www.afdb.fr/forsond-piquet-terre_SKUM14582.html" TargetMode="External"/><Relationship Id="rId42" Type="http://schemas.openxmlformats.org/officeDocument/2006/relationships/hyperlink" Target="https://www.afdb.fr/forsond-bar32-barrette-coupure-socle-plastique-forsond-bar-32_SKU362601.html" TargetMode="External"/><Relationship Id="rId43" Type="http://schemas.openxmlformats.org/officeDocument/2006/relationships/hyperlink" Target="https://www.rexel.fr/frx/search?text=" TargetMode="External"/><Relationship Id="rId44" Type="http://schemas.openxmlformats.org/officeDocument/2006/relationships/hyperlink" Target="https://www.afdb.fr/sewosy-tpnc-temporisation-12-24vdc-1-contact-nf-gaine-thermoretractable-sewosy-tpnc_SKU570351.html" TargetMode="External"/><Relationship Id="rId45" Type="http://schemas.openxmlformats.org/officeDocument/2006/relationships/hyperlink" Target="https://www.afdb.fr/schneider-electric-vdir534810-cable-4-paires-ftp-categorie-6-lexcom-home-bobine-120-blanc-schneider-electric-vdir534810_SKU647541.html" TargetMode="External"/><Relationship Id="rId46" Type="http://schemas.openxmlformats.org/officeDocument/2006/relationships/hyperlink" Target="https://www.afdb.fr/legrand-413218-coffret-multimedia-basique-drivia-brassage-equipe-precable-4-prises-rj45-legrand-413218_SKU579604.html" TargetMode="External"/><Relationship Id="rId47" Type="http://schemas.openxmlformats.org/officeDocument/2006/relationships/hyperlink" Target="https://www.afdb.fr/thomson-512511-camera-exterieure-rheita100-connectee-eclairage-integre-thomson-512511_SKU842395.html" TargetMode="External"/><Relationship Id="rId48" Type="http://schemas.openxmlformats.org/officeDocument/2006/relationships/hyperlink" Target="https://www.afdb.fr/diam-industries-cr90180-25-disque-diamant-dalles-carrelage-dur-180-x-25-4-mm-diam-industries-cr90180-25_SKU745579.html" TargetMode="External"/><Relationship Id="rId49" Type="http://schemas.openxmlformats.org/officeDocument/2006/relationships/hyperlink" Target="https://www.afdb.fr/golmar-uav1407-010-combine-universel-line-golmar-uav1407-010_SKU612024.html" TargetMode="External"/><Relationship Id="rId50" Type="http://schemas.openxmlformats.org/officeDocument/2006/relationships/hyperlink" Target="https://www.afdb.fr/salto-wrdm0s4b-lecteur-mural-xs4-2-0-mifare-carre-noir-salto-wrdm0s4b_SKU857197.html" TargetMode="External"/><Relationship Id="rId51" Type="http://schemas.openxmlformats.org/officeDocument/2006/relationships/hyperlink" Target="https://www.afdb.fr/salto-badge-proximite-salto-mifare-ultralight_SKUM117686.html" TargetMode="External"/><Relationship Id="rId52" Type="http://schemas.openxmlformats.org/officeDocument/2006/relationships/hyperlink" Target="https://www.afdb.fr/fermax-pl030-clavier-aluminium-30-codes-fermax-pl030_SKU390521.html" TargetMode="External"/><Relationship Id="rId53" Type="http://schemas.openxmlformats.org/officeDocument/2006/relationships/hyperlink" Target="https://www.afdb.fr/didheya-bouton-spherique-inox-finition-mate-didheya_SKUM73558.html" TargetMode="External"/><Relationship Id="rId54" Type="http://schemas.openxmlformats.org/officeDocument/2006/relationships/hyperlink" Target="https://www.afdb.fr/heracles-ard-kit-kit-centrale-alarme-heracles-ard-kit_SKU390491.html" TargetMode="External"/><Relationship Id="rId55" Type="http://schemas.openxmlformats.org/officeDocument/2006/relationships/hyperlink" Target="https://www.afdb.fr/avidsen-100723-detecteur-ouverture-porte-alarme-skyda-homesecure-avidsen-100723_SKU842322.html" TargetMode="External"/><Relationship Id="rId56" Type="http://schemas.openxmlformats.org/officeDocument/2006/relationships/hyperlink" Target="https://www.afdb.fr/miidex-100861-detecteur-mouvement-infrarouge-lumos-lite-projecteur-lumos-lite-lumos-pro-miidex-100861_SKU868337.html" TargetMode="External"/><Relationship Id="rId57" Type="http://schemas.openxmlformats.org/officeDocument/2006/relationships/hyperlink" Target="https://www.afdb.fr/avidsen-100728-sirene-exterieure-solaire-alarme-skyda-homesecure-avidsen-100728_SKU842324.html" TargetMode="External"/><Relationship Id="rId58" Type="http://schemas.openxmlformats.org/officeDocument/2006/relationships/hyperlink" Target="https://www.afdb.fr/selection-cable-coaxial-blanc-17vatc-t500-5-60135013e_SKU552641.html" TargetMode="External"/><Relationship Id="rId59" Type="http://schemas.openxmlformats.org/officeDocument/2006/relationships/hyperlink" Target="https://www.afdb.fr/lebenoid-032528-repartiteur-ferrite-tv-4-sorties-lebenoid-032528_SKU145992.html" TargetMode="External"/><Relationship Id="rId60" Type="http://schemas.openxmlformats.org/officeDocument/2006/relationships/hyperlink" Target="https://www.rexel.fr/frx/search?text=" TargetMode="External"/><Relationship Id="rId61" Type="http://schemas.openxmlformats.org/officeDocument/2006/relationships/hyperlink" Target="https://www.rexel.fr/frx/search?text=" TargetMode="External"/><Relationship Id="rId62" Type="http://schemas.openxmlformats.org/officeDocument/2006/relationships/hyperlink" Target="https://www.afdb.fr/sylvania-90012-spot-encastre-led-integre-yourhome-500-lm-blanc-ip44-4000-k-840-sylvania-90012_SKU848958.html" TargetMode="External"/><Relationship Id="rId63" Type="http://schemas.openxmlformats.org/officeDocument/2006/relationships/hyperlink" Target="https://www.afdb.fr/miidex-765482-downlight-led-sirius-basse-lum-blanc-rond-basse-luminance-2000-lm-25-w-4000-k-miidex-lighting-765482_SKU782618.html" TargetMode="External"/><Relationship Id="rId64" Type="http://schemas.openxmlformats.org/officeDocument/2006/relationships/hyperlink" Target="https://www.afdb.fr/miidex-100998-dalle-led-andromede-backlit-25-w-4000-k-prismatique-miidex-100998_SKU879196.html" TargetMode="External"/><Relationship Id="rId65" Type="http://schemas.openxmlformats.org/officeDocument/2006/relationships/hyperlink" Target="https://www.afdb.fr/sylvania-0045159-reglette-led-ip20-batten-4000-k-16-w-simple-l1200-mm-sylvania-0045159_SKU751259.html" TargetMode="External"/><Relationship Id="rId66" Type="http://schemas.openxmlformats.org/officeDocument/2006/relationships/hyperlink" Target="https://www.afdb.fr/miidex-s8358-spot-led-rail-noir-35-w-4000-k-3000-lm-adaptateur-rail-3-allumages-miidex-lighting-s8358_SKU783632.html" TargetMode="External"/><Relationship Id="rId67" Type="http://schemas.openxmlformats.org/officeDocument/2006/relationships/hyperlink" Target="https://www.pointp.fr/p/outillage-quincaillerie/projecteur-exterieur-led-energizer-consommation-10w-flux-lumineux-A7047009" TargetMode="External"/><Relationship Id="rId68" Type="http://schemas.openxmlformats.org/officeDocument/2006/relationships/hyperlink" Target="https://www.afdb.fr/miidex-75371-alimentation-led-ip67-100w-24v-dc-miidex-lighting-75371_SKU782227.html" TargetMode="External"/><Relationship Id="rId69" Type="http://schemas.openxmlformats.org/officeDocument/2006/relationships/hyperlink" Target="https://www.afdb.fr/miidex-76661-ampoule-led-e27-10-w-smd-r80-3000-k-pack-2-miidex-lighting-76661_SKU782643.html" TargetMode="External"/><Relationship Id="rId70" Type="http://schemas.openxmlformats.org/officeDocument/2006/relationships/hyperlink" Target="https://www.afdb.fr/miidex-78401-ampoule-led-gu10-spot-5-w-2700-k-miidex-lighting-78401_SKU782955.html" TargetMode="External"/><Relationship Id="rId71" Type="http://schemas.openxmlformats.org/officeDocument/2006/relationships/hyperlink" Target="https://www.afdb.fr/miidex-75891-boitier-etanche-led-iroise-ballast-p-cote-1-tube-t8-600-mm-miidex-lighting-75891_SKU782384.html" TargetMode="External"/><Relationship Id="rId72" Type="http://schemas.openxmlformats.org/officeDocument/2006/relationships/hyperlink" Target="https://www.pointp.fr/p/electricite-ventilation/projecteur-led-de-chantier-multi-battery-system-4000-ma-rechargeable-40-w-4500-lm-6500-k-ip65-compatible-avec-5-standards-de-batterie-18-v-powertool-ref-1173140400-A4305932" TargetMode="External"/><Relationship Id="rId73" Type="http://schemas.openxmlformats.org/officeDocument/2006/relationships/hyperlink" Target="https://www.afdb.fr/miidex-7790020-hublot-led-rondo-detecteur-infrarouge-crepusculaire-18-w-ip65-3000-k-miidex-lighting-7790020_SKU782883.html" TargetMode="External"/><Relationship Id="rId74" Type="http://schemas.openxmlformats.org/officeDocument/2006/relationships/hyperlink" Target="https://www.afdb.fr/70521-applique-murale-exterieur-led-wallpack-100-w-4000-k-slim_SKU781470.html" TargetMode="External"/><Relationship Id="rId75" Type="http://schemas.openxmlformats.org/officeDocument/2006/relationships/hyperlink" Target="https://www.rexel.fr/frx/search?text=" TargetMode="External"/><Relationship Id="rId76" Type="http://schemas.openxmlformats.org/officeDocument/2006/relationships/hyperlink" Target="https://www.prolians.fr/catalogsearch/result/?q=14492356" TargetMode="External"/><Relationship Id="rId77" Type="http://schemas.openxmlformats.org/officeDocument/2006/relationships/hyperlink" Target="https://www.afdb.fr/garis-3315-16-14-raccord-droit-souder-per-tube-cuivre-16-tc-14-garis-3315-16-14_SKU762106.html" TargetMode="External"/><Relationship Id="rId78" Type="http://schemas.openxmlformats.org/officeDocument/2006/relationships/hyperlink" Target="https://www.afdb.fr/somatherm-1113-20-50s-tube-per-pre-gaine-bleu-50-16-20-somatherm-1113-20-50a_SKU409248.html" TargetMode="External"/><Relationship Id="rId79" Type="http://schemas.openxmlformats.org/officeDocument/2006/relationships/hyperlink" Target="https://www.afdb.fr/comisa-88-20-580-kit-sertissage-tube-multicouche-16x2-1-2-comisa-88-20-580_SKU610221.html" TargetMode="External"/><Relationship Id="rId80" Type="http://schemas.openxmlformats.org/officeDocument/2006/relationships/hyperlink" Target="https://www.afdb.fr/comisa-kit-sertissage-comisa-tube-multicouche-88-20-580_SKUM40372.html" TargetMode="External"/><Relationship Id="rId81" Type="http://schemas.openxmlformats.org/officeDocument/2006/relationships/hyperlink" Target="https://www.afdb.fr/garis-3315-12-14-raccord-droit-souder-per-tube-cuivre-12-tc-14-garis-3315-12-14_SKU762105.html" TargetMode="External"/><Relationship Id="rId82" Type="http://schemas.openxmlformats.org/officeDocument/2006/relationships/hyperlink" Target="https://www.chausson.fr/quincaillerie/renseignerraccord-multicouche-sertir-noyon-thiebault-coude-applique-multi-profils-16mm-laiton-p-724901-1" TargetMode="External"/><Relationship Id="rId83" Type="http://schemas.openxmlformats.org/officeDocument/2006/relationships/hyperlink" Target="https://www.afdb.fr/giacomini-r179x051-raccord-compression-tube-per-16-20-16-collecteur-giacomini-r170x051_SKU166160.html" TargetMode="External"/><Relationship Id="rId84" Type="http://schemas.openxmlformats.org/officeDocument/2006/relationships/hyperlink" Target="https://www.afdb.fr/garis-3312-16-12-manchon-reduit-sertir-tube-per-16-12-garis-3312-16-12_SKU762093.html" TargetMode="External"/><Relationship Id="rId85" Type="http://schemas.openxmlformats.org/officeDocument/2006/relationships/hyperlink" Target="https://www.afdb.fr/garis-3312-16-12-manchon-reduit-sertir-tube-per-16-12-garis-3312-16-12_SKU762093.html" TargetMode="External"/><Relationship Id="rId86" Type="http://schemas.openxmlformats.org/officeDocument/2006/relationships/hyperlink" Target="https://www.afdb.fr/boutte-3417152-raccord-bague-laiton-biconique-male-1-4-6-mm-boutte-3417152_SKU658223.html" TargetMode="External"/><Relationship Id="rId87" Type="http://schemas.openxmlformats.org/officeDocument/2006/relationships/hyperlink" Target="https://www.laplateforme.com/catalogue/produit/2190" TargetMode="External"/><Relationship Id="rId88" Type="http://schemas.openxmlformats.org/officeDocument/2006/relationships/hyperlink" Target="https://www.pointp.fr/p/decoration-interieure/robinet-d-arret-equerre-a-1-4-de-tour-male-femelle-chrome-12x17mm-A1086868" TargetMode="External"/><Relationship Id="rId89" Type="http://schemas.openxmlformats.org/officeDocument/2006/relationships/hyperlink" Target="https://www.chausson.fr/quincaillerie/vanne-boisseau-double-femelle-laiton-spherique-avec-purge-20x27mm-manette-rouge-p-683962-1" TargetMode="External"/><Relationship Id="rId90" Type="http://schemas.openxmlformats.org/officeDocument/2006/relationships/hyperlink" Target="https://www.pointp.fr/p/decoration-interieure/mitigeur-lavabo-primeo-3-c3-avec-vidage-A3309186" TargetMode="External"/><Relationship Id="rId91" Type="http://schemas.openxmlformats.org/officeDocument/2006/relationships/hyperlink" Target="https://www.chausson.fr/quincaillerie/mitigeur-devier-cuisine-pola-bec-bas-douchette-chrome-p-818043-1" TargetMode="External"/><Relationship Id="rId92" Type="http://schemas.openxmlformats.org/officeDocument/2006/relationships/hyperlink" Target="https://www.pointp.fr/p/decoration-interieure/mitigeur-thermostatique-douche-primeo-3-A3309193" TargetMode="External"/><Relationship Id="rId93" Type="http://schemas.openxmlformats.org/officeDocument/2006/relationships/hyperlink" Target="https://www.pointp.fr/p/salle-de-bain-wc-plomberie/robinet-temporise-tempostop-de-lavabo-mural-15-x-21-debit-4-litres-par-minutes-corps-en-laiton-massif-chrome-ref-746000-A1031612" TargetMode="External"/><Relationship Id="rId94" Type="http://schemas.openxmlformats.org/officeDocument/2006/relationships/hyperlink" Target="https://www.afdb.fr/garis-flexibles-sanitaire-acs-femelle-femelle-garis_SKUM1473.html" TargetMode="External"/><Relationship Id="rId95" Type="http://schemas.openxmlformats.org/officeDocument/2006/relationships/hyperlink" Target="https://www.pointp.fr/p/materiaux-bois-gros-oeuvre/tube-evacuation-pvc-gris-nfe-nf-me-diametre-40mm-longueur-2m-ref-sg734430-A6781887" TargetMode="External"/><Relationship Id="rId96" Type="http://schemas.openxmlformats.org/officeDocument/2006/relationships/hyperlink" Target="https://www.pointp.fr/p/materiaux-gros-oeuvre/tube-evacuation-pvc-nfe-nfme-cr4-diametre-100-mm-longueur-2m-ref-37339-A6426559" TargetMode="External"/><Relationship Id="rId97" Type="http://schemas.openxmlformats.org/officeDocument/2006/relationships/hyperlink" Target="https://www.pointp.fr/p/gros-oeuvre-bpe-voirie-tp/coude-d-evacuation-pvc-mf-45-100-mm-A6308889" TargetMode="External"/><Relationship Id="rId98" Type="http://schemas.openxmlformats.org/officeDocument/2006/relationships/hyperlink" Target="https://www.afdb.fr/nicoll-bt16gt-culotte-pvc-simple-male-femelle-100-mm-gris-nicoll-bt16gt_SKU215368.html" TargetMode="External"/><Relationship Id="rId99" Type="http://schemas.openxmlformats.org/officeDocument/2006/relationships/hyperlink" Target="https://www.afdb.fr/nicoll-sc456-siphon-sol-faible-hauteur-15x15-cm-gris-fonce-nicoll-sc456_SKU076653.html" TargetMode="External"/><Relationship Id="rId100" Type="http://schemas.openxmlformats.org/officeDocument/2006/relationships/hyperlink" Target="https://www.afdb.fr/valentin-00-610300-001-00-siphon-lavabo-plastique-blanc-reglable-48-103-mm-d32-valentin-00-610300-001-00_SKU064820.html" TargetMode="External"/><Relationship Id="rId101" Type="http://schemas.openxmlformats.org/officeDocument/2006/relationships/hyperlink" Target="https://www.laplateforme.com/catalogue/produit/30699" TargetMode="External"/><Relationship Id="rId102" Type="http://schemas.openxmlformats.org/officeDocument/2006/relationships/hyperlink" Target="https://www.afdb.fr/selection-2676-colle-raccord-pvc-gel-pot-metal-500-ml-unecol-2676_SKU858356.html" TargetMode="External"/><Relationship Id="rId103" Type="http://schemas.openxmlformats.org/officeDocument/2006/relationships/hyperlink" Target="https://www.pointp.fr/p/salle-de-bain-wc-plomberie/couvre-joint-lateral-lavabo-collectif-lg-40-cm-ceramique-blanc-ref-763000000-A1023234" TargetMode="External"/><Relationship Id="rId104" Type="http://schemas.openxmlformats.org/officeDocument/2006/relationships/hyperlink" Target="https://www.pointp.fr/p/salle-de-bain-wc-sanitaires/vasque-a-poser-lave-mains-mini-alterna-plenitude-blanc-brillant-A4936878" TargetMode="External"/><Relationship Id="rId105" Type="http://schemas.openxmlformats.org/officeDocument/2006/relationships/hyperlink" Target="https://www.afdb.fr/geberit-111-791-00-2-bati-support-duofix-wc-suspendu-geberit-111-791-00-2_SKU869195.html" TargetMode="External"/><Relationship Id="rId106" Type="http://schemas.openxmlformats.org/officeDocument/2006/relationships/hyperlink" Target="https://www.afdb.fr/vitra-8200b003-0075-cuvette-wc-poser-sortie-horizontale-normus-vitra-6858l003-1028_SKU390127.html" TargetMode="External"/><Relationship Id="rId107" Type="http://schemas.openxmlformats.org/officeDocument/2006/relationships/hyperlink" Target="https://www.afdb.fr/olfa-7ma0001-abattant-wc-marine-double-blanc-olfa-7ma0001_SKU430325.html" TargetMode="External"/><Relationship Id="rId108" Type="http://schemas.openxmlformats.org/officeDocument/2006/relationships/hyperlink" Target="https://www.pointp.fr/p/salle-de-bain-wc-sanitaires/receveur-de-douche-carre-alterna-concerto-blanc-90x90-ep-4-5-cm-pn12-classe-a-ref-0-A4955199" TargetMode="External"/><Relationship Id="rId109" Type="http://schemas.openxmlformats.org/officeDocument/2006/relationships/hyperlink" Target="https://www.chausson.fr/materiaux/bande-etanche-marmox-parois-receveur-douche-p-785336-1" TargetMode="External"/><Relationship Id="rId110" Type="http://schemas.openxmlformats.org/officeDocument/2006/relationships/hyperlink" Target="https://www.afdb.fr/franke-013939-evier-monocuve-inox-man711-1000-egouttoir-1000-x-600-cm-poser-franke-013939_SKU379281.html" TargetMode="External"/><Relationship Id="rId111" Type="http://schemas.openxmlformats.org/officeDocument/2006/relationships/hyperlink" Target="https://www.afdb.fr/ariston-3000784-chauffe-eau-electrique-200-initio-xpert-blinde-vertical-socle-d570-mm-ariston-3000784_SKU859859.html" TargetMode="External"/><Relationship Id="rId112" Type="http://schemas.openxmlformats.org/officeDocument/2006/relationships/hyperlink" Target="https://www.afdb.fr/ariston-3010782-chauffe-eau-electrique-100-initio-xpert-blinde-horizontal-mural-d560-mm-ariston-3010782_SKU859873.html" TargetMode="External"/><Relationship Id="rId113" Type="http://schemas.openxmlformats.org/officeDocument/2006/relationships/hyperlink" Target="https://www.laplateforme.com/catalogue/produit/73687" TargetMode="External"/><Relationship Id="rId114" Type="http://schemas.openxmlformats.org/officeDocument/2006/relationships/hyperlink" Target="https://www.afdb.fr/renson-international-u2r-854293-pompe-relevage-eaux-chargees-0-75-kw-inox-12-h-renson-854293_SKU739391.html" TargetMode="External"/><Relationship Id="rId115" Type="http://schemas.openxmlformats.org/officeDocument/2006/relationships/hyperlink" Target="https://www.afdb.fr/actana-multicollecto-broyeur-independant-3-entrees-sanitaire-sfa-multicollecto_SKU760199.html" TargetMode="External"/><Relationship Id="rId116" Type="http://schemas.openxmlformats.org/officeDocument/2006/relationships/hyperlink" Target="https://www.afdb.fr/sirius-104106-assortiment-joint-ptfe-teflon-o-3-8-o-1-1-2-sachet-100-pieces-sirius-104106_SKU087731.html" TargetMode="External"/><Relationship Id="rId117" Type="http://schemas.openxmlformats.org/officeDocument/2006/relationships/hyperlink" Target="https://www.afdb.fr/pont-mousson-pate-lubrifiante-pam-joints-sbr-tuyaux-fonte-ftb01723_SKUM127637.html" TargetMode="External"/><Relationship Id="rId118" Type="http://schemas.openxmlformats.org/officeDocument/2006/relationships/hyperlink" Target="https://www.chausson.fr/quincaillerie/collier-isophonique-simple-tuyauteries-diametre14-mm-acier-zingue-blanc-x20-p-776520-1" TargetMode="External"/><Relationship Id="rId119" Type="http://schemas.openxmlformats.org/officeDocument/2006/relationships/hyperlink" Target="https://www.chausson.fr/materiaux/tube-isolant-fendu-adhesif-encollage-bord-bord-ep32o22mm-p-474207-1" TargetMode="External"/><Relationship Id="rId120" Type="http://schemas.openxmlformats.org/officeDocument/2006/relationships/hyperlink" Target="https://www.pointp.fr/p/electricite-ventilation/radiateur-electrique-fluide-altech-horizontal-1500w-blanc-A4812110" TargetMode="External"/><Relationship Id="rId121" Type="http://schemas.openxmlformats.org/officeDocument/2006/relationships/hyperlink" Target="https://www.rexel.fr/frx/search?text=" TargetMode="External"/><Relationship Id="rId122" Type="http://schemas.openxmlformats.org/officeDocument/2006/relationships/hyperlink" Target="https://www.pointp.fr/p/decoration-interieure/radiateur-seche-serviettes-electrique-primeo2-944-x-500-mm-blanc-A6841973" TargetMode="External"/><Relationship Id="rId123" Type="http://schemas.openxmlformats.org/officeDocument/2006/relationships/hyperlink" Target="https://www.afdb.fr/atlantic-423535-radiateur-electrique-panneau-rayonnant-horizontal-solius-digital-1000-w-atlantic-423535_SKU786919.html" TargetMode="External"/><Relationship Id="rId124" Type="http://schemas.openxmlformats.org/officeDocument/2006/relationships/hyperlink" Target="https://www.afdb.fr/comap-r809603-robinet-radiateur-thermostatique-droit-3-8-comap-r809603_SKU408425.html" TargetMode="External"/><Relationship Id="rId125" Type="http://schemas.openxmlformats.org/officeDocument/2006/relationships/hyperlink" Target="https://www.afdb.fr/comap-429303-coude-reglage-radiateur-3-fonctions-droit-nickele-3-8-comap-429303_SKU408419.html" TargetMode="External"/><Relationship Id="rId126" Type="http://schemas.openxmlformats.org/officeDocument/2006/relationships/hyperlink" Target="https://www.afdb.fr/giacomini-r200x001-purgeur-air-automatique-radiateurs-r200-giacomini-r200x002_SKU166790.html" TargetMode="External"/><Relationship Id="rId127" Type="http://schemas.openxmlformats.org/officeDocument/2006/relationships/hyperlink" Target="https://www.afdb.fr/thermador-eva24070180-circulateur-electronique-chauffage-evosta-2-entraxe-180-mm-thermador-eva24070180_SKU759652.html" TargetMode="External"/><Relationship Id="rId128" Type="http://schemas.openxmlformats.org/officeDocument/2006/relationships/hyperlink" Target="https://www.pointp.fr/p/outils-equipement-accessoires/gaz-neutre-m414-aerosol-de-360-ml-A6270125" TargetMode="External"/><Relationship Id="rId129" Type="http://schemas.openxmlformats.org/officeDocument/2006/relationships/hyperlink" Target="https://www.chausson.fr/materiaux/thermostat-dambiance-ta2-p-449256-1" TargetMode="External"/><Relationship Id="rId130" Type="http://schemas.openxmlformats.org/officeDocument/2006/relationships/hyperlink" Target="https://www.pointp.fr/p/electricite-plomberie-sanitaire/vmc-simple-flux-autoreglable-deco-2-n-ref-604140-A6862455" TargetMode="External"/><Relationship Id="rId131" Type="http://schemas.openxmlformats.org/officeDocument/2006/relationships/hyperlink" Target="https://www.pointp.fr/p/couverture/bouche-d-extraction-ou-insufflation-pour-cuisine-diametre-125mm-A1747176" TargetMode="External"/><Relationship Id="rId132" Type="http://schemas.openxmlformats.org/officeDocument/2006/relationships/hyperlink" Target="https://www.afdb.fr/autogyre-400640-bouche-extraction-sanitaire-80-mm-autogyre-400640_SKU666110.html" TargetMode="External"/><Relationship Id="rId133" Type="http://schemas.openxmlformats.org/officeDocument/2006/relationships/hyperlink" Target="https://www.afdb.fr/unelvent-813922-gaine-souple-pvc-isolees-serie-gp-125-p-813922_SKU647683.html" TargetMode="External"/><Relationship Id="rId134" Type="http://schemas.openxmlformats.org/officeDocument/2006/relationships/hyperlink" Target="https://www.afdb.fr/ks-tools-150-1330-jeu-6-extracteurs-goujons-goujons-m3-m24-ks-tools-150-1330_SKU806962.html" TargetMode="External"/><Relationship Id="rId135" Type="http://schemas.openxmlformats.org/officeDocument/2006/relationships/hyperlink" Target="https://www.afdb.fr/porcher-d2500aa-mitigeur-bain-douche-olyos-mural-aerateur-integre-porcher-d2500aa_SKU863720.html" TargetMode="External"/><Relationship Id="rId136" Type="http://schemas.openxmlformats.org/officeDocument/2006/relationships/hyperlink" Target="https://www.pointp.fr/p/couverture/habillage-pour-grille-de-ventilation-ref-gvh-55000278-A3051510" TargetMode="External"/><Relationship Id="rId137" Type="http://schemas.openxmlformats.org/officeDocument/2006/relationships/hyperlink" Target="https://www.pointp.fr/p/couverture/chapeau-de-ventilation-ucc10-pvc-ardoise-embase-100-mm-A1734270" TargetMode="External"/><Relationship Id="rId138" Type="http://schemas.openxmlformats.org/officeDocument/2006/relationships/hyperlink" Target="https://www.afdb.fr/bosch-ensemble-mono-split-climate-6000i-bosch-groupe-exterieur-unite-interieure_SKUM216116.html" TargetMode="External"/><Relationship Id="rId139" Type="http://schemas.openxmlformats.org/officeDocument/2006/relationships/hyperlink" Target="https://www.afdb.fr/sfa-sk6-pompe-relevage-condensats-sanicondens-pro-6-2-min-sfa-sk6_SKU390823.html" TargetMode="External"/><Relationship Id="rId140" Type="http://schemas.openxmlformats.org/officeDocument/2006/relationships/hyperlink" Target="https://www.afdb.fr/selection-04-blwc80-sortie-murale-goulotte-80mm-climatisation-mc-distribution-04-blwc80_SKU857861.html" TargetMode="External"/><Relationship Id="rId141" Type="http://schemas.openxmlformats.org/officeDocument/2006/relationships/hyperlink" Target="https://www.afdb.fr/elm-leblanc-7716780358-ser-50-sonde-temperature-exterieure_SKU845383.html" TargetMode="External"/><Relationship Id="rId142" Type="http://schemas.openxmlformats.org/officeDocument/2006/relationships/hyperlink" Target="https://www.afdb.fr/selection-802-02-manometre-radial-8-13-d50-4-bar-802-02_SKU390004.html" TargetMode="External"/><Relationship Id="rId143" Type="http://schemas.openxmlformats.org/officeDocument/2006/relationships/hyperlink" Target="https://www.prolians.fr/catalogsearch/result/?q=" TargetMode="External"/><Relationship Id="rId144" Type="http://schemas.openxmlformats.org/officeDocument/2006/relationships/hyperlink" Target="https://www.pointp.fr/p/quincaillerie/serrure-applque-pdt-1-2t-140x80-g-1cles-A4931835" TargetMode="External"/><Relationship Id="rId145" Type="http://schemas.openxmlformats.org/officeDocument/2006/relationships/hyperlink" Target="https://www.prolians.fr/catalogsearch/result/?q=" TargetMode="External"/><Relationship Id="rId146" Type="http://schemas.openxmlformats.org/officeDocument/2006/relationships/hyperlink" Target="https://www.chausson.fr/quincaillerie/cylindre-bouton-abus-b5lt-titalium-5goupilles-profil-europeen-30x30mm-p-227003-1" TargetMode="External"/><Relationship Id="rId147" Type="http://schemas.openxmlformats.org/officeDocument/2006/relationships/hyperlink" Target="https://www.chausson.fr/quincaillerie/cylindre-bouton-abus-b5lt-titalium-5goupilles-profil-europeen-30x30mm-p-227003-1" TargetMode="External"/><Relationship Id="rId148" Type="http://schemas.openxmlformats.org/officeDocument/2006/relationships/hyperlink" Target="https://www.prolians.fr/catalogsearch/result/?q=17321757" TargetMode="External"/><Relationship Id="rId149" Type="http://schemas.openxmlformats.org/officeDocument/2006/relationships/hyperlink" Target="https://www.pointp.fr/p/quincaillerie/verrou-eco-trident-avec-simple-bouton-emballage-boite-carton-ref-00802002-A4934544" TargetMode="External"/><Relationship Id="rId150" Type="http://schemas.openxmlformats.org/officeDocument/2006/relationships/hyperlink" Target="https://www.chausson.fr/quincaillerie/serrure-larder-point-pene-dormant-rouleau-cylindre-europeen-gache-electrique-metalux-p-711381-1" TargetMode="External"/><Relationship Id="rId151" Type="http://schemas.openxmlformats.org/officeDocument/2006/relationships/hyperlink" Target="https://www.chausson.fr/quincaillerie/serrure-larder-point-pene-dormant-rouleau-cylindre-europeen-gache-electrique-metalux-p-711381-1" TargetMode="External"/><Relationship Id="rId152" Type="http://schemas.openxmlformats.org/officeDocument/2006/relationships/hyperlink" Target="https://www.afdb.fr/eff-eff-bva300nas-ventouse-electromagnetique-300-kg-24-v-eff-eff-bva300nas_SKU569639.html" TargetMode="External"/><Relationship Id="rId153" Type="http://schemas.openxmlformats.org/officeDocument/2006/relationships/hyperlink" Target="https://www.prolians.fr/catalogsearch/result/?q=" TargetMode="External"/><Relationship Id="rId154" Type="http://schemas.openxmlformats.org/officeDocument/2006/relationships/hyperlink" Target="https://www.afdb.fr/heracles-ferme-porte-10-bras-compas-argent-heracles-first_SKUM96877.html" TargetMode="External"/><Relationship Id="rId155" Type="http://schemas.openxmlformats.org/officeDocument/2006/relationships/hyperlink" Target="https://www.chausson.fr/quincaillerie/plaque-support-din-profil-metallique-groom-ferme-porte-3400-3500-p-667966-1" TargetMode="External"/><Relationship Id="rId156" Type="http://schemas.openxmlformats.org/officeDocument/2006/relationships/hyperlink" Target="https://www.chausson.fr/quincaillerie/barre-anti-panique-1point-longueur-1165mm-aluminium-anodise-p-722048-1" TargetMode="External"/><Relationship Id="rId157" Type="http://schemas.openxmlformats.org/officeDocument/2006/relationships/hyperlink" Target="https://www.chausson.fr/quincaillerie/barre-anti-panique-3points-lateraux-fluid-longueur-1165-mm-aluminium-anodise-p-722054-1" TargetMode="External"/><Relationship Id="rId158" Type="http://schemas.openxmlformats.org/officeDocument/2006/relationships/hyperlink" Target="https://www.chausson.fr/quincaillerie/poignee-porte-interieure-vachette-lc3-bequille-coudee-arrondie-avec-retour-sur-rosace-ronde-inox-brosse-p-811889-1" TargetMode="External"/><Relationship Id="rId159" Type="http://schemas.openxmlformats.org/officeDocument/2006/relationships/hyperlink" Target="https://www.pointp.fr/p/quincaillerie/bequille-double-c8x110mm-1p-noir-ref-00903476-A4651104" TargetMode="External"/><Relationship Id="rId160" Type="http://schemas.openxmlformats.org/officeDocument/2006/relationships/hyperlink" Target="https://www.prolians.fr/catalogsearch/result/?q=" TargetMode="External"/><Relationship Id="rId161" Type="http://schemas.openxmlformats.org/officeDocument/2006/relationships/hyperlink" Target="https://www.afdb.fr/faure-fils-164n120-11l-paumelle-164-120-x-11-mm-gauche-faure-fils-164n120-11l_SKU394340.html" TargetMode="External"/><Relationship Id="rId162" Type="http://schemas.openxmlformats.org/officeDocument/2006/relationships/hyperlink" Target="https://www.chausson.fr/quincaillerie/butoir-porte-caoutchouc-blanc-31x35mm-p-722102-1" TargetMode="External"/><Relationship Id="rId163" Type="http://schemas.openxmlformats.org/officeDocument/2006/relationships/hyperlink" Target="https://www.afdb.fr/heracles-8545_g5-selecteur-fermeture-argent-heracles-f-8535-arg_SKU409914.html" TargetMode="External"/><Relationship Id="rId164" Type="http://schemas.openxmlformats.org/officeDocument/2006/relationships/hyperlink" Target="https://www.chausson.fr/materiaux/ossature-plafonds-porteur-dx24-p-598049-1" TargetMode="External"/><Relationship Id="rId165" Type="http://schemas.openxmlformats.org/officeDocument/2006/relationships/hyperlink" Target="https://www.prolians.fr/catalogsearch/result/?q=" TargetMode="External"/><Relationship Id="rId166" Type="http://schemas.openxmlformats.org/officeDocument/2006/relationships/hyperlink" Target="https://www.afdb.fr/prefer-6221-001z-0000-serrure-rideau-metallique-profil-europeen-prefer-6221-001z-0000_SKU218273.html" TargetMode="External"/><Relationship Id="rId167" Type="http://schemas.openxmlformats.org/officeDocument/2006/relationships/hyperlink" Target="https://www.afdb.fr/cherubini-73117004ach00-treuil-vis-fin-10-1-volet-roulant-modele-c10-6p7-afc-zamak-cherubini-73117004ach00_SKU618589.html" TargetMode="External"/><Relationship Id="rId168" Type="http://schemas.openxmlformats.org/officeDocument/2006/relationships/hyperlink" Target="https://www.chausson.fr/quincaillerie/cadenas-type-corps-laiton-40-mm-grade-anse-acier-cemente-cles-thirard-p-152514-1" TargetMode="External"/><Relationship Id="rId169" Type="http://schemas.openxmlformats.org/officeDocument/2006/relationships/hyperlink" Target="https://www.afdb.fr/heracles-i-cad-l40-cadenas-anse-haute-longo-longueur-40-mm-heracles-i-cad-l40_SKU488441.html" TargetMode="External"/><Relationship Id="rId170" Type="http://schemas.openxmlformats.org/officeDocument/2006/relationships/hyperlink" Target="https://www.afdb.fr/dinac-1306100-corniere-angle-25-x-25-mm-adhesive-acier-blanc-3-dinac-1306100_SKU793735.html" TargetMode="External"/><Relationship Id="rId171" Type="http://schemas.openxmlformats.org/officeDocument/2006/relationships/hyperlink" Target="https://www.afdb.fr/ultima-visser-fixer-coller-afb7981az2965-vis-tole-tete-cylindrique-large-acier-zingue-blanc-din-7981-2-9x6-5-boite-500-ultima-afb7981az2965_SKU617054.html" TargetMode="External"/><Relationship Id="rId172" Type="http://schemas.openxmlformats.org/officeDocument/2006/relationships/hyperlink" Target="https://www.afdb.fr/lincoln-electric-france-sas-saf-c11040-12-1-electrode-rutile-6013-acier-2-5-mm-etui-250-pieces-bester-c11040-12-1_SKU839000.html" TargetMode="External"/><Relationship Id="rId173" Type="http://schemas.openxmlformats.org/officeDocument/2006/relationships/hyperlink" Target="https://www.afdb.fr/bosch-2608619257-disque-tronconner-x-lock-metal-125-x-2-5-mm-tronconner-bosch-2608619257_SKU751555.html" TargetMode="External"/><Relationship Id="rId174" Type="http://schemas.openxmlformats.org/officeDocument/2006/relationships/hyperlink" Target="https://www.afdb.fr/sinto-901222-peinture-antirouille-sintofer-0-75-gris-lumineux-sinto-901222_SKU589351.html" TargetMode="External"/><Relationship Id="rId175" Type="http://schemas.openxmlformats.org/officeDocument/2006/relationships/hyperlink" Target="https://www.afdb.fr/novap-4120393-panneau-extincteur-330-x-75-mm-novap-4120393_SKU535476.html" TargetMode="External"/><Relationship Id="rId176" Type="http://schemas.openxmlformats.org/officeDocument/2006/relationships/hyperlink" Target="https://www.afdb.fr/selection-16458-09-extincteur-poudre-abc-6-kg-16458-9_SKU477811.html" TargetMode="External"/><Relationship Id="rId177" Type="http://schemas.openxmlformats.org/officeDocument/2006/relationships/hyperlink" Target="https://www.afdb.fr/novap-4120393-panneau-extincteur-330-x-75-mm-novap-4120393_SKU535476.html" TargetMode="External"/><Relationship Id="rId178" Type="http://schemas.openxmlformats.org/officeDocument/2006/relationships/hyperlink" Target="https://www.prolians.fr/catalogsearch/result/?q=" TargetMode="External"/><Relationship Id="rId179" Type="http://schemas.openxmlformats.org/officeDocument/2006/relationships/hyperlink" Target="https://www.afdb.fr/neutronic-4700-capot-protection-polycarbonate-declencheur-manuel-neutronic-4700_SKU570038.html" TargetMode="External"/><Relationship Id="rId180" Type="http://schemas.openxmlformats.org/officeDocument/2006/relationships/hyperlink" Target="https://www.afdb.fr/heracles-ard-kit-kit-centrale-alarme-heracles-ard-kit_SKU390491.html" TargetMode="External"/><Relationship Id="rId181" Type="http://schemas.openxmlformats.org/officeDocument/2006/relationships/hyperlink" Target="https://www.prolians.fr/catalogsearch/result/?q=57811889" TargetMode="External"/><Relationship Id="rId182" Type="http://schemas.openxmlformats.org/officeDocument/2006/relationships/hyperlink" Target="https://www.afdb.fr/soudal-146752-mousse-pu-soudafoam-fr-hy-manuelle-coupe-feu-750-ml-soudal-146752_SKU550367.html" TargetMode="External"/><Relationship Id="rId183" Type="http://schemas.openxmlformats.org/officeDocument/2006/relationships/hyperlink" Target="https://www.pointp.fr/p/outillage-quincaillerie/mastic-d-etancheite-coupe-feu-pour-joint-de-construction-rubson-A3185095" TargetMode="External"/><Relationship Id="rId184" Type="http://schemas.openxmlformats.org/officeDocument/2006/relationships/hyperlink" Target="https://www.rexel.fr/frx/search?text=" TargetMode="External"/><Relationship Id="rId185" Type="http://schemas.openxmlformats.org/officeDocument/2006/relationships/hyperlink" Target="https://www.pointp.fr/p/platre-isolation-ite/plaque-de-platre-pregydro-ba13-siniat-hydrofuge-2-0x1-2-m-ep-13-mm-A3257627" TargetMode="External"/><Relationship Id="rId186" Type="http://schemas.openxmlformats.org/officeDocument/2006/relationships/hyperlink" Target="https://www.pointp.fr/p/platre-isolation-ite/plaque-de-platre-placoflam-ba-13-2-4x1-2-m-ep-13-mm-A3039149" TargetMode="External"/><Relationship Id="rId187" Type="http://schemas.openxmlformats.org/officeDocument/2006/relationships/hyperlink" Target="https://www.laplateforme.com/catalogue/produit/45734" TargetMode="External"/><Relationship Id="rId188" Type="http://schemas.openxmlformats.org/officeDocument/2006/relationships/hyperlink" Target="https://www.sfic.com/search?q=" TargetMode="External"/><Relationship Id="rId189" Type="http://schemas.openxmlformats.org/officeDocument/2006/relationships/hyperlink" Target="https://www.pointp.fr/p/platre-isolation-ite/montant-metallique-pour-plaque-de-platre-pregymetal-48-35-6-2-A3097973" TargetMode="External"/><Relationship Id="rId190" Type="http://schemas.openxmlformats.org/officeDocument/2006/relationships/hyperlink" Target="https://www.chausson.fr/materiaux/fourrure-placo-stil-f530-plafond-doublage-p-201253-1" TargetMode="External"/><Relationship Id="rId191" Type="http://schemas.openxmlformats.org/officeDocument/2006/relationships/hyperlink" Target="https://www.afdb.fr/pai-sl47nt170-suspente-longue-170-mm-fourrure-17-47-acier-galvanise-epaisseur-0-75-mm-boite-100-pai-sl47nt170_SKU639777.html" TargetMode="External"/><Relationship Id="rId192" Type="http://schemas.openxmlformats.org/officeDocument/2006/relationships/hyperlink" Target="https://www.pointp.fr/p/revetements-sols-et-murs/corniere-egale-pvc-blanc-30x30mm-l-2-6m-A1705220" TargetMode="External"/><Relationship Id="rId193" Type="http://schemas.openxmlformats.org/officeDocument/2006/relationships/hyperlink" Target="https://www.sfic.com/search?q=" TargetMode="External"/><Relationship Id="rId194" Type="http://schemas.openxmlformats.org/officeDocument/2006/relationships/hyperlink" Target="https://www.pointp.fr/p/platre-isolation/panneau-en-laine-de-roche-nu-rockmur-100-1-35x0-6m-r-2-85-m2-k-w-acermi-02-015-021-A7784984" TargetMode="External"/><Relationship Id="rId195" Type="http://schemas.openxmlformats.org/officeDocument/2006/relationships/hyperlink" Target="https://www.pointp.fr/p/platre-isolation-ite/panneau-isolant-pour-ite-therm-itex-th-38-se-pse-blanc-1-2x0-6-m-ep-20-mm-r-0-5-m2-k-w-A3288147" TargetMode="External"/><Relationship Id="rId196" Type="http://schemas.openxmlformats.org/officeDocument/2006/relationships/hyperlink" Target="https://www.pointp.fr/p/platre-isolation-ite/isolant-thermique-airflex-kdb-rouleau-25x1-2-m-ep-10-mm-r-1-48-A1779819" TargetMode="External"/><Relationship Id="rId197" Type="http://schemas.openxmlformats.org/officeDocument/2006/relationships/hyperlink" Target="https://www.afdb.fr/duralex-101100303-enduit-acrylique-lissage-rebouchage-1-kg-duralex-101100303_SKU438515.html" TargetMode="External"/><Relationship Id="rId198" Type="http://schemas.openxmlformats.org/officeDocument/2006/relationships/hyperlink" Target="https://www.afdb.fr/bostik-30604301-enduit-lissage-poudre-sac-2-5-kg-bostik-30604301_SKU738757.html" TargetMode="External"/><Relationship Id="rId199" Type="http://schemas.openxmlformats.org/officeDocument/2006/relationships/hyperlink" Target="https://www.pointp.fr/p/platre-isolation-ite/bande-a-joint-microperforee-et-prepliee-pour-plaque-de-platre-A3178707" TargetMode="External"/><Relationship Id="rId200" Type="http://schemas.openxmlformats.org/officeDocument/2006/relationships/hyperlink" Target="https://www.afdb.fr/pai-ba30-bande-armee-rouleau-30-pai-ba30_SKU740766.html" TargetMode="External"/><Relationship Id="rId201" Type="http://schemas.openxmlformats.org/officeDocument/2006/relationships/hyperlink" Target="https://www.afdb.fr/ultima-visser-fixer-coller-16300001-boite-1000-vis-ttpc-3-5-x-25-mm-fixation-plaques-platre-phillips-ultima-16300001_SKU751496.html" TargetMode="External"/><Relationship Id="rId202" Type="http://schemas.openxmlformats.org/officeDocument/2006/relationships/hyperlink" Target="https://www.pointp.fr/p/quincaillerie/vis-tete-trompette-pointe-clou-25x3-5-boite-de-1000-novipro-A4867819" TargetMode="External"/><Relationship Id="rId203" Type="http://schemas.openxmlformats.org/officeDocument/2006/relationships/hyperlink" Target="https://www.afdb.fr/spit-paslode-spit-050407-cheville-metallique-multi-materiaux-large-expansion-spit-paslode-050407_SKU688871.html" TargetMode="External"/><Relationship Id="rId204" Type="http://schemas.openxmlformats.org/officeDocument/2006/relationships/hyperlink" Target="https://www.afdb.fr/fischer-80188-cheville-bascule-kdh-5-crochet-fischer-80188_SKU591640.html" TargetMode="External"/><Relationship Id="rId205" Type="http://schemas.openxmlformats.org/officeDocument/2006/relationships/hyperlink" Target="https://www.pointp.fr/p/platre-isolation-ite/dalle-de-plafond-minerval-a-blanc-epaisseur-12-mm-600x600-mm-n-A6942791" TargetMode="External"/><Relationship Id="rId206" Type="http://schemas.openxmlformats.org/officeDocument/2006/relationships/hyperlink" Target="https://www.pointp.fr/p/platre-isolation-ite/entretoise-systeme-a-crochet-t24-2854s3001-38x24mm-longueur-1-A6787890" TargetMode="External"/><Relationship Id="rId207" Type="http://schemas.openxmlformats.org/officeDocument/2006/relationships/hyperlink" Target="https://www.afdb.fr/duralex-111100207-peinture-acrylique-duracryl-satin-dx-61-blanc-imperial-15-duralex-111100207_SKU438670.html" TargetMode="External"/><Relationship Id="rId208" Type="http://schemas.openxmlformats.org/officeDocument/2006/relationships/hyperlink" Target="https://www.afdb.fr/duralex-111100207-peinture-acrylique-duracryl-satin-dx-61-blanc-imperial-15-duralex-111100207_SKU438670.html" TargetMode="External"/><Relationship Id="rId209" Type="http://schemas.openxmlformats.org/officeDocument/2006/relationships/hyperlink" Target="https://www.afdb.fr/duralex-128100122-peinture-alkyde-acrylique-pochee-hydrodiluable-garnissant-velours-dx-g-3-duralex-128100122_SKU778641.html" TargetMode="External"/><Relationship Id="rId210" Type="http://schemas.openxmlformats.org/officeDocument/2006/relationships/hyperlink" Target="https://www.afdb.fr/duralex-108100502-laque-brillante-antirouille-finition-caravelle-blanc-1-duralex-108100502_SKU438554.html" TargetMode="External"/><Relationship Id="rId211" Type="http://schemas.openxmlformats.org/officeDocument/2006/relationships/hyperlink" Target="https://www.afdb.fr/sinto-920415-aerosol-couche-400ml-fer-metal-sinto-920415_SKU849280.html" TargetMode="External"/><Relationship Id="rId212" Type="http://schemas.openxmlformats.org/officeDocument/2006/relationships/hyperlink" Target="https://www.pointp.fr/p/revetements-sols-et-murs/peinture-facade-hydro-pliolite-blanc-base-w05-5l-ref-5358530-A7735562" TargetMode="External"/><Relationship Id="rId213" Type="http://schemas.openxmlformats.org/officeDocument/2006/relationships/hyperlink" Target="https://www.laplateforme.com/catalogue/produit/55996" TargetMode="External"/><Relationship Id="rId214" Type="http://schemas.openxmlformats.org/officeDocument/2006/relationships/hyperlink" Target="https://www.chausson.fr/quincaillerie/peinture-sol-trafic-extreme-satin-gris-fonce-25-p-665099-1" TargetMode="External"/><Relationship Id="rId215" Type="http://schemas.openxmlformats.org/officeDocument/2006/relationships/hyperlink" Target="https://www.chausson.fr/quincaillerie/rouleau-peinture-anti-goutte-extra-murs-plafonds-loutil-parfait-largeur-180mm-p-703815-1" TargetMode="External"/><Relationship Id="rId216" Type="http://schemas.openxmlformats.org/officeDocument/2006/relationships/hyperlink" Target="https://www.chausson.fr/quincaillerie/mini-rouleau-manchon-laqueur-velours-pure-laine-4mm-loutil-parfait-largeur-110mm-p-786837-1" TargetMode="External"/><Relationship Id="rId217" Type="http://schemas.openxmlformats.org/officeDocument/2006/relationships/hyperlink" Target="https://www.pointp.fr/p/outillage/manchon-250mm-mat-12mm-3-etoiles-ref-31255-A4175824" TargetMode="External"/><Relationship Id="rId218" Type="http://schemas.openxmlformats.org/officeDocument/2006/relationships/hyperlink" Target="https://www.chausson.fr/quincaillerie/pinceau-brosse-plate-epaisseur-moyenne-loutil-parfait-taille-50-soies-synthetiques-50-mm-p-703834-1" TargetMode="External"/><Relationship Id="rId219" Type="http://schemas.openxmlformats.org/officeDocument/2006/relationships/hyperlink" Target="https://www.chausson.fr/quincaillerie/grille-metal-bac-camion-peinture-loutil-parfait-acier-galvanise-largeur-180-mm-p-703787-1" TargetMode="External"/><Relationship Id="rId220" Type="http://schemas.openxmlformats.org/officeDocument/2006/relationships/hyperlink" Target="https://www.chausson.fr/quincaillerie/perche-telescopique-reglable-monture-rouleau-peinture-creuse-longueur-metres-p-703822-1" TargetMode="External"/><Relationship Id="rId221" Type="http://schemas.openxmlformats.org/officeDocument/2006/relationships/hyperlink" Target="https://www.afdb.fr/3m-101e18-ruban-adhesif-masquage-101e-50-x-18-mm-3m-101e18_SKU587250.html" TargetMode="External"/><Relationship Id="rId222" Type="http://schemas.openxmlformats.org/officeDocument/2006/relationships/hyperlink" Target="https://www.pointp.fr/p/materiaux-gros-oeuvre/film-de-protection-de-facade-ultibat-epaisseur-50&#181;-1x75m-soit-75m&#178;-A4868686" TargetMode="External"/><Relationship Id="rId223" Type="http://schemas.openxmlformats.org/officeDocument/2006/relationships/hyperlink" Target="https://www.afdb.fr/corderies-tournonaises-nbba0030ct-bache-protection-oeillet-4x5m-corderies-tournonaises-48640405_SKU483044.html" TargetMode="External"/><Relationship Id="rId224" Type="http://schemas.openxmlformats.org/officeDocument/2006/relationships/hyperlink" Target="https://www.chausson.fr/quincaillerie/papier-abrasif-perfore-corindon-ponceuse-vibrante-p-237926-1" TargetMode="External"/><Relationship Id="rId225" Type="http://schemas.openxmlformats.org/officeDocument/2006/relationships/hyperlink" Target="https://www.chausson.fr/quincaillerie/lessive-soude-decapage-decollage-debouchage-mieuxa-1l-p-745288-1" TargetMode="External"/><Relationship Id="rId226" Type="http://schemas.openxmlformats.org/officeDocument/2006/relationships/hyperlink" Target="https://www.laplateforme.com/catalogue/produit/2529" TargetMode="External"/><Relationship Id="rId227" Type="http://schemas.openxmlformats.org/officeDocument/2006/relationships/hyperlink" Target="https://www.afdb.fr/dalep-406001-decolleur-papier-peint-affiches-col-1-dalep-406001_SKU852936.html" TargetMode="External"/><Relationship Id="rId228" Type="http://schemas.openxmlformats.org/officeDocument/2006/relationships/hyperlink" Target="https://www.pointp.fr/p/carrelage-interieur/gres-cerame-emaille-arte-deco-carioca-blanc-60-x-60-cm-A4788269" TargetMode="External"/><Relationship Id="rId229" Type="http://schemas.openxmlformats.org/officeDocument/2006/relationships/hyperlink" Target="https://www.chausson.fr/materiaux/decor-faience-murale-effet-beton-cintas-20x60-cm-p-59382-2" TargetMode="External"/><Relationship Id="rId230" Type="http://schemas.openxmlformats.org/officeDocument/2006/relationships/hyperlink" Target="https://www.chausson.fr/materiaux/plinthe-carrelage-effet-parquet-new-derby-betulla-p-425230-1" TargetMode="External"/><Relationship Id="rId231" Type="http://schemas.openxmlformats.org/officeDocument/2006/relationships/hyperlink" Target="https://www.laplateforme.com/catalogue/produit/113449" TargetMode="External"/><Relationship Id="rId232" Type="http://schemas.openxmlformats.org/officeDocument/2006/relationships/hyperlink" Target="https://www.afdb.fr/bostik-30121641-joint-carrelage-fin-terrains-blanc-sac-5-kg-bostik-30121641_SKU738747.html" TargetMode="External"/><Relationship Id="rId233" Type="http://schemas.openxmlformats.org/officeDocument/2006/relationships/hyperlink" Target="https://www.afdb.fr/rubi-02901-sachet-300-croisillons-2-mm-joints-rubi-02901_SKU577850.html" TargetMode="External"/><Relationship Id="rId234" Type="http://schemas.openxmlformats.org/officeDocument/2006/relationships/hyperlink" Target="https://www.chausson.fr/materiaux/natte-desolidarisation-sous-carrelage-ditra-30m-p-199244-1" TargetMode="External"/><Relationship Id="rId235" Type="http://schemas.openxmlformats.org/officeDocument/2006/relationships/hyperlink" Target="https://www.chausson.fr/materiaux/systeme-detancheite-liquide-sous-carrelage-proli-imper-parexgroup-seau-kg-p-734731-1" TargetMode="External"/><Relationship Id="rId236" Type="http://schemas.openxmlformats.org/officeDocument/2006/relationships/hyperlink" Target="https://www.afdb.fr/starwax-pro-996-nettoyant-doux-1-parquets-sols-stratifies-starwax-996_SKU477046.html" TargetMode="External"/><Relationship Id="rId237" Type="http://schemas.openxmlformats.org/officeDocument/2006/relationships/hyperlink" Target="https://www.pointp.fr/p/revetements-sols-et-murs/sous-couche-quick-step-silent-walk-2-en-1-rouleau-de-7m2-ref-qsudlsw7-A6139272" TargetMode="External"/><Relationship Id="rId238" Type="http://schemas.openxmlformats.org/officeDocument/2006/relationships/hyperlink" Target="https://www.afdb.fr/selection-rcp1619-profil-bavette-pvc-plinthe-16-19-mm-translucide-2-60-rcp1619_SKU649588.html" TargetMode="External"/><Relationship Id="rId239" Type="http://schemas.openxmlformats.org/officeDocument/2006/relationships/hyperlink" Target="https://www.pointp.fr/p/decoration-interieure/barre-de-seuil-harmony-multiniveau-pin-oslo-41-93-ref-7721480-A6249310" TargetMode="External"/><Relationship Id="rId240" Type="http://schemas.openxmlformats.org/officeDocument/2006/relationships/hyperlink" Target="https://www.laplateforme.com/catalogue/produit/145840" TargetMode="External"/><Relationship Id="rId241" Type="http://schemas.openxmlformats.org/officeDocument/2006/relationships/hyperlink" Target="https://www.afdb.fr/rust-oleum-3302-0-75-primaire-accrochage-combiprimer-750-ml-rust-oleum-3302-0-75_SKU487178.html" TargetMode="External"/><Relationship Id="rId242" Type="http://schemas.openxmlformats.org/officeDocument/2006/relationships/hyperlink" Target="https://www.pointp.fr/p/menuiseries-interieures/bloc-porte-plane-alveolaire-resineux-prepeint-204x73-cm-poussant-A3495713" TargetMode="External"/><Relationship Id="rId243" Type="http://schemas.openxmlformats.org/officeDocument/2006/relationships/hyperlink" Target="https://www.pointp.fr/p/portes-fenetres-menuiserie/bloc-porte-alveolaire-prepeint-deg-3p110-serrure-pddt-axe-a-50-h-perf-88-54-j3c-e204x93g-A4661731" TargetMode="External"/><Relationship Id="rId244" Type="http://schemas.openxmlformats.org/officeDocument/2006/relationships/hyperlink" Target="https://www.pointp.fr/p/portes-fenetres-menuiserie/bloc-porte-de-service-europro-rev-2-paum-blanc-ral9016-serr-1pt-poign-et-garn-synth-noire-204x83cm-A1971317" TargetMode="External"/><Relationship Id="rId245" Type="http://schemas.openxmlformats.org/officeDocument/2006/relationships/hyperlink" Target="https://www.afdb.fr/bourg-789081-lame-universel-male-huisserie-metallique-droite-35-x-43-mm-acier-zingue-bourg-789081_SKU572453.html" TargetMode="External"/><Relationship Id="rId246" Type="http://schemas.openxmlformats.org/officeDocument/2006/relationships/hyperlink" Target="https://www.chausson.fr/materiaux/tasseau-sapin-nord-bois-traite-classe2-incolore-22mm-45mm-4200mm-p-545946-7" TargetMode="External"/><Relationship Id="rId247" Type="http://schemas.openxmlformats.org/officeDocument/2006/relationships/hyperlink" Target="https://www.chausson.fr/materiaux/panneau-osb-avec-bords-droits-sterlingosb3-zero-1250mm-2500mm-ep18-p-137186-1" TargetMode="External"/><Relationship Id="rId248" Type="http://schemas.openxmlformats.org/officeDocument/2006/relationships/hyperlink" Target="https://www.pointp.fr/p/bois-et-panneaux/mdf-medium-standard-mince-244x122cm-3mm-A6247116" TargetMode="External"/><Relationship Id="rId249" Type="http://schemas.openxmlformats.org/officeDocument/2006/relationships/hyperlink" Target="https://www.chausson.fr/materiaux/plinthe-arrondie-mdf-prepeint-blanc-p-768317-1" TargetMode="External"/><Relationship Id="rId250" Type="http://schemas.openxmlformats.org/officeDocument/2006/relationships/hyperlink" Target="https://www.chausson.fr/materiaux/baguette-arret-pvc-blanc-protection-chants-plaque-ba13-p-90913-1" TargetMode="External"/><Relationship Id="rId251" Type="http://schemas.openxmlformats.org/officeDocument/2006/relationships/hyperlink" Target="https://www.laplateforme.com/catalogue/produit/19700" TargetMode="External"/><Relationship Id="rId252" Type="http://schemas.openxmlformats.org/officeDocument/2006/relationships/hyperlink" Target="https://www.afdb.fr/blum-cou230450bc-coulisse-galets-30-kg-blanc-creme-sortie-simple-450-mm-blum-cou230450bc_SKU393316.html" TargetMode="External"/><Relationship Id="rId253" Type="http://schemas.openxmlformats.org/officeDocument/2006/relationships/hyperlink" Target="https://www.afdb.fr/comtra-verin-oleopneumatique-comtra-azote-finition-noir_SKUM8557.html" TargetMode="External"/><Relationship Id="rId254" Type="http://schemas.openxmlformats.org/officeDocument/2006/relationships/hyperlink" Target="https://www.afdb.fr/selection-155-01-231-poignee-meuble-inox-mat-diametre-10-mm-entraxe-96-mm-155-01-231_SKU761504.html" TargetMode="External"/><Relationship Id="rId255" Type="http://schemas.openxmlformats.org/officeDocument/2006/relationships/hyperlink" Target="https://www.sfic.com/search?q=verre%20feuillete%2044.2" TargetMode="External"/><Relationship Id="rId256" Type="http://schemas.openxmlformats.org/officeDocument/2006/relationships/hyperlink" Target="https://www.chausson.fr/quincaillerie/sikaseal-mensnjf-transp-300ml-p-227213-1" TargetMode="External"/><Relationship Id="rId257" Type="http://schemas.openxmlformats.org/officeDocument/2006/relationships/hyperlink" Target="https://www.afdb.fr/bostik-30602263-ciment-prompt-vicat-sac-1-kg-bostik-30602263_SKU738752.html" TargetMode="External"/><Relationship Id="rId258" Type="http://schemas.openxmlformats.org/officeDocument/2006/relationships/hyperlink" Target="https://www.chausson.fr/materiaux/mortier-sec-m10-obra-pret-gacher-p-430342-1" TargetMode="External"/><Relationship Id="rId259" Type="http://schemas.openxmlformats.org/officeDocument/2006/relationships/hyperlink" Target="https://www.pointp.fr/p/materiaux-gros-oeuvre/beton-sans-malaxage-pret-a-l-emploi-ultibat-prise-rapide-sac-de-25-kg-A4798471" TargetMode="External"/><Relationship Id="rId260" Type="http://schemas.openxmlformats.org/officeDocument/2006/relationships/hyperlink" Target="https://www.afdb.fr/bostik-30602263-ciment-prompt-vicat-sac-1-kg-bostik-30602263_SKU738752.html" TargetMode="External"/><Relationship Id="rId261" Type="http://schemas.openxmlformats.org/officeDocument/2006/relationships/hyperlink" Target="https://www.laplateforme.com/catalogue/produit/82313" TargetMode="External"/><Relationship Id="rId262" Type="http://schemas.openxmlformats.org/officeDocument/2006/relationships/hyperlink" Target="https://www.laplateforme.com/catalogue/produit/34632" TargetMode="External"/><Relationship Id="rId263" Type="http://schemas.openxmlformats.org/officeDocument/2006/relationships/hyperlink" Target="https://www.chausson.fr/materiaux/agglo-creux-ch-vrt-nf-20x20x45-p-442479-1" TargetMode="External"/><Relationship Id="rId264" Type="http://schemas.openxmlformats.org/officeDocument/2006/relationships/hyperlink" Target="https://www.chausson.fr/materiaux/brique-cloison-platriere-biobric-p-376650-1" TargetMode="External"/><Relationship Id="rId265" Type="http://schemas.openxmlformats.org/officeDocument/2006/relationships/hyperlink" Target="https://www.afdb.fr/lafarge-platres-96337-carreaux-platre-hydrofuge-lafarge-96337_SKU391995.html" TargetMode="External"/><Relationship Id="rId266" Type="http://schemas.openxmlformats.org/officeDocument/2006/relationships/hyperlink" Target="https://www.chausson.fr/materiaux/treillis-soude-structure-p-343388-1" TargetMode="External"/><Relationship Id="rId267" Type="http://schemas.openxmlformats.org/officeDocument/2006/relationships/hyperlink" Target="https://www.chausson.fr/materiaux/barre-fer-beton-torsadee-acier-hle-10mm-6ml-p-156-1" TargetMode="External"/><Relationship Id="rId268" Type="http://schemas.openxmlformats.org/officeDocument/2006/relationships/hyperlink" Target="https://www.afdb.fr/selection-fisttr25k320-film-batiment-polyethylene-etanche-200-3-110-fisttr25k320_SKU746130.html" TargetMode="External"/><Relationship Id="rId269" Type="http://schemas.openxmlformats.org/officeDocument/2006/relationships/hyperlink" Target="https://www.laplateforme.com/catalogue/produit/113467" TargetMode="External"/><Relationship Id="rId270" Type="http://schemas.openxmlformats.org/officeDocument/2006/relationships/hyperlink" Target="https://www.chausson.fr/materiaux/membrane-etancheite-toiture-terrasse-hyrene-25-25-ts-rlx-1m-7ml-p-576414-1" TargetMode="External"/><Relationship Id="rId271" Type="http://schemas.openxmlformats.org/officeDocument/2006/relationships/hyperlink" Target="https://www.chausson.fr/quincaillerie/sac-gravats-baobag-polyethylene-bd-microns-75litres-noir-p-201875-1" TargetMode="External"/><Relationship Id="rId272" Type="http://schemas.openxmlformats.org/officeDocument/2006/relationships/hyperlink" Target="https://www.pointp.fr/p/materiaux-bois-gros-oeuvre/big-bag-point-p-4-faces-oranges-volume-maxi-200l-1-5m3-resistance-A6859160" TargetMode="External"/><Relationship Id="rId273" Type="http://schemas.openxmlformats.org/officeDocument/2006/relationships/hyperlink" Target="https://www.afdb.fr/ultima-visser-fixer-coller-ccaf02-resine-scellement-chimique-hybride-beton-300-ml-ultima-ccaf02_SKU756860.html" TargetMode="External"/><Relationship Id="rId274" Type="http://schemas.openxmlformats.org/officeDocument/2006/relationships/hyperlink" Target="https://www.afdb.fr/ultima-visser-fixer-coller-tige-filetee-inox-a2-din-976-1-m10-ultima-6265010_SKU668479.html" TargetMode="External"/><Relationship Id="rId275" Type="http://schemas.openxmlformats.org/officeDocument/2006/relationships/hyperlink" Target="https://www.afdb.fr/ultima-visser-fixer-coller-afb112404016b-vis-bois-agglomeres-tete-fraisee-torx-inox-a2-4x40-24-boite-200-ultima-12640040_SKU582042.html" TargetMode="External"/><Relationship Id="rId276" Type="http://schemas.openxmlformats.org/officeDocument/2006/relationships/hyperlink" Target="https://www.afdb.fr/ultima-visser-fixer-coller-afb102503016b-vis-bois-agglomeres-tete-fraisee-pozidriv-inox-a2-5x30-boite-100-ultima-12550030_SKU582008.html" TargetMode="External"/><Relationship Id="rId277" Type="http://schemas.openxmlformats.org/officeDocument/2006/relationships/hyperlink" Target="https://www.afdb.fr/ultima-visser-fixer-coller-afb7504k6325-vis-auto-perceuse-tete-hexagonale-embase-zingue-din-7504-k-6-3x25-boite-250-ultima-15563254_SKU590317.html" TargetMode="External"/><Relationship Id="rId278" Type="http://schemas.openxmlformats.org/officeDocument/2006/relationships/hyperlink" Target="https://www.afdb.fr/acton-621016x40-vis-metaux-tete-hexagonale-inox-a2-classe-8-8-din-933-6x40-boite-200-acton-621016x40_SKU562569.html" TargetMode="External"/><Relationship Id="rId279" Type="http://schemas.openxmlformats.org/officeDocument/2006/relationships/hyperlink" Target="https://www.pointp.fr/p/outillage-quincaillerie/tirefond-8x80-mm-32-pieces-A1588181" TargetMode="External"/><Relationship Id="rId280" Type="http://schemas.openxmlformats.org/officeDocument/2006/relationships/hyperlink" Target="https://www.afdb.fr/scell-it-ds08-cheville-expansion-nylon-collerette-8-x-40-mm-boite-100-scell-it-ds08_SKU439272.html" TargetMode="External"/><Relationship Id="rId281" Type="http://schemas.openxmlformats.org/officeDocument/2006/relationships/hyperlink" Target="https://www.afdb.fr/fischer-50354-chevilles-frapper-ns-nylon-6x40-boite-50-fischer-50354_SKU058189.html" TargetMode="External"/><Relationship Id="rId282" Type="http://schemas.openxmlformats.org/officeDocument/2006/relationships/hyperlink" Target="https://www.afdb.fr/spit-x-trem-058618-goujon-ancrage-fix-z-xtrem-m8x90-40-27-a4-boite-50-spit-058618_SKU787930.html" TargetMode="External"/><Relationship Id="rId283" Type="http://schemas.openxmlformats.org/officeDocument/2006/relationships/hyperlink" Target="https://www.afdb.fr/spit-565012-tamis-plastique-12x45-m6-m8-boite-10-spit-565012_SKU647107.html" TargetMode="External"/><Relationship Id="rId284" Type="http://schemas.openxmlformats.org/officeDocument/2006/relationships/hyperlink" Target="https://www.afdb.fr/ultima-visser-fixer-coller-afb9888060-boulon-tete-hexagonale-acier-zingue-blanc-classe-8-8-din-931-934-8x60-bte100-ultima-afb9888060_SKU590440.html" TargetMode="External"/><Relationship Id="rId285" Type="http://schemas.openxmlformats.org/officeDocument/2006/relationships/hyperlink" Target="https://www.afdb.fr/ultima-visser-fixer-coller-afb9858-ecrou-frein-nylstop-zingue-classe-8-m8-boite-200-ultima-afb9858_SKU582228.html" TargetMode="External"/><Relationship Id="rId286" Type="http://schemas.openxmlformats.org/officeDocument/2006/relationships/hyperlink" Target="https://www.afdb.fr/20427-rondelle-plate-m8x18x1-5-50001174-000_SKU121705.html" TargetMode="External"/><Relationship Id="rId287" Type="http://schemas.openxmlformats.org/officeDocument/2006/relationships/hyperlink" Target="https://www.chausson.fr/quincaillerie/equerre-fixation-nervuree-cqfd-pans-70x70x30-mm-epaisseur-015-mm-acier-zingue-p-722135-1" TargetMode="External"/><Relationship Id="rId288" Type="http://schemas.openxmlformats.org/officeDocument/2006/relationships/hyperlink" Target="https://www.afdb.fr/ing-fixations-a853035-cheville-sabot-charpente-ing-fixations-a853035_SKU409613.html" TargetMode="External"/><Relationship Id="rId289" Type="http://schemas.openxmlformats.org/officeDocument/2006/relationships/hyperlink" Target="https://www.pointp.fr/p/platre-isolation-ite/feuillard-perfore-rouleau-de-100m-fp7-A3378574" TargetMode="External"/><Relationship Id="rId290" Type="http://schemas.openxmlformats.org/officeDocument/2006/relationships/hyperlink" Target="https://www.afdb.fr/bostik-30613629-mastic-acrylique-etancheite-acryl-blanc-cartouche-310-ml-bostik-30613629_SKU794044.html" TargetMode="External"/><Relationship Id="rId291" Type="http://schemas.openxmlformats.org/officeDocument/2006/relationships/hyperlink" Target="https://www.afdb.fr/selection-sanitaire-b-mastic-silicone-sanitaire-blanc-ms305-blanc_SKU515418.html" TargetMode="External"/><Relationship Id="rId292" Type="http://schemas.openxmlformats.org/officeDocument/2006/relationships/hyperlink" Target="https://www.afdb.fr/soudal-110980-mastic-colle-polymere-hybride-fix-all-crystal-cartouche-290-ml-soudal-110980_SKU550384.html" TargetMode="External"/><Relationship Id="rId293" Type="http://schemas.openxmlformats.org/officeDocument/2006/relationships/hyperlink" Target="https://www.afdb.fr/ultima-visser-fixer-coller-127298-mousse-polyurethane-aerosol-manuelle-750-ml-ultima-16090_SKU607913.html" TargetMode="External"/><Relationship Id="rId294" Type="http://schemas.openxmlformats.org/officeDocument/2006/relationships/hyperlink" Target="https://www.afdb.fr/pattex-1419285-colle-neoprene-contact-gel-bidon-4-25-kg-pattex-1419285_SKU576314.html" TargetMode="External"/><Relationship Id="rId295" Type="http://schemas.openxmlformats.org/officeDocument/2006/relationships/hyperlink" Target="https://www.pointp.fr/p/outillage-quincaillerie/jugulaire-de-casque-cuir-A1362797" TargetMode="External"/><Relationship Id="rId296" Type="http://schemas.openxmlformats.org/officeDocument/2006/relationships/hyperlink" Target="https://www.pointp.fr/p/equipement-de-protection-securite/chaussures-securite-modele-bas-t45-seoul-novipro-A4932483" TargetMode="External"/><Relationship Id="rId297" Type="http://schemas.openxmlformats.org/officeDocument/2006/relationships/hyperlink" Target="https://www.pointp.fr/p/equipement-de-protection-securite/gant-manutention-de-precision-milieu-sec-tous-travaux-taille-8-novipro-A4632558" TargetMode="External"/><Relationship Id="rId298" Type="http://schemas.openxmlformats.org/officeDocument/2006/relationships/hyperlink" Target="https://www.prolians.fr/catalogsearch/result/?q=" TargetMode="External"/><Relationship Id="rId299" Type="http://schemas.openxmlformats.org/officeDocument/2006/relationships/hyperlink" Target="https://www.afdb.fr/selection-boite-20-masques-pliables-jetables-ffp2-nr-valve-bfe-95-masques11_SKU780031.html" TargetMode="External"/><Relationship Id="rId300" Type="http://schemas.openxmlformats.org/officeDocument/2006/relationships/hyperlink" Target="https://www.pointp.fr/p/outils-equipement-accessoires/casque-antibruit-silver-27-ref-28103-A7500890" TargetMode="External"/><Relationship Id="rId301" Type="http://schemas.openxmlformats.org/officeDocument/2006/relationships/hyperlink" Target="https://www.chausson.fr/quincaillerie/kit-harnais-antichute-levac-special-nacelle-avec-longe-retenue-mousquetons-p-744461-1" TargetMode="External"/><Relationship Id="rId302" Type="http://schemas.openxmlformats.org/officeDocument/2006/relationships/hyperlink" Target="https://www.chausson.fr/quincaillerie/gilet-jaune-haute-visibilite-yard-avec-fermeture-centrale-scratchs-taille-xl-p-80563-1" TargetMode="External"/><Relationship Id="rId303" Type="http://schemas.openxmlformats.org/officeDocument/2006/relationships/hyperlink" Target="https://www.pointp.fr/p/outils-equipement-accessoires/disque-diamant-segments-soudes-laser-materiaux-de-construction-novipro-diametre-125-x-22-2-hauteur-segments-10-mm-ref-70184609589-A6008397" TargetMode="External"/><Relationship Id="rId304" Type="http://schemas.openxmlformats.org/officeDocument/2006/relationships/hyperlink" Target="https://www.afdb.fr/hanger-155721-foret-beton-sds-plus-4-taillants-diametre-5-x-110-mm-hanger-thor-155721_SKU749782.html" TargetMode="External"/><Relationship Id="rId305" Type="http://schemas.openxmlformats.org/officeDocument/2006/relationships/hyperlink" Target="https://www.afdb.fr/bosch-1213529-assortiment-3-embouts-vissage-courts-qualite-extra-dure-ph2-pz2-s1x5-5-25-mm-bosch-2607001766_SKU116236.html" TargetMode="External"/><Relationship Id="rId306" Type="http://schemas.openxmlformats.org/officeDocument/2006/relationships/hyperlink" Target="https://www.chausson.fr/quincaillerie/lame-scie-sauteuse-bois-pvc-hcs-11-makita-coupe-fine-grossiere-lot-p-776723-1" TargetMode="External"/><Relationship Id="rId307" Type="http://schemas.openxmlformats.org/officeDocument/2006/relationships/hyperlink" Target="https://www.pointp.fr/p/outils-equipement-accessoires/lame-de-cutter-secable-paquet-de-10-pcs-A3644659" TargetMode="External"/><Relationship Id="rId308" Type="http://schemas.openxmlformats.org/officeDocument/2006/relationships/hyperlink" Target="https://www.afdb.fr/eurocel-031302357-ruban-adhesif-toile-orange-50-mm-x-25-eurocel-031302357_SKU487001.html" TargetMode="External"/><Relationship Id="rId309" Type="http://schemas.openxmlformats.org/officeDocument/2006/relationships/hyperlink" Target="https://www.afdb.fr/proust-b1-chiffon-essuyage-blanc-optique-coton-qualite-10-kg-proust-b1_SKU482489.html" TargetMode="External"/><Relationship Id="rId310" Type="http://schemas.openxmlformats.org/officeDocument/2006/relationships/hyperlink" Target="https://www.afdb.fr/toussac-sac130150-100-sacs-poubelle-noirs-130-pebd-standard-toussac-sac130150_SKU449333.html" TargetMode="External"/><Relationship Id="rId311" Type="http://schemas.openxmlformats.org/officeDocument/2006/relationships/hyperlink" Target="https://www.afdb.fr/taliaplast-540501-ruban-signalisation-rouge-blanc-500-x-50-mm-taliaplast-540501_SKU121858.html" TargetMode="External"/><Relationship Id="rId312" Type="http://schemas.openxmlformats.org/officeDocument/2006/relationships/hyperlink" Target="https://www.afdb.fr/novap-3225341-cone-chantier-pebd-h50-orange-bandes-fluo-novap-3225341_SKU785643.html" TargetMode="External"/><Relationship Id="rId313" Type="http://schemas.openxmlformats.org/officeDocument/2006/relationships/hyperlink" Target="https://www.chausson.fr/quincaillerie/barriere-chantier-sirl-rouge-blanche-acier-p-666816-1" TargetMode="External"/><Relationship Id="rId314" Type="http://schemas.openxmlformats.org/officeDocument/2006/relationships/hyperlink" Target="https://www.pointp.fr/p/outils-equipement-accessoires/forets-sds-plus-5-pour-perforateur-8x100x165mm-ref-1618596173-A1327839" TargetMode="External"/><Relationship Id="rId315" Type="http://schemas.openxmlformats.org/officeDocument/2006/relationships/hyperlink" Target="https://www.pointp.fr/p/outillage/perceuse-visseuse-a-percussion-bpd-12-volts-sans-batterie-A3996251" TargetMode="External"/><Relationship Id="rId316" Type="http://schemas.openxmlformats.org/officeDocument/2006/relationships/hyperlink" Target="https://www.pointp.fr/p/outillage-quincaillerie/disque-a-tronconner-blue-pro-200-metal-diam-125x1-6mm-A1214128" TargetMode="External"/><Relationship Id="rId317" Type="http://schemas.openxmlformats.org/officeDocument/2006/relationships/hyperlink" Target="https://www.pointp.fr/p/outillage/lame-de-scie-circulaire-diametre-190mm-18-dents-ref-752436-A6692018" TargetMode="External"/><Relationship Id="rId318" Type="http://schemas.openxmlformats.org/officeDocument/2006/relationships/hyperlink" Target="https://www.afdb.fr/milwaukee-4933447480-aspirateur-chantier-1000-w-2-250-elcp-25-boite-carton-milwaukee-4933447480_SKU827658.html" TargetMode="External"/><Relationship Id="rId319" Type="http://schemas.openxmlformats.org/officeDocument/2006/relationships/hyperlink" Target="https://www.chausson.fr/quincaillerie/telemetre-laser-edt40m-edia-635nm-portee-40metres-p-597162-1" TargetMode="External"/><Relationship Id="rId320" Type="http://schemas.openxmlformats.org/officeDocument/2006/relationships/hyperlink" Target="https://www.chausson.fr/quincaillerie/niveau-laser-croix-edia-edcr30m-rouge-pile-filetage-p-597164-1" TargetMode="External"/><Relationship Id="rId321" Type="http://schemas.openxmlformats.org/officeDocument/2006/relationships/hyperlink" Target="https://www.pointp.fr/p/outils-equipement-accessoires/metre-a-ruban-rubiflex-5mx19mm-75901-A3987511" TargetMode="External"/><Relationship Id="rId322" Type="http://schemas.openxmlformats.org/officeDocument/2006/relationships/hyperlink" Target="https://www.afdb.fr/wilmart-522006-niveau-tubulaire-aluminium-100-cm-wilmart-522006_SKU622802.html" TargetMode="External"/><Relationship Id="rId323" Type="http://schemas.openxmlformats.org/officeDocument/2006/relationships/hyperlink" Target="https://www.pointp.fr/p/electricite-ventilation/multimetre-numerique-tt118-A3762420" TargetMode="External"/><Relationship Id="rId324" Type="http://schemas.openxmlformats.org/officeDocument/2006/relationships/hyperlink" Target="https://www.prolians.fr/catalogsearch/result/?q=" TargetMode="External"/><Relationship Id="rId325" Type="http://schemas.openxmlformats.org/officeDocument/2006/relationships/hyperlink" Target="https://www.prolians.fr/catalogsearch/result/?q=" TargetMode="External"/><Relationship Id="rId326" Type="http://schemas.openxmlformats.org/officeDocument/2006/relationships/hyperlink" Target="https://www.prolians.fr/catalogsearch/result/?q=" TargetMode="External"/><Relationship Id="rId327" Type="http://schemas.openxmlformats.org/officeDocument/2006/relationships/hyperlink" Target="https://www.chausson.fr/quincaillerie/tournevis-phillips-softfinish-isole-1000-ph1-80-mm-p-759517-1" TargetMode="External"/><Relationship Id="rId328" Type="http://schemas.openxmlformats.org/officeDocument/2006/relationships/hyperlink" Target="https://www.pointp.fr/p/materiel-de-chantier/escabeau-theard-escadouble-3-marches-ref-29403-A4787987" TargetMode="External"/><Relationship Id="rId329" Type="http://schemas.openxmlformats.org/officeDocument/2006/relationships/hyperlink" Target="https://www.chausson.fr/quincaillerie/echelle-telescopique-xscopic-3m80-p-307798-1" TargetMode="External"/><Relationship Id="rId330" Type="http://schemas.openxmlformats.org/officeDocument/2006/relationships/hyperlink" Target="https://www.afdb.fr/stihl-4229-120-1800-filtre-air-souffleur-stihl-4229-120-1800_SKU653072.html" TargetMode="External"/><Relationship Id="rId331" Type="http://schemas.openxmlformats.org/officeDocument/2006/relationships/hyperlink" Target="https://www.rexel.fr/frx/search?text=" TargetMode="External"/><Relationship Id="rId332" Type="http://schemas.openxmlformats.org/officeDocument/2006/relationships/hyperlink" Target="https://www.afdb.fr/festool-493062-roulement-billes-butee-d16-festool-493062_SKU823530.html" TargetMode="External"/><Relationship Id="rId333" Type="http://schemas.openxmlformats.org/officeDocument/2006/relationships/hyperlink" Target="https://www.rexel.fr/frx/search?text=" TargetMode="External"/><Relationship Id="rId334" Type="http://schemas.openxmlformats.org/officeDocument/2006/relationships/hyperlink" Target="https://www.afdb.fr/legrand-412523-contacteur-puissance-cx-2p-250-v-25-1-module-legrand-412523_SKU513834.html" TargetMode="External"/><Relationship Id="rId335" Type="http://schemas.openxmlformats.org/officeDocument/2006/relationships/hyperlink" Target="https://www.afdb.fr/kf-6055-degrippant-lubrifiant-haute-performance-bx-112-aerosol-650-ml-400-ml-kf-6055_SKU550887.html" TargetMode="External"/><Relationship Id="rId336" Type="http://schemas.openxmlformats.org/officeDocument/2006/relationships/hyperlink" Target="https://www.afdb.fr/stihl-tube-graisse-multi-usages-stihl-multilub-225-g-0781-120-1110_SKUM90797.html" TargetMode="External"/><Relationship Id="rId337" Type="http://schemas.openxmlformats.org/officeDocument/2006/relationships/hyperlink" Target="https://www.pointp.fr/p/outillage-quincaillerie/wd-40-specialist-nettoyant-contacts-400ml-ref-33368-A3827037" TargetMode="External"/><Relationship Id="rId338" Type="http://schemas.openxmlformats.org/officeDocument/2006/relationships/hyperlink" Target="https://www.afdb.fr/karcher-26377670-kit-debouche-canalisations-15-karcher-26377670_SKU788832.html" TargetMode="External"/><Relationship Id="rId339" Type="http://schemas.openxmlformats.org/officeDocument/2006/relationships/hyperlink" Target="https://www.prolians.fr/catalogsearch/result/?q=63435252" TargetMode="External"/><Relationship Id="rId340" Type="http://schemas.openxmlformats.org/officeDocument/2006/relationships/hyperlink" Target="https://www.afdb.fr/merkur-101183-filtre-anticalcaire-auto-nettoyant-aquanet-3-merkur-101183_SKU432947.html" TargetMode="External"/><Relationship Id="rId341" Type="http://schemas.openxmlformats.org/officeDocument/2006/relationships/hyperlink" Target="https://www.afdb.fr/varta-546597-piles-alcalines-high-energy-lr6-1-5-v-aa-varta-4906121428_SKU767561.html" TargetMode="External"/><Relationship Id="rId342" Type="http://schemas.openxmlformats.org/officeDocument/2006/relationships/hyperlink" Target="https://www.afdb.fr/varta-pile-lithium-cr123-x-1-3-v-1430-mah-varta_SKU789852.html" TargetMode="External"/><Relationship Id="rId343" Type="http://schemas.openxmlformats.org/officeDocument/2006/relationships/hyperlink" Target="https://www.afdb.fr/milwaukee-niveau-laser-2-lignes-4v-milwaukee-l4-cllp-301c-aplomb-batterie-3-ah-4933478099_SKUM123693.html" TargetMode="External"/><Relationship Id="rId344"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https://www.afdb.fr/gewiss-gw90606f-disjoncteur-fixmatic-auto-10-courbe-phase-neutre-gewiss-gw90606f_SKU753206.html" TargetMode="External"/><Relationship Id="rId2" Type="http://schemas.openxmlformats.org/officeDocument/2006/relationships/hyperlink" Target="https://www.rexel.fr/frx/search?text=" TargetMode="External"/><Relationship Id="rId3" Type="http://schemas.openxmlformats.org/officeDocument/2006/relationships/hyperlink" Target="https://www.rexel.fr/frx/search?text=" TargetMode="External"/><Relationship Id="rId4" Type="http://schemas.openxmlformats.org/officeDocument/2006/relationships/hyperlink" Target="https://www.afdb.fr/gewiss-gw90607-disjoncteur-16-courbe-phase-neutre-gewiss-gw90607_SKU753207.html" TargetMode="External"/><Relationship Id="rId5" Type="http://schemas.openxmlformats.org/officeDocument/2006/relationships/hyperlink" Target="https://www.afdb.fr/gewiss-gw90608-disjoncteur-20-courbe-phase-neutre-gewiss-gw90608_SKU753209.html" TargetMode="External"/><Relationship Id="rId6" Type="http://schemas.openxmlformats.org/officeDocument/2006/relationships/hyperlink" Target="https://www.rexel.fr/frx/search?text=" TargetMode="External"/><Relationship Id="rId7" Type="http://schemas.openxmlformats.org/officeDocument/2006/relationships/hyperlink" Target="https://www.afdb.fr/gewiss-gw90610-disjoncteur-32-courbe-phase-neutre-gewiss-gw90610_SKU753211.html" TargetMode="External"/><Relationship Id="rId8" Type="http://schemas.openxmlformats.org/officeDocument/2006/relationships/hyperlink" Target="https://www.rexel.fr/frx/search?text=" TargetMode="External"/><Relationship Id="rId9" Type="http://schemas.openxmlformats.org/officeDocument/2006/relationships/hyperlink" Target="https://www.afdb.fr/schneider-electric-disjoncteur-acti9-ic60n-4p-courbe-32-schneider-electric-a9f77432_SKU610554.html" TargetMode="External"/><Relationship Id="rId10" Type="http://schemas.openxmlformats.org/officeDocument/2006/relationships/hyperlink" Target="https://www.rexel.fr/frx/search?text=" TargetMode="External"/><Relationship Id="rId11" Type="http://schemas.openxmlformats.org/officeDocument/2006/relationships/hyperlink" Target="https://www.chausson.fr/materiaux/interrupteur-differentiel-schneider-resi9-type-ac-peignable-alim-bas-2p-40a-30ma-p-105552-1" TargetMode="External"/><Relationship Id="rId12" Type="http://schemas.openxmlformats.org/officeDocument/2006/relationships/hyperlink" Target="https://www.afdb.fr/legrand-411611-interrupteur-differentiel-dx-id-2p-230-v-40-type-ac-30-legrand-411611_SKU513754.html" TargetMode="External"/><Relationship Id="rId13" Type="http://schemas.openxmlformats.org/officeDocument/2006/relationships/hyperlink" Target="https://www.chausson.fr/materiaux/interrupteur-differentiel-schneider-resi9-typea-peignable-alim-bas-2p-63a-30ma-p-105551-1" TargetMode="External"/><Relationship Id="rId14" Type="http://schemas.openxmlformats.org/officeDocument/2006/relationships/hyperlink" Target="https://www.afdb.fr/legrand-411676-interrupteur-differentiel-dx3-id-4pg-63-type-30-legrand-411676_SKU513789.html" TargetMode="External"/><Relationship Id="rId15" Type="http://schemas.openxmlformats.org/officeDocument/2006/relationships/hyperlink" Target="https://www.rexel.fr/frx/search?text=" TargetMode="External"/><Relationship Id="rId16" Type="http://schemas.openxmlformats.org/officeDocument/2006/relationships/hyperlink" Target="https://www.afdb.fr/schneider-electric-r9pdcf20-disjoncteur-differentiel-resi9-1p-30ma-courbe-type-fsi-20a-schneider-electric-r9pdcf20_SKU750704.html" TargetMode="External"/><Relationship Id="rId17" Type="http://schemas.openxmlformats.org/officeDocument/2006/relationships/hyperlink" Target="https://www.rexel.fr/frx/search?text=" TargetMode="External"/><Relationship Id="rId18" Type="http://schemas.openxmlformats.org/officeDocument/2006/relationships/hyperlink" Target="https://www.rexel.fr/frx/search?text=" TargetMode="External"/><Relationship Id="rId19" Type="http://schemas.openxmlformats.org/officeDocument/2006/relationships/hyperlink" Target="https://www.afdb.fr/schneider-electric-vcf2ge-interrupteur-sectionneur-tesys-vario-vcf-coffret-3p-32-schneider-electric-vcf2ge_SKU647531.html" TargetMode="External"/><Relationship Id="rId20" Type="http://schemas.openxmlformats.org/officeDocument/2006/relationships/hyperlink" Target="https://www.chausson.fr/quincaillerie/contacteur-jour-nuit-intensite-20a-tension-module-bornes-acier-zingue-gris-p-699671-1" TargetMode="External"/><Relationship Id="rId21" Type="http://schemas.openxmlformats.org/officeDocument/2006/relationships/hyperlink" Target="https://www.rexel.fr/frx/search?text=" TargetMode="External"/><Relationship Id="rId22" Type="http://schemas.openxmlformats.org/officeDocument/2006/relationships/hyperlink" Target="https://www.chausson.fr/quincaillerie/telerupteur-modulaire-unipolaire-schneider-resi9-p-105555-1" TargetMode="External"/><Relationship Id="rId23" Type="http://schemas.openxmlformats.org/officeDocument/2006/relationships/hyperlink" Target="https://www.pointp.fr/p/outillage-quincaillerie/telerupteur-unipolaire-16-amperes-bobine-230-volts-ref-92700-A3098938" TargetMode="External"/><Relationship Id="rId24" Type="http://schemas.openxmlformats.org/officeDocument/2006/relationships/hyperlink" Target="https://www.rexel.fr/frx/search?text=" TargetMode="External"/><Relationship Id="rId25" Type="http://schemas.openxmlformats.org/officeDocument/2006/relationships/hyperlink" Target="https://www.afdb.fr/legrand-412602-minuterie-modulaire-230-v-50-60-hz-sortie-16-250-v-1-module-legrand-412602_SKU513852.html" TargetMode="External"/><Relationship Id="rId26" Type="http://schemas.openxmlformats.org/officeDocument/2006/relationships/hyperlink" Target="https://www.rexel.fr/frx/search?text=" TargetMode="External"/><Relationship Id="rId27" Type="http://schemas.openxmlformats.org/officeDocument/2006/relationships/hyperlink" Target="https://www.afdb.fr/theben-1800001-horloge-programmable-analogique-sul-180-1-canal-theben-1800001_SKU172476.html" TargetMode="External"/><Relationship Id="rId28" Type="http://schemas.openxmlformats.org/officeDocument/2006/relationships/hyperlink" Target="https://www.afdb.fr/legrand-404926-peigne-alimentation-universel-phase-neutre-hx-vx-horizontale-1-p-13-modules-legrand-404926_SKU514369.html" TargetMode="External"/><Relationship Id="rId29" Type="http://schemas.openxmlformats.org/officeDocument/2006/relationships/hyperlink" Target="https://www.chausson.fr/quincaillerie/peigne-monobloc-horizontal-schneider-resi9-8modules-p-182734-1" TargetMode="External"/><Relationship Id="rId30" Type="http://schemas.openxmlformats.org/officeDocument/2006/relationships/hyperlink" Target="https://www.afdb.fr/gewiss-gw40103-coffret-etanche-ip65-400-v-12-modules-gewiss-gw40103_SKU668371.html" TargetMode="External"/><Relationship Id="rId31" Type="http://schemas.openxmlformats.org/officeDocument/2006/relationships/hyperlink" Target="https://www.chausson.fr/quincaillerie/mini-coffret-etanche-schneider-kaedra-appareillage-modulaire-saillie-12modules-gris-clair-ip65-p-105574-1" TargetMode="External"/><Relationship Id="rId32" Type="http://schemas.openxmlformats.org/officeDocument/2006/relationships/hyperlink" Target="https://www.rexel.fr/frx/search?text=" TargetMode="External"/><Relationship Id="rId33" Type="http://schemas.openxmlformats.org/officeDocument/2006/relationships/hyperlink" Target="https://www.afdb.fr/legrand-400401-repartiteur-modulaire-barreaux-etages-xl-ik05-bipolaire-100a-6-departs-4-modules-nouveau-modele-legrand-400401_SKU788768.html" TargetMode="External"/><Relationship Id="rId34" Type="http://schemas.openxmlformats.org/officeDocument/2006/relationships/hyperlink" Target="https://www.rexel.fr/frx/search?text=" TargetMode="External"/><Relationship Id="rId35" Type="http://schemas.openxmlformats.org/officeDocument/2006/relationships/hyperlink" Target="https://www.afdb.fr/legrand-004832-bornier-repartition-isole-8-connexions-1-5-mm-16-mm-terre-legrand-004832_SKU410512.html" TargetMode="External"/><Relationship Id="rId36" Type="http://schemas.openxmlformats.org/officeDocument/2006/relationships/hyperlink" Target="https://www.rexel.fr/frx/search?text=" TargetMode="External"/><Relationship Id="rId37" Type="http://schemas.openxmlformats.org/officeDocument/2006/relationships/hyperlink" Target="https://www.afdb.fr/fils-cables-cable-rigide-u-1000-r2v-3g1-5-mm-10-noir-fils-cables-20218275c_SKU552674.html" TargetMode="External"/><Relationship Id="rId38" Type="http://schemas.openxmlformats.org/officeDocument/2006/relationships/hyperlink" Target="https://www.pointp.fr/p/electricite-ventilation/cable-rigide-u-1000-r2v-3g1-5-couronne-de-25-metres-A7758130" TargetMode="External"/><Relationship Id="rId39" Type="http://schemas.openxmlformats.org/officeDocument/2006/relationships/hyperlink" Target="https://www.afdb.fr/fils-cables-cable-rigide-u-1000-r2v-3g2-5-mm-10-noir-fils-cables-20218285c_SKU552676.html" TargetMode="External"/><Relationship Id="rId40" Type="http://schemas.openxmlformats.org/officeDocument/2006/relationships/hyperlink" Target="https://www.pointp.fr/p/electricite-plomberie-vmc/cable-rigide-u-1000-r2v-3g2-5-couronne-de-50-metres-nx-tag-A4293393" TargetMode="External"/><Relationship Id="rId41" Type="http://schemas.openxmlformats.org/officeDocument/2006/relationships/hyperlink" Target="https://www.pointp.fr/p/electricite-plomberie-sanitaire/fil-electrique-h07v-u-passeo-1x1-5-bleu-le-rouleau-100m-ref-10269975-A7598193" TargetMode="External"/><Relationship Id="rId42" Type="http://schemas.openxmlformats.org/officeDocument/2006/relationships/hyperlink" Target="https://www.rexel.fr/frx/search?text=" TargetMode="External"/><Relationship Id="rId43" Type="http://schemas.openxmlformats.org/officeDocument/2006/relationships/hyperlink" Target="https://www.pointp.fr/p/electricite-plomberie-sanitaire/fil-electrique-de-phase-noir-h07v-u-conducteur-2-5-mm2-450-750-A3272318" TargetMode="External"/><Relationship Id="rId44" Type="http://schemas.openxmlformats.org/officeDocument/2006/relationships/hyperlink" Target="https://www.rexel.fr/frx/search?text=" TargetMode="External"/><Relationship Id="rId45" Type="http://schemas.openxmlformats.org/officeDocument/2006/relationships/hyperlink" Target="https://www.rexel.fr/frx/search?text=" TargetMode="External"/><Relationship Id="rId46" Type="http://schemas.openxmlformats.org/officeDocument/2006/relationships/hyperlink" Target="https://www.chausson.fr/materiaux/gaine-icta-cables-electriques-20mm-longueur-gris-avec-tire-fil-p-215752-1" TargetMode="External"/><Relationship Id="rId47" Type="http://schemas.openxmlformats.org/officeDocument/2006/relationships/hyperlink" Target="https://www.rexel.fr/frx/search?text=" TargetMode="External"/><Relationship Id="rId48" Type="http://schemas.openxmlformats.org/officeDocument/2006/relationships/hyperlink" Target="https://www.afdb.fr/gewiss-dx20525r-gaine-electrique-icta-tire-fils-gris-fonce-diametre-25-mm-gewiss-dx20525r_SKU761461.html" TargetMode="External"/><Relationship Id="rId49" Type="http://schemas.openxmlformats.org/officeDocument/2006/relationships/hyperlink" Target="https://www.afdb.fr/gewiss-dx27716-tube-irl-tulipe-rigide-lisse-l3-gris-d16-mm-gewiss-dx27716_SKU138163.html" TargetMode="External"/><Relationship Id="rId50" Type="http://schemas.openxmlformats.org/officeDocument/2006/relationships/hyperlink" Target="https://www.rexel.fr/frx/search?text=" TargetMode="External"/><Relationship Id="rId51" Type="http://schemas.openxmlformats.org/officeDocument/2006/relationships/hyperlink" Target="https://www.afdb.fr/obo-bettermann-goulotte-appareillage-obo-bettermann-rapid-45-2-pvc-h-53-mm-100-6113000_SKUM226742.html" TargetMode="External"/><Relationship Id="rId52" Type="http://schemas.openxmlformats.org/officeDocument/2006/relationships/hyperlink" Target="https://www.afdb.fr/obo-bettermann-goulotte-appareillage-obo-bettermann-rapid-45-2-pvc-h-53-mm-100-6113000_SKUM226742.html" TargetMode="External"/><Relationship Id="rId53" Type="http://schemas.openxmlformats.org/officeDocument/2006/relationships/hyperlink" Target="https://www.pointp.fr/p/outillage-quincaillerie/moul-20x12-5-avec-cloison-lg-098120-od-A3620402" TargetMode="External"/><Relationship Id="rId54" Type="http://schemas.openxmlformats.org/officeDocument/2006/relationships/hyperlink" Target="https://www.afdb.fr/niedax-001005-dalle-chemin-cable-psn-perforee-3-147-x-27-mm-niedax-001005_SKU239618.html" TargetMode="External"/><Relationship Id="rId55" Type="http://schemas.openxmlformats.org/officeDocument/2006/relationships/hyperlink" Target="https://www.chausson.fr/quincaillerie/prise-courant-2pt-schneider-odace-encastrer-avec-support-fixation-visser-blanc-p-105366-1" TargetMode="External"/><Relationship Id="rId56" Type="http://schemas.openxmlformats.org/officeDocument/2006/relationships/hyperlink" Target="https://www.pointp.fr/p/outillage-quincaillerie/detrompeur-pour-fiche-prise-2p-t-ref-050299-A1304505" TargetMode="External"/><Relationship Id="rId57" Type="http://schemas.openxmlformats.org/officeDocument/2006/relationships/hyperlink" Target="https://www.afdb.fr/legrand-prise-courant-2p-plexo-16-250-v-fixation-encastre-gris-legrand-069831l_SKU799588.html" TargetMode="External"/><Relationship Id="rId58" Type="http://schemas.openxmlformats.org/officeDocument/2006/relationships/hyperlink" Target="https://www.rexel.fr/frx/search?text=" TargetMode="External"/><Relationship Id="rId59" Type="http://schemas.openxmlformats.org/officeDocument/2006/relationships/hyperlink" Target="https://www.afdb.fr/legrand-prise-courant-2p-etanche-plexo-legrand-16-250-v-fixation-saillie-gris-boite-10-069731l_SKUM168912.html" TargetMode="External"/><Relationship Id="rId60" Type="http://schemas.openxmlformats.org/officeDocument/2006/relationships/hyperlink" Target="https://www.afdb.fr/legrand-555218-p17-prise-mobile-32a-3p-415v-ip44-boite-10_SKU801939.html" TargetMode="External"/><Relationship Id="rId61" Type="http://schemas.openxmlformats.org/officeDocument/2006/relationships/hyperlink" Target="https://www.chausson.fr/quincaillerie/va-et-vient-schneider-asfora-complet-blanc-p-105296-1" TargetMode="External"/><Relationship Id="rId62" Type="http://schemas.openxmlformats.org/officeDocument/2006/relationships/hyperlink" Target="https://www.afdb.fr/legrand-069811-interrupteur-va-vient-etanche-plexo-complet-ip55-encastre-gris-legrand-069811_SKU418796.html" TargetMode="External"/><Relationship Id="rId63" Type="http://schemas.openxmlformats.org/officeDocument/2006/relationships/hyperlink" Target="https://www.chausson.fr/quincaillerie/cutter-sm-stanley-avec-bouton-poussoir-multipositions-18mm-p-700677-1" TargetMode="External"/><Relationship Id="rId64" Type="http://schemas.openxmlformats.org/officeDocument/2006/relationships/hyperlink" Target="https://www.afdb.fr/honeywell-dcp911-bouton-poussoir-lumineux-carillon-mobile-blanc-honeywell-dcp911_SKU667726.html" TargetMode="External"/><Relationship Id="rId65" Type="http://schemas.openxmlformats.org/officeDocument/2006/relationships/hyperlink" Target="https://www.pointp.fr/p/salle-de-bain-wc-plomberie/robinet-temporise-tempochasse-apparent-pour-wc-a-bouton-poussoir-corps-en-laiton-massif-chrome-male-male-33-x-42-ref-760000-A1031708" TargetMode="External"/><Relationship Id="rId66" Type="http://schemas.openxmlformats.org/officeDocument/2006/relationships/hyperlink" Target="https://www.chausson.fr/quincaillerie/variateur-lumiere-universel-schneider-odace-encastrer-avec-support-fixation-p-228219-1" TargetMode="External"/><Relationship Id="rId67" Type="http://schemas.openxmlformats.org/officeDocument/2006/relationships/hyperlink" Target="https://www.afdb.fr/legrand-600060a-interrupteur-variateur-dooxie-universel-2-fils-neutre-125-w-led-legrand-600060a_SKU880192.html" TargetMode="External"/><Relationship Id="rId68" Type="http://schemas.openxmlformats.org/officeDocument/2006/relationships/hyperlink" Target="https://www.afdb.fr/theben-1010500-detecteur-mouvement-theluxa-mural-exterieur-s150-wh-blanc-theben-1010500_SKU379021.html" TargetMode="External"/><Relationship Id="rId69" Type="http://schemas.openxmlformats.org/officeDocument/2006/relationships/hyperlink" Target="https://www.chausson.fr/quincaillerie/boite-encastrement-simple-schneider-multifix-cloison-creuse-ip20-67mm-profondeur-40mm-p-105313-1" TargetMode="External"/><Relationship Id="rId70" Type="http://schemas.openxmlformats.org/officeDocument/2006/relationships/hyperlink" Target="https://www.afdb.fr/legrand-80041-boite-encastrement-batibox-cloisons-seches-1-poste-legrand-080041_SKU419530.html" TargetMode="External"/><Relationship Id="rId71" Type="http://schemas.openxmlformats.org/officeDocument/2006/relationships/hyperlink" Target="https://www.rexel.fr/frx/search?text=" TargetMode="External"/><Relationship Id="rId72" Type="http://schemas.openxmlformats.org/officeDocument/2006/relationships/hyperlink" Target="https://www.afdb.fr/miidex-7230-boite-derivation-etanche-450-v-ac-ip68-2-entrees-miidex-lighting-7230_SKU781705.html" TargetMode="External"/><Relationship Id="rId73" Type="http://schemas.openxmlformats.org/officeDocument/2006/relationships/hyperlink" Target="https://www.rexel.fr/frx/search?text=" TargetMode="External"/><Relationship Id="rId74" Type="http://schemas.openxmlformats.org/officeDocument/2006/relationships/hyperlink" Target="https://www.afdb.fr/wago-773-173-boite-50-bornes-connexion-automatiques-transparentes-3-fils-2-5-6-mm-wago-773-173_SKU407395.html" TargetMode="External"/><Relationship Id="rId75" Type="http://schemas.openxmlformats.org/officeDocument/2006/relationships/hyperlink" Target="https://www.rexel.fr/frx/search?text=" TargetMode="External"/><Relationship Id="rId76" Type="http://schemas.openxmlformats.org/officeDocument/2006/relationships/hyperlink" Target="https://www.afdb.fr/legrand-034215-barrette-connexion-nylbloc-capacite-assignee-10-mm-noir-legrand-034215_SKU414216.html" TargetMode="External"/><Relationship Id="rId77" Type="http://schemas.openxmlformats.org/officeDocument/2006/relationships/hyperlink" Target="https://www.afdb.fr/legrand-066631-plaque-celiane-finition-blanc-laque-1-poste-legrand-066631_SKU735373.html" TargetMode="External"/><Relationship Id="rId78" Type="http://schemas.openxmlformats.org/officeDocument/2006/relationships/hyperlink" Target="https://www.chausson.fr/quincaillerie/plaque-finition-simple-schneider-odace-styl-1poste-encastre-blanc-brillant-ral-9003-p-105371-1" TargetMode="External"/><Relationship Id="rId79" Type="http://schemas.openxmlformats.org/officeDocument/2006/relationships/hyperlink" Target="https://www.pointp.fr/p/menuiseries-interieures/kit-de-finition-bois-tanganika-a-peindre-simple-cloison-gold-base-pour-scrigno-ep-100-mm-210x100-cm-A1390523" TargetMode="External"/><Relationship Id="rId80" Type="http://schemas.openxmlformats.org/officeDocument/2006/relationships/hyperlink" Target="https://www.afdb.fr/schneider-electric-s320476-mecanisme-prise-rj45-ovalis-categorie-6-stp-grade-3-blanc-schneider-electric-s320476_SKU861384.html" TargetMode="External"/><Relationship Id="rId81" Type="http://schemas.openxmlformats.org/officeDocument/2006/relationships/hyperlink" Target="https://www.chausson.fr/quincaillerie/prise-rj45-saillie-schneider-alrea-blanc-p-105292-1" TargetMode="External"/><Relationship Id="rId82" Type="http://schemas.openxmlformats.org/officeDocument/2006/relationships/hyperlink" Target="https://www.pointp.fr/p/electricite-plomberie-sanitaire/prise-rj45-multimedia-cat-6-ftp-8-contacts-neptune-nouveau-design-A6495563" TargetMode="External"/><Relationship Id="rId83" Type="http://schemas.openxmlformats.org/officeDocument/2006/relationships/hyperlink" Target="https://www.afdb.fr/forsond-piquet-terre_SKUM14582.html" TargetMode="External"/><Relationship Id="rId84" Type="http://schemas.openxmlformats.org/officeDocument/2006/relationships/hyperlink" Target="https://www.chausson.fr/materiaux/brique-terre-cuite-gorge-et-barrettes-16-trous-terreal-200mm-270mm-500mm-p-116267-1" TargetMode="External"/><Relationship Id="rId85" Type="http://schemas.openxmlformats.org/officeDocument/2006/relationships/hyperlink" Target="https://www.afdb.fr/forsond-bar32-barrette-coupure-socle-plastique-forsond-bar-32_SKU362601.html" TargetMode="External"/><Relationship Id="rId86" Type="http://schemas.openxmlformats.org/officeDocument/2006/relationships/hyperlink" Target="https://www.rexel.fr/frx/search?text=" TargetMode="External"/><Relationship Id="rId87" Type="http://schemas.openxmlformats.org/officeDocument/2006/relationships/hyperlink" Target="https://www.pointp.fr/p/electricite-plomberie-sanitaire/barrette-de-coupure-terre-haute-ref-93781-A7548908" TargetMode="External"/><Relationship Id="rId88" Type="http://schemas.openxmlformats.org/officeDocument/2006/relationships/hyperlink" Target="https://www.rexel.fr/frx/search?text=" TargetMode="External"/><Relationship Id="rId89" Type="http://schemas.openxmlformats.org/officeDocument/2006/relationships/hyperlink" Target="https://www.chausson.fr/materiaux/piquet-terre-plynox-cosse-p-460615-1" TargetMode="External"/><Relationship Id="rId90" Type="http://schemas.openxmlformats.org/officeDocument/2006/relationships/hyperlink" Target="https://www.chausson.fr/quincaillerie/assortiment-gaines-thermoretractables-100mm-noires-restreint-21-p-782623-1" TargetMode="External"/><Relationship Id="rId91" Type="http://schemas.openxmlformats.org/officeDocument/2006/relationships/hyperlink" Target="https://www.afdb.fr/sewosy-tpnc-temporisation-12-24vdc-1-contact-nf-gaine-thermoretractable-sewosy-tpnc_SKU570351.html" TargetMode="External"/><Relationship Id="rId92" Type="http://schemas.openxmlformats.org/officeDocument/2006/relationships/hyperlink" Target="https://www.pointp.fr/p/electricite-ventilation/coffret-d-assortiment-de-gaines-thermoretractables-plf-100-couleur-ref-thermobox6-A6931559" TargetMode="External"/><Relationship Id="rId93" Type="http://schemas.openxmlformats.org/officeDocument/2006/relationships/hyperlink" Target="https://www.rexel.fr/frx/search?text=" TargetMode="External"/><Relationship Id="rId94" Type="http://schemas.openxmlformats.org/officeDocument/2006/relationships/hyperlink" Target="https://www.afdb.fr/schneider-electric-vdir534810-cable-4-paires-ftp-categorie-6-lexcom-home-bobine-120-blanc-schneider-electric-vdir534810_SKU647541.html" TargetMode="External"/><Relationship Id="rId95" Type="http://schemas.openxmlformats.org/officeDocument/2006/relationships/hyperlink" Target="https://www.afdb.fr/legrand-413218-coffret-multimedia-basique-drivia-brassage-equipe-precable-4-prises-rj45-legrand-413218_SKU579604.html" TargetMode="External"/><Relationship Id="rId96" Type="http://schemas.openxmlformats.org/officeDocument/2006/relationships/hyperlink" Target="https://www.afdb.fr/philips-531051-camera-interieure-motorisee-connectee-resolution-2k-mode-prive-renforce-philips-531051_SKU842390.html" TargetMode="External"/><Relationship Id="rId97" Type="http://schemas.openxmlformats.org/officeDocument/2006/relationships/hyperlink" Target="https://www.afdb.fr/thomson-512511-camera-exterieure-rheita100-connectee-eclairage-integre-thomson-512511_SKU842395.html" TargetMode="External"/><Relationship Id="rId98" Type="http://schemas.openxmlformats.org/officeDocument/2006/relationships/hyperlink" Target="https://www.afdb.fr/diam-industries-cr90180-25-disque-diamant-dalles-carrelage-dur-180-x-25-4-mm-diam-industries-cr90180-25_SKU745579.html" TargetMode="External"/><Relationship Id="rId99" Type="http://schemas.openxmlformats.org/officeDocument/2006/relationships/hyperlink" Target="https://www.rexel.fr/frx/search?text=" TargetMode="External"/><Relationship Id="rId100" Type="http://schemas.openxmlformats.org/officeDocument/2006/relationships/hyperlink" Target="https://www.afdb.fr/golmar-uav1407-010-combine-universel-line-golmar-uav1407-010_SKU612024.html" TargetMode="External"/><Relationship Id="rId101" Type="http://schemas.openxmlformats.org/officeDocument/2006/relationships/hyperlink" Target="https://www.afdb.fr/salto-wrdm0s4b-lecteur-mural-xs4-2-0-mifare-carre-noir-salto-wrdm0s4b_SKU857197.html" TargetMode="External"/><Relationship Id="rId102" Type="http://schemas.openxmlformats.org/officeDocument/2006/relationships/hyperlink" Target="https://www.afdb.fr/salto-badge-proximite-salto-mifare-ultralight_SKUM117686.html" TargetMode="External"/><Relationship Id="rId103" Type="http://schemas.openxmlformats.org/officeDocument/2006/relationships/hyperlink" Target="https://www.rexel.fr/frx/search?text=" TargetMode="External"/><Relationship Id="rId104" Type="http://schemas.openxmlformats.org/officeDocument/2006/relationships/hyperlink" Target="https://www.afdb.fr/fermax-pl030-clavier-aluminium-30-codes-fermax-pl030_SKU390521.html" TargetMode="External"/><Relationship Id="rId105" Type="http://schemas.openxmlformats.org/officeDocument/2006/relationships/hyperlink" Target="https://www.afdb.fr/didheya-bouton-spherique-inox-finition-mate-didheya_SKUM73558.html" TargetMode="External"/><Relationship Id="rId106" Type="http://schemas.openxmlformats.org/officeDocument/2006/relationships/hyperlink" Target="https://www.pointp.fr/p/outils-equipement-accessoires/platoir-chapiste-inox-bout-ogive-45-cm-ref-plat-novi-01-A7120803" TargetMode="External"/><Relationship Id="rId107" Type="http://schemas.openxmlformats.org/officeDocument/2006/relationships/hyperlink" Target="https://www.afdb.fr/heracles-ard-kit-kit-centrale-alarme-heracles-ard-kit_SKU390491.html" TargetMode="External"/><Relationship Id="rId108" Type="http://schemas.openxmlformats.org/officeDocument/2006/relationships/hyperlink" Target="https://www.afdb.fr/avidsen-100723-detecteur-ouverture-porte-alarme-skyda-homesecure-avidsen-100723_SKU842322.html" TargetMode="External"/><Relationship Id="rId109" Type="http://schemas.openxmlformats.org/officeDocument/2006/relationships/hyperlink" Target="https://www.afdb.fr/miidex-100861-detecteur-mouvement-infrarouge-lumos-lite-projecteur-lumos-lite-lumos-pro-miidex-100861_SKU868337.html" TargetMode="External"/><Relationship Id="rId110" Type="http://schemas.openxmlformats.org/officeDocument/2006/relationships/hyperlink" Target="https://www.afdb.fr/avidsen-100728-sirene-exterieure-solaire-alarme-skyda-homesecure-avidsen-100728_SKU842324.html" TargetMode="External"/><Relationship Id="rId111" Type="http://schemas.openxmlformats.org/officeDocument/2006/relationships/hyperlink" Target="https://www.afdb.fr/selection-cable-coaxial-blanc-17vatc-t500-5-60135013e_SKU552641.html" TargetMode="External"/><Relationship Id="rId112" Type="http://schemas.openxmlformats.org/officeDocument/2006/relationships/hyperlink" Target="https://www.pointp.fr/p/outillage-quincaillerie/cable-coaxial-tv-exterieur-17patc-100m-ref-uadva1zznom1-A6267113" TargetMode="External"/><Relationship Id="rId113" Type="http://schemas.openxmlformats.org/officeDocument/2006/relationships/hyperlink" Target="https://www.chausson.fr/quincaillerie/cable-coaxial-tv-satellite-longueur-300m-p-275961-1" TargetMode="External"/><Relationship Id="rId114" Type="http://schemas.openxmlformats.org/officeDocument/2006/relationships/hyperlink" Target="https://www.afdb.fr/lebenoid-032528-repartiteur-ferrite-tv-4-sorties-lebenoid-032528_SKU145992.html" TargetMode="External"/><Relationship Id="rId115" Type="http://schemas.openxmlformats.org/officeDocument/2006/relationships/hyperlink" Target="https://www.pointp.fr/p/gros-oeuvre-bpe-voirie-tp/regard-beton-rmj-40-repartiteur-3-sorties-avec-joints-42x42x25cm-A3396458" TargetMode="External"/><Relationship Id="rId116" Type="http://schemas.openxmlformats.org/officeDocument/2006/relationships/hyperlink" Target="https://www.rexel.fr/frx/search?text=" TargetMode="External"/><Relationship Id="rId117" Type="http://schemas.openxmlformats.org/officeDocument/2006/relationships/hyperlink" Target="https://www.pointp.fr/p/outils-equipement-accessoires/pince-a-sertir-ref-97-51-10-sb-A6895707" TargetMode="External"/><Relationship Id="rId118" Type="http://schemas.openxmlformats.org/officeDocument/2006/relationships/hyperlink" Target="https://www.rexel.fr/frx/search?text=" TargetMode="External"/><Relationship Id="rId119" Type="http://schemas.openxmlformats.org/officeDocument/2006/relationships/hyperlink" Target="https://www.afdb.fr/sylvania-90012-spot-encastre-led-integre-yourhome-500-lm-blanc-ip44-4000-k-840-sylvania-90012_SKU848958.html" TargetMode="External"/><Relationship Id="rId120" Type="http://schemas.openxmlformats.org/officeDocument/2006/relationships/hyperlink" Target="https://www.pointp.fr/p/terrasses-et-exterieurs/spots-encastres-onyx-30-ra-12v-ref-241d-A4862878" TargetMode="External"/><Relationship Id="rId121" Type="http://schemas.openxmlformats.org/officeDocument/2006/relationships/hyperlink" Target="https://www.chausson.fr/materiaux/protection-spot-encastrable-knauf-spot-protector-4pieces-p-328459-1" TargetMode="External"/><Relationship Id="rId122" Type="http://schemas.openxmlformats.org/officeDocument/2006/relationships/hyperlink" Target="https://www.afdb.fr/miidex-765482-downlight-led-sirius-basse-lum-blanc-rond-basse-luminance-2000-lm-25-w-4000-k-miidex-lighting-765482_SKU782618.html" TargetMode="External"/><Relationship Id="rId123" Type="http://schemas.openxmlformats.org/officeDocument/2006/relationships/hyperlink" Target="https://www.afdb.fr/miidex-100998-dalle-led-andromede-backlit-25-w-4000-k-prismatique-miidex-100998_SKU879196.html" TargetMode="External"/><Relationship Id="rId124" Type="http://schemas.openxmlformats.org/officeDocument/2006/relationships/hyperlink" Target="https://www.afdb.fr/sylvania-0045159-reglette-led-ip20-batten-4000-k-16-w-simple-l1200-mm-sylvania-0045159_SKU751259.html" TargetMode="External"/><Relationship Id="rId125" Type="http://schemas.openxmlformats.org/officeDocument/2006/relationships/hyperlink" Target="https://www.afdb.fr/miidex-s8358-spot-led-rail-noir-35-w-4000-k-3000-lm-adaptateur-rail-3-allumages-miidex-lighting-s8358_SKU783632.html" TargetMode="External"/><Relationship Id="rId126" Type="http://schemas.openxmlformats.org/officeDocument/2006/relationships/hyperlink" Target="https://www.pointp.fr/p/outillage-quincaillerie/projecteur-exterieur-led-energizer-consommation-10w-flux-lumineux-A7047009" TargetMode="External"/><Relationship Id="rId127" Type="http://schemas.openxmlformats.org/officeDocument/2006/relationships/hyperlink" Target="https://www.chausson.fr/quincaillerie/projecteur-led-3060-2m-ip65-p-348863-1" TargetMode="External"/><Relationship Id="rId128" Type="http://schemas.openxmlformats.org/officeDocument/2006/relationships/hyperlink" Target="https://www.afdb.fr/miidex-75371-alimentation-led-ip67-100w-24v-dc-miidex-lighting-75371_SKU782227.html" TargetMode="External"/><Relationship Id="rId129" Type="http://schemas.openxmlformats.org/officeDocument/2006/relationships/hyperlink" Target="https://www.chausson.fr/quincaillerie/ampoule-couleur-verte-sylvania-toledo-deco-sphere-28lm-culot-e27-p-777280-1" TargetMode="External"/><Relationship Id="rId130" Type="http://schemas.openxmlformats.org/officeDocument/2006/relationships/hyperlink" Target="https://www.afdb.fr/miidex-76661-ampoule-led-e27-10-w-smd-r80-3000-k-pack-2-miidex-lighting-76661_SKU782643.html" TargetMode="External"/><Relationship Id="rId131" Type="http://schemas.openxmlformats.org/officeDocument/2006/relationships/hyperlink" Target="https://www.afdb.fr/miidex-78401-ampoule-led-gu10-spot-5-w-2700-k-miidex-lighting-78401_SKU782955.html" TargetMode="External"/><Relationship Id="rId132" Type="http://schemas.openxmlformats.org/officeDocument/2006/relationships/hyperlink" Target="https://www.afdb.fr/miidex-75891-boitier-etanche-led-iroise-ballast-p-cote-1-tube-t8-600-mm-miidex-lighting-75891_SKU782384.html" TargetMode="External"/><Relationship Id="rId133" Type="http://schemas.openxmlformats.org/officeDocument/2006/relationships/hyperlink" Target="https://www.chausson.fr/quincaillerie/projecteur-led-3060-2m-ip65-p-348863-1" TargetMode="External"/><Relationship Id="rId134" Type="http://schemas.openxmlformats.org/officeDocument/2006/relationships/hyperlink" Target="https://www.pointp.fr/p/electricite-ventilation/projecteur-led-de-chantier-multi-battery-system-4000-ma-rechargeable-40-w-4500-lm-6500-k-ip65-compatible-avec-5-standards-de-batterie-18-v-powertool-ref-1173140400-A4305932" TargetMode="External"/><Relationship Id="rId135" Type="http://schemas.openxmlformats.org/officeDocument/2006/relationships/hyperlink" Target="https://www.afdb.fr/miidex-8012-projecteur-exterieur-led-rgb-ip65-telecommande-ir-50-w-miidex-lighting-8012_SKU783183.html" TargetMode="External"/><Relationship Id="rId136" Type="http://schemas.openxmlformats.org/officeDocument/2006/relationships/hyperlink" Target="https://www.afdb.fr/miidex-7790020-hublot-led-rondo-detecteur-infrarouge-crepusculaire-18-w-ip65-3000-k-miidex-lighting-7790020_SKU782883.html" TargetMode="External"/><Relationship Id="rId137" Type="http://schemas.openxmlformats.org/officeDocument/2006/relationships/hyperlink" Target="https://www.afdb.fr/70521-applique-murale-exterieur-led-wallpack-100-w-4000-k-slim_SKU781470.html" TargetMode="External"/><Relationship Id="rId138" Type="http://schemas.openxmlformats.org/officeDocument/2006/relationships/hyperlink" Target="https://www.rexel.fr/frx/search?text=" TargetMode="External"/><Relationship Id="rId139" Type="http://schemas.openxmlformats.org/officeDocument/2006/relationships/hyperlink" Target="https://www.afdb.fr/legrand-062525-bloc-baes-evacuation-saillie-led-sati-connecte-erp-ert-ip43-legrand-062525_SKU417985.html" TargetMode="External"/><Relationship Id="rId140" Type="http://schemas.openxmlformats.org/officeDocument/2006/relationships/hyperlink" Target="https://www.prolians.fr/catalogsearch/result/?q=14492356" TargetMode="External"/><Relationship Id="rId141" Type="http://schemas.openxmlformats.org/officeDocument/2006/relationships/hyperlink" Target="https://www.afdb.fr/garis-3315-16-14-raccord-droit-souder-per-tube-cuivre-16-tc-14-garis-3315-16-14_SKU762106.html" TargetMode="External"/><Relationship Id="rId142" Type="http://schemas.openxmlformats.org/officeDocument/2006/relationships/hyperlink" Target="https://www.laplateforme.com/catalogue/produit/77735" TargetMode="External"/><Relationship Id="rId143" Type="http://schemas.openxmlformats.org/officeDocument/2006/relationships/hyperlink" Target="https://www.pointp.fr/p/decoration-interieure/tube-per-pregaine-bleu-diametre-13x16-couronne-de-15m-ref-b181615-A1728089" TargetMode="External"/><Relationship Id="rId144" Type="http://schemas.openxmlformats.org/officeDocument/2006/relationships/hyperlink" Target="https://www.laplateforme.com/catalogue/produit/77735" TargetMode="External"/><Relationship Id="rId145" Type="http://schemas.openxmlformats.org/officeDocument/2006/relationships/hyperlink" Target="https://www.pointp.fr/p/decoration-interieure/tube-per-pregaine-bleu-diametre-13x16-couronne-de-15m-ref-b181615-A1728089" TargetMode="External"/><Relationship Id="rId146" Type="http://schemas.openxmlformats.org/officeDocument/2006/relationships/hyperlink" Target="https://www.afdb.fr/somatherm-1113-20-50s-tube-per-pre-gaine-bleu-50-16-20-somatherm-1113-20-50a_SKU409248.html" TargetMode="External"/><Relationship Id="rId147" Type="http://schemas.openxmlformats.org/officeDocument/2006/relationships/hyperlink" Target="https://www.pointp.fr/p/plomberie/raccord-tube-multicouche-d16mm-A4648360" TargetMode="External"/><Relationship Id="rId148" Type="http://schemas.openxmlformats.org/officeDocument/2006/relationships/hyperlink" Target="https://www.afdb.fr/comisa-88-20-580-kit-sertissage-tube-multicouche-16x2-1-2-comisa-88-20-580_SKU610221.html" TargetMode="External"/><Relationship Id="rId149" Type="http://schemas.openxmlformats.org/officeDocument/2006/relationships/hyperlink" Target="https://www.chausson.fr/materiaux/tube-multicouche-16x20-p-472860-1" TargetMode="External"/><Relationship Id="rId150" Type="http://schemas.openxmlformats.org/officeDocument/2006/relationships/hyperlink" Target="https://www.pointp.fr/p/plomberie/raccord-tube-multicouche-d16mm-A4648360" TargetMode="External"/><Relationship Id="rId151" Type="http://schemas.openxmlformats.org/officeDocument/2006/relationships/hyperlink" Target="https://www.afdb.fr/comisa-kit-sertissage-comisa-tube-multicouche-88-20-580_SKUM40372.html" TargetMode="External"/><Relationship Id="rId152" Type="http://schemas.openxmlformats.org/officeDocument/2006/relationships/hyperlink" Target="https://www.chausson.fr/materiaux/tube-multicouche-20x225-p-471011-1" TargetMode="External"/><Relationship Id="rId153" Type="http://schemas.openxmlformats.org/officeDocument/2006/relationships/hyperlink" Target="https://www.afdb.fr/garis-3315-12-14-raccord-droit-souder-per-tube-cuivre-12-tc-14-garis-3315-12-14_SKU762105.html" TargetMode="External"/><Relationship Id="rId154" Type="http://schemas.openxmlformats.org/officeDocument/2006/relationships/hyperlink" Target="https://www.laplateforme.com/catalogue/produit/30843" TargetMode="External"/><Relationship Id="rId155" Type="http://schemas.openxmlformats.org/officeDocument/2006/relationships/hyperlink" Target="https://www.pointp.fr/p/outils-equipement-accessoires/ebavureur-interieur-exterieur-novipro-6-42mm-A3396067" TargetMode="External"/><Relationship Id="rId156" Type="http://schemas.openxmlformats.org/officeDocument/2006/relationships/hyperlink" Target="https://www.chausson.fr/quincaillerie/renseignerraccord-multicouche-sertir-noyon-thiebault-coude-applique-multi-profils-16mm-laiton-p-724901-1" TargetMode="External"/><Relationship Id="rId157" Type="http://schemas.openxmlformats.org/officeDocument/2006/relationships/hyperlink" Target="https://www.pointp.fr/p/electricite-plomberie-sanitaire/raccord-multicouche-a-sertir-multiprofil-coude-egale-diam-16-mm-ref-310501-A6010367" TargetMode="External"/><Relationship Id="rId158" Type="http://schemas.openxmlformats.org/officeDocument/2006/relationships/hyperlink" Target="https://www.laplateforme.com/catalogue/produit/65893" TargetMode="External"/><Relationship Id="rId159" Type="http://schemas.openxmlformats.org/officeDocument/2006/relationships/hyperlink" Target="https://www.afdb.fr/giacomini-rm103y123-raccord-passerelle-sertir-multicouche-16-2-cuivre-14-giacomini-rm103y123_SKU759112.html" TargetMode="External"/><Relationship Id="rId160" Type="http://schemas.openxmlformats.org/officeDocument/2006/relationships/hyperlink" Target="https://www.afdb.fr/giacomini-r179x051-raccord-compression-tube-per-16-20-16-collecteur-giacomini-r170x051_SKU166160.html" TargetMode="External"/><Relationship Id="rId161" Type="http://schemas.openxmlformats.org/officeDocument/2006/relationships/hyperlink" Target="https://www.afdb.fr/garis-3312-16-12-manchon-reduit-sertir-tube-per-16-12-garis-3312-16-12_SKU762093.html" TargetMode="External"/><Relationship Id="rId162" Type="http://schemas.openxmlformats.org/officeDocument/2006/relationships/hyperlink" Target="https://www.chausson.fr/materiaux/manchon-reduit-sertir-per-o16-o12-p-461242-1" TargetMode="External"/><Relationship Id="rId163" Type="http://schemas.openxmlformats.org/officeDocument/2006/relationships/hyperlink" Target="https://www.laplateforme.com/catalogue/produit/150105" TargetMode="External"/><Relationship Id="rId164" Type="http://schemas.openxmlformats.org/officeDocument/2006/relationships/hyperlink" Target="https://www.afdb.fr/garis-3312-16-12-manchon-reduit-sertir-tube-per-16-12-garis-3312-16-12_SKU762093.html" TargetMode="External"/><Relationship Id="rId165" Type="http://schemas.openxmlformats.org/officeDocument/2006/relationships/hyperlink" Target="https://www.pointp.fr/p/plomberie/jonction-reduite-multicouche-a-sertir-multiprofil-o20-o16-ref-310401-A4781403" TargetMode="External"/><Relationship Id="rId166" Type="http://schemas.openxmlformats.org/officeDocument/2006/relationships/hyperlink" Target="https://www.afdb.fr/boutte-3417152-raccord-bague-laiton-biconique-male-1-4-6-mm-boutte-3417152_SKU658223.html" TargetMode="External"/><Relationship Id="rId167" Type="http://schemas.openxmlformats.org/officeDocument/2006/relationships/hyperlink" Target="https://www.pointp.fr/p/plomberie/raccord-droit-male-d12mm-laiton-15x21mm-A4648326" TargetMode="External"/><Relationship Id="rId168" Type="http://schemas.openxmlformats.org/officeDocument/2006/relationships/hyperlink" Target="https://www.laplateforme.com/catalogue/produit/13362" TargetMode="External"/><Relationship Id="rId169" Type="http://schemas.openxmlformats.org/officeDocument/2006/relationships/hyperlink" Target="https://www.chausson.fr/materiaux/raccord-male-laiton-dzr-gamme-can-diam-ext20-filete-15x21-30-p-469102-1" TargetMode="External"/><Relationship Id="rId170" Type="http://schemas.openxmlformats.org/officeDocument/2006/relationships/hyperlink" Target="https://www.laplateforme.com/catalogue/produit/2190" TargetMode="External"/><Relationship Id="rId171" Type="http://schemas.openxmlformats.org/officeDocument/2006/relationships/hyperlink" Target="https://www.chausson.fr/materiaux/collecteur-sanitaire-matiere-synthese-sorties-p-444632-1" TargetMode="External"/><Relationship Id="rId172" Type="http://schemas.openxmlformats.org/officeDocument/2006/relationships/hyperlink" Target="https://www.afdb.fr/watts-industries-1403-collecteur-f1-2-type-arrivee-m3-4-4-departs-m1-2-watts-1403_SKU090584.html" TargetMode="External"/><Relationship Id="rId173" Type="http://schemas.openxmlformats.org/officeDocument/2006/relationships/hyperlink" Target="https://www.pointp.fr/p/decoration-interieure/collecteur-mf-g3-4-3-departs-m-g1-2-vrac-etiquete-ref-30203et-A6398915" TargetMode="External"/><Relationship Id="rId174" Type="http://schemas.openxmlformats.org/officeDocument/2006/relationships/hyperlink" Target="https://www.pointp.fr/p/decoration-interieure/robinet-d-arret-equerre-a-1-4-de-tour-male-femelle-chrome-12x17mm-A1086868" TargetMode="External"/><Relationship Id="rId175" Type="http://schemas.openxmlformats.org/officeDocument/2006/relationships/hyperlink" Target="https://www.afdb.fr/delabie-765000-robinet-arret-equerre-tempochasse-f1-f1-1-4-chrome-delabie-765000_SKU090066.html" TargetMode="External"/><Relationship Id="rId176" Type="http://schemas.openxmlformats.org/officeDocument/2006/relationships/hyperlink" Target="https://www.chausson.fr/quincaillerie/vanne-boisseau-double-femelle-laiton-spherique-avec-purge-20x27mm-manette-rouge-p-683962-1" TargetMode="External"/><Relationship Id="rId177" Type="http://schemas.openxmlformats.org/officeDocument/2006/relationships/hyperlink" Target="https://www.pointp.fr/p/decoration-interieure/mitigeur-lavabo-primeo-3-c3-avec-vidage-A3309186" TargetMode="External"/><Relationship Id="rId178" Type="http://schemas.openxmlformats.org/officeDocument/2006/relationships/hyperlink" Target="https://www.laplateforme.com/catalogue/produit/160278" TargetMode="External"/><Relationship Id="rId179" Type="http://schemas.openxmlformats.org/officeDocument/2006/relationships/hyperlink" Target="https://www.afdb.fr/porcher-d2300aa-mitigeur-lavabo-okyris-2-clinic-chrome-bec-professionnel-porcher-d2300aa_SKU851059.html" TargetMode="External"/><Relationship Id="rId180" Type="http://schemas.openxmlformats.org/officeDocument/2006/relationships/hyperlink" Target="https://www.chausson.fr/materiaux/mitigeur-lavabo-taille-namo-chrome-cartouche-technologie-c3-rolf-p-444515-1" TargetMode="External"/><Relationship Id="rId181" Type="http://schemas.openxmlformats.org/officeDocument/2006/relationships/hyperlink" Target="https://www.chausson.fr/quincaillerie/mitigeur-devier-cuisine-pola-bec-bas-douchette-chrome-p-818043-1" TargetMode="External"/><Relationship Id="rId182" Type="http://schemas.openxmlformats.org/officeDocument/2006/relationships/hyperlink" Target="https://www.laplateforme.com/catalogue/produit/157436" TargetMode="External"/><Relationship Id="rId183" Type="http://schemas.openxmlformats.org/officeDocument/2006/relationships/hyperlink" Target="https://www.pointp.fr/p/electricite-plomberie-sanitaire/mitigeur-evier-vers-eau-bec-pivotant-A3384233" TargetMode="External"/><Relationship Id="rId184" Type="http://schemas.openxmlformats.org/officeDocument/2006/relationships/hyperlink" Target="https://www.afdb.fr/grohe-professionnal-30543000-mitigeur-evier-bauloop-bec-haut-douchette-extractible-grohe-30543000_SKU836089.html" TargetMode="External"/><Relationship Id="rId185" Type="http://schemas.openxmlformats.org/officeDocument/2006/relationships/hyperlink" Target="https://www.pointp.fr/p/decoration-interieure/mitigeur-thermostatique-douche-primeo-3-A3309193" TargetMode="External"/><Relationship Id="rId186" Type="http://schemas.openxmlformats.org/officeDocument/2006/relationships/hyperlink" Target="https://www.chausson.fr/quincaillerie/mitigeur-thermostatique-douche-neotherm-eurosanit-securite-anti-brulure-corps-laiton-p-818039-1" TargetMode="External"/><Relationship Id="rId187" Type="http://schemas.openxmlformats.org/officeDocument/2006/relationships/hyperlink" Target="https://www.laplateforme.com/catalogue/produit/157456" TargetMode="External"/><Relationship Id="rId188" Type="http://schemas.openxmlformats.org/officeDocument/2006/relationships/hyperlink" Target="https://www.afdb.fr/vitra-a47300exp-mitigeur-bain-douche-thermostatique-aquaheat-design-rond-c3-vitra-a47157ekm_SKU780073.html" TargetMode="External"/><Relationship Id="rId189" Type="http://schemas.openxmlformats.org/officeDocument/2006/relationships/hyperlink" Target="https://www.pointp.fr/p/salle-de-bain-wc-plomberie/robinet-temporise-tempostop-de-lavabo-mural-15-x-21-debit-4-litres-par-minutes-corps-en-laiton-massif-chrome-ref-746000-A1031612" TargetMode="External"/><Relationship Id="rId190" Type="http://schemas.openxmlformats.org/officeDocument/2006/relationships/hyperlink" Target="https://www.afdb.fr/delabie-746410-robinet-lavabo-temporise-tempostop-levier-mural-delabie-746410_SKU090489.html" TargetMode="External"/><Relationship Id="rId191" Type="http://schemas.openxmlformats.org/officeDocument/2006/relationships/hyperlink" Target="https://www.afdb.fr/garis-flexibles-sanitaire-acs-femelle-femelle-garis_SKUM1473.html" TargetMode="External"/><Relationship Id="rId192" Type="http://schemas.openxmlformats.org/officeDocument/2006/relationships/hyperlink" Target="https://www.chausson.fr/materiaux/flexible-sanitaire-raccord-ecrous-tournants-longueur-300mm-dn8-p-450368-1" TargetMode="External"/><Relationship Id="rId193" Type="http://schemas.openxmlformats.org/officeDocument/2006/relationships/hyperlink" Target="https://www.pointp.fr/p/electricite-plomberie-sanitaire/flexible-alimentation-inox-male-femelle-15x21-lg-50cm-9x12-sur-plaquette-legere-1-piece-ref-2035-50pll1-A3377646" TargetMode="External"/><Relationship Id="rId194" Type="http://schemas.openxmlformats.org/officeDocument/2006/relationships/hyperlink" Target="https://www.laplateforme.com/catalogue/produit/38349" TargetMode="External"/><Relationship Id="rId195" Type="http://schemas.openxmlformats.org/officeDocument/2006/relationships/hyperlink" Target="https://www.pointp.fr/p/materiaux-bois-gros-oeuvre/tube-evacuation-pvc-gris-nfe-nf-me-diametre-40mm-longueur-2m-ref-sg734430-A6781887" TargetMode="External"/><Relationship Id="rId196" Type="http://schemas.openxmlformats.org/officeDocument/2006/relationships/hyperlink" Target="https://www.afdb.fr/wavin-3096335-tube-evacuation-pvc-2-m1-40-mm-wavin-3066081_SKU650936.html" TargetMode="External"/><Relationship Id="rId197" Type="http://schemas.openxmlformats.org/officeDocument/2006/relationships/hyperlink" Target="https://www.pointp.fr/p/materiaux-gros-oeuvre/tube-evacuation-pvc-nfe-nfme-cr4-diametre-100-mm-longueur-2m-ref-37339-A6426559" TargetMode="External"/><Relationship Id="rId198" Type="http://schemas.openxmlformats.org/officeDocument/2006/relationships/hyperlink" Target="https://www.chausson.fr/materiaux/tube-pvc-evacuation-nfe-nfme-d100-4m-p-128857-1" TargetMode="External"/><Relationship Id="rId199" Type="http://schemas.openxmlformats.org/officeDocument/2006/relationships/hyperlink" Target="https://www.laplateforme.com/catalogue/produit/157307" TargetMode="External"/><Relationship Id="rId200" Type="http://schemas.openxmlformats.org/officeDocument/2006/relationships/hyperlink" Target="https://www.afdb.fr/wavin-3096578-tube-evacuation-pvc-2-m1-100-mm-wavin-3066077_SKU650934.html" TargetMode="External"/><Relationship Id="rId201" Type="http://schemas.openxmlformats.org/officeDocument/2006/relationships/hyperlink" Target="https://www.pointp.fr/p/gros-oeuvre-bpe-voirie-tp/coude-d-evacuation-pvc-mf-45-100-mm-A6308889" TargetMode="External"/><Relationship Id="rId202" Type="http://schemas.openxmlformats.org/officeDocument/2006/relationships/hyperlink" Target="https://www.chausson.fr/materiaux/coude-pvc-coller-femelle-femelle-87-diametre-mm-coloris-gris-p-1833-1" TargetMode="External"/><Relationship Id="rId203" Type="http://schemas.openxmlformats.org/officeDocument/2006/relationships/hyperlink" Target="https://www.afdb.fr/geberit-367-002-00-1-coude-evacuation-pvc-90-100-mm-duofix-geberit-367-002-00-1_SKU383911.html" TargetMode="External"/><Relationship Id="rId204" Type="http://schemas.openxmlformats.org/officeDocument/2006/relationships/hyperlink" Target="https://www.afdb.fr/nicoll-bt16gt-culotte-pvc-simple-male-femelle-100-mm-gris-nicoll-bt16gt_SKU215368.html" TargetMode="External"/><Relationship Id="rId205" Type="http://schemas.openxmlformats.org/officeDocument/2006/relationships/hyperlink" Target="https://www.pointp.fr/p/gros-oeuvre-bpe-voirie-tp/culotte-simple-mf-45-gris-pvc-nicoll-100-40-mm-A1997834" TargetMode="External"/><Relationship Id="rId206" Type="http://schemas.openxmlformats.org/officeDocument/2006/relationships/hyperlink" Target="https://www.afdb.fr/nicoll-sc456-siphon-sol-faible-hauteur-15x15-cm-gris-fonce-nicoll-sc456_SKU076653.html" TargetMode="External"/><Relationship Id="rId207" Type="http://schemas.openxmlformats.org/officeDocument/2006/relationships/hyperlink" Target="https://www.pointp.fr/p/electricite-plomberie-sanitaire/siphon-de-sol-1550-avec-rosette-libre-et-garde-d-eau-47-mm-inox-A1049380" TargetMode="External"/><Relationship Id="rId208" Type="http://schemas.openxmlformats.org/officeDocument/2006/relationships/hyperlink" Target="https://www.afdb.fr/valentin-00-610300-001-00-siphon-lavabo-plastique-blanc-reglable-48-103-mm-d32-valentin-00-610300-001-00_SKU064820.html" TargetMode="External"/><Relationship Id="rId209" Type="http://schemas.openxmlformats.org/officeDocument/2006/relationships/hyperlink" Target="https://www.laplateforme.com/catalogue/produit/142111" TargetMode="External"/><Relationship Id="rId210" Type="http://schemas.openxmlformats.org/officeDocument/2006/relationships/hyperlink" Target="https://www.pointp.fr/p/electricite-plomberie-sanitaire/siphon-lavabo-reglable-diametre-32-blanc-nf-A7043815" TargetMode="External"/><Relationship Id="rId211" Type="http://schemas.openxmlformats.org/officeDocument/2006/relationships/hyperlink" Target="https://www.chausson.fr/quincaillerie/siphon-lavabo-coller-avec-entree-verticale-nicoll-diametre-mm-garde-deau-mm-pvc-gris-p-233869-1" TargetMode="External"/><Relationship Id="rId212" Type="http://schemas.openxmlformats.org/officeDocument/2006/relationships/hyperlink" Target="https://www.laplateforme.com/catalogue/produit/30699" TargetMode="External"/><Relationship Id="rId213" Type="http://schemas.openxmlformats.org/officeDocument/2006/relationships/hyperlink" Target="https://www.pointp.fr/p/electricite-plomberie-sanitaire/clapet-anti-retour-o-100mm-A1741030" TargetMode="External"/><Relationship Id="rId214" Type="http://schemas.openxmlformats.org/officeDocument/2006/relationships/hyperlink" Target="https://www.afdb.fr/nicoll-cart-clapet-anti-retour-pvc-d100-mm-nicoll-cart_SKU076424.html" TargetMode="External"/><Relationship Id="rId215" Type="http://schemas.openxmlformats.org/officeDocument/2006/relationships/hyperlink" Target="https://www.afdb.fr/selection-2676-colle-raccord-pvc-gel-pot-metal-500-ml-unecol-2676_SKU858356.html" TargetMode="External"/><Relationship Id="rId216" Type="http://schemas.openxmlformats.org/officeDocument/2006/relationships/hyperlink" Target="https://www.chausson.fr/materiaux/colle-pvc-rigide-obra-prise-rapide-500-p-508934-1" TargetMode="External"/><Relationship Id="rId217" Type="http://schemas.openxmlformats.org/officeDocument/2006/relationships/hyperlink" Target="https://www.pointp.fr/p/outillage-quincaillerie/colle-pvc-deltapro-500-ml-A1948659" TargetMode="External"/><Relationship Id="rId218" Type="http://schemas.openxmlformats.org/officeDocument/2006/relationships/hyperlink" Target="https://www.pointp.fr/p/salle-de-bain-wc-plomberie/couvre-joint-lateral-lavabo-collectif-lg-40-cm-ceramique-blanc-ref-763000000-A1023234" TargetMode="External"/><Relationship Id="rId219" Type="http://schemas.openxmlformats.org/officeDocument/2006/relationships/hyperlink" Target="https://www.afdb.fr/duravit-300600000-lavabo-ceramique-sanitaire-plein-60-cm-starck-3-duravit-300600000_SKU646099.html" TargetMode="External"/><Relationship Id="rId220" Type="http://schemas.openxmlformats.org/officeDocument/2006/relationships/hyperlink" Target="https://www.pointp.fr/p/salle-de-bain-wc-sanitaires/vasque-a-poser-lave-mains-mini-alterna-plenitude-blanc-brillant-A4936878" TargetMode="External"/><Relationship Id="rId221" Type="http://schemas.openxmlformats.org/officeDocument/2006/relationships/hyperlink" Target="https://www.laplateforme.com/catalogue/produit/143705" TargetMode="External"/><Relationship Id="rId222" Type="http://schemas.openxmlformats.org/officeDocument/2006/relationships/hyperlink" Target="https://www.afdb.fr/thalassor-square50-vasque-poser-square-50-mate-50x30-solid-surface-thalassor-square50_SKU838565.html" TargetMode="External"/><Relationship Id="rId223" Type="http://schemas.openxmlformats.org/officeDocument/2006/relationships/hyperlink" Target="https://www.laplateforme.com/catalogue/produit/150015" TargetMode="External"/><Relationship Id="rId224" Type="http://schemas.openxmlformats.org/officeDocument/2006/relationships/hyperlink" Target="https://www.pointp.fr/p/salle-de-bain-wc-sanitaires/pack-bati-support-et-wc-duofix-112-cm-avec-reservoir-a-encastrer-sigma-12-cm-plaque-de-declenchement-sigma20-ronde-wc-suspendu-renova-semi-carene-chasse-vortex-turboflush-ref-118-240-kj-1-A4989369" TargetMode="External"/><Relationship Id="rId225" Type="http://schemas.openxmlformats.org/officeDocument/2006/relationships/hyperlink" Target="https://www.afdb.fr/geberit-111-791-00-2-bati-support-duofix-wc-suspendu-geberit-111-791-00-2_SKU869195.html" TargetMode="External"/><Relationship Id="rId226" Type="http://schemas.openxmlformats.org/officeDocument/2006/relationships/hyperlink" Target="https://www.afdb.fr/vitra-8200b003-0075-cuvette-wc-poser-sortie-horizontale-normus-vitra-6858l003-1028_SKU390127.html" TargetMode="External"/><Relationship Id="rId227" Type="http://schemas.openxmlformats.org/officeDocument/2006/relationships/hyperlink" Target="https://www.pointp.fr/p/salle-de-bain-wc-sanitaires/cuvette-au-sol-bastia-sortie-horizontale-blanc-ref-501-960-00-1-A4862440" TargetMode="External"/><Relationship Id="rId228" Type="http://schemas.openxmlformats.org/officeDocument/2006/relationships/hyperlink" Target="https://www.afdb.fr/olfa-7ma0001-abattant-wc-marine-double-blanc-olfa-7ma0001_SKU430325.html" TargetMode="External"/><Relationship Id="rId229" Type="http://schemas.openxmlformats.org/officeDocument/2006/relationships/hyperlink" Target="https://www.chausson.fr/materiaux/pack-wc-au-sol-standard-norme-nf-double-commande-litres-abattant-double-p-444511-1" TargetMode="External"/><Relationship Id="rId230" Type="http://schemas.openxmlformats.org/officeDocument/2006/relationships/hyperlink" Target="https://www.pointp.fr/p/salle-de-bain-wc-sanitaires/receveur-de-douche-carre-alterna-concerto-blanc-90x90-ep-4-5-cm-pn12-classe-a-ref-0-A4955199" TargetMode="External"/><Relationship Id="rId231" Type="http://schemas.openxmlformats.org/officeDocument/2006/relationships/hyperlink" Target="https://www.afdb.fr/kinedo-rd950a-receveur-douche-kinerock-90x90-anthracite-recoupable-kinedo-rd950a_SKU757566.html" TargetMode="External"/><Relationship Id="rId232" Type="http://schemas.openxmlformats.org/officeDocument/2006/relationships/hyperlink" Target="https://www.chausson.fr/materiaux/bande-etanche-marmox-parois-receveur-douche-p-785336-1" TargetMode="External"/><Relationship Id="rId233" Type="http://schemas.openxmlformats.org/officeDocument/2006/relationships/hyperlink" Target="https://www.pointp.fr/p/salle-de-bain-wc-plomberie/paroi-d-extension-alterna-30-cm-fixe-pour-paroi-de-douche-fermee-concerto-profile-argent-brillant-verre-transparent-A4295706" TargetMode="External"/><Relationship Id="rId234" Type="http://schemas.openxmlformats.org/officeDocument/2006/relationships/hyperlink" Target="https://www.afdb.fr/roth-1406000056-paroi-douche-equi-fixe-verre-clair-roth-1406000056_SKU617181.html" TargetMode="External"/><Relationship Id="rId235" Type="http://schemas.openxmlformats.org/officeDocument/2006/relationships/hyperlink" Target="https://www.laplateforme.com/catalogue/produit/39958" TargetMode="External"/><Relationship Id="rId236" Type="http://schemas.openxmlformats.org/officeDocument/2006/relationships/hyperlink" Target="https://www.afdb.fr/franke-013939-evier-monocuve-inox-man711-1000-egouttoir-1000-x-600-cm-poser-franke-013939_SKU379281.html" TargetMode="External"/><Relationship Id="rId237" Type="http://schemas.openxmlformats.org/officeDocument/2006/relationships/hyperlink" Target="https://www.laplateforme.com/catalogue/produit/124248" TargetMode="External"/><Relationship Id="rId238" Type="http://schemas.openxmlformats.org/officeDocument/2006/relationships/hyperlink" Target="https://www.pointp.fr/p/electricite-plomberie-sanitaire/evier-primeo-a-encastrer-1-grande-cuve-en-synthese-blanc-avec-vidage-100x50-cm-A7696964" TargetMode="External"/><Relationship Id="rId239" Type="http://schemas.openxmlformats.org/officeDocument/2006/relationships/hyperlink" Target="https://www.afdb.fr/ariston-3000784-chauffe-eau-electrique-200-initio-xpert-blinde-vertical-socle-d570-mm-ariston-3000784_SKU859859.html" TargetMode="External"/><Relationship Id="rId240" Type="http://schemas.openxmlformats.org/officeDocument/2006/relationships/hyperlink" Target="https://www.chausson.fr/materiaux/chauffe-eau-electrique-stable-sageo-mm-p-448857-1" TargetMode="External"/><Relationship Id="rId241" Type="http://schemas.openxmlformats.org/officeDocument/2006/relationships/hyperlink" Target="https://www.afdb.fr/ariston-3010782-chauffe-eau-electrique-100-initio-xpert-blinde-horizontal-mural-d560-mm-ariston-3010782_SKU859873.html" TargetMode="External"/><Relationship Id="rId242" Type="http://schemas.openxmlformats.org/officeDocument/2006/relationships/hyperlink" Target="https://www.chausson.fr/materiaux/chauffe-eau-electrique-vertical-mural-sageo-mm-p-448879-1" TargetMode="External"/><Relationship Id="rId243" Type="http://schemas.openxmlformats.org/officeDocument/2006/relationships/hyperlink" Target="https://www.laplateforme.com/catalogue/produit/157392" TargetMode="External"/><Relationship Id="rId244" Type="http://schemas.openxmlformats.org/officeDocument/2006/relationships/hyperlink" Target="https://www.laplateforme.com/catalogue/produit/73687" TargetMode="External"/><Relationship Id="rId245" Type="http://schemas.openxmlformats.org/officeDocument/2006/relationships/hyperlink" Target="https://www.afdb.fr/watts-industries-2252550-groupe-securite-droit-sfr-3-4-chauffe-eau-watts-2252550_SKU409425.html" TargetMode="External"/><Relationship Id="rId246" Type="http://schemas.openxmlformats.org/officeDocument/2006/relationships/hyperlink" Target="https://www.chausson.fr/materiaux/groupe-securite-chauffe-eau-horizontal-p-448980-1" TargetMode="External"/><Relationship Id="rId247" Type="http://schemas.openxmlformats.org/officeDocument/2006/relationships/hyperlink" Target="https://www.afdb.fr/renson-international-u2r-854293-pompe-relevage-eaux-chargees-0-75-kw-inox-12-h-renson-854293_SKU739391.html" TargetMode="External"/><Relationship Id="rId248" Type="http://schemas.openxmlformats.org/officeDocument/2006/relationships/hyperlink" Target="https://www.pointp.fr/p/materiel-de-chantier/pompe-de-relevage-automatique-feka-600r-pour-eaux-usees-alimentation-electrique-230v-0-50-kw-3-1-a-debit-max-15m&#179;-h-ref-131172-A7851803" TargetMode="External"/><Relationship Id="rId249" Type="http://schemas.openxmlformats.org/officeDocument/2006/relationships/hyperlink" Target="https://www.chausson.fr/materiaux/pompe-submer-eusees-flygt-dx3069-p-459576-1" TargetMode="External"/><Relationship Id="rId250" Type="http://schemas.openxmlformats.org/officeDocument/2006/relationships/hyperlink" Target="https://www.afdb.fr/actana-multicollecto-broyeur-independant-3-entrees-sanitaire-sfa-multicollecto_SKU760199.html" TargetMode="External"/><Relationship Id="rId251" Type="http://schemas.openxmlformats.org/officeDocument/2006/relationships/hyperlink" Target="https://www.chausson.fr/quincaillerie/ruban-teflon-ptfe-joints-etancheite-largeur-mm-fitt-rouleau-metres-p-683959-1" TargetMode="External"/><Relationship Id="rId252" Type="http://schemas.openxmlformats.org/officeDocument/2006/relationships/hyperlink" Target="https://www.afdb.fr/sirius-104106-assortiment-joint-ptfe-teflon-o-3-8-o-1-1-2-sachet-100-pieces-sirius-104106_SKU087731.html" TargetMode="External"/><Relationship Id="rId253" Type="http://schemas.openxmlformats.org/officeDocument/2006/relationships/hyperlink" Target="https://www.laplateforme.com/catalogue/produit/150404" TargetMode="External"/><Relationship Id="rId254" Type="http://schemas.openxmlformats.org/officeDocument/2006/relationships/hyperlink" Target="https://www.pointp.fr/p/plomberie/pate-a-joint-pour-etancheite-pot-250g-novipro-A4848402" TargetMode="External"/><Relationship Id="rId255" Type="http://schemas.openxmlformats.org/officeDocument/2006/relationships/hyperlink" Target="https://www.chausson.fr/materiaux/kolmat-pate-joint-p-467432-1" TargetMode="External"/><Relationship Id="rId256" Type="http://schemas.openxmlformats.org/officeDocument/2006/relationships/hyperlink" Target="https://www.afdb.fr/pont-mousson-pate-lubrifiante-pam-joints-sbr-tuyaux-fonte-ftb01723_SKUM127637.html" TargetMode="External"/><Relationship Id="rId257" Type="http://schemas.openxmlformats.org/officeDocument/2006/relationships/hyperlink" Target="https://www.chausson.fr/quincaillerie/collier-isophonique-simple-tuyauteries-diametre14-mm-acier-zingue-blanc-x20-p-776520-1" TargetMode="External"/><Relationship Id="rId258" Type="http://schemas.openxmlformats.org/officeDocument/2006/relationships/hyperlink" Target="https://www.pointp.fr/p/plomberie/collier-de-fixation-ramclip-simple-blanc-diametre-16mm-pour-per-pregaine-diametre-12mm-x25pcs-ref-55417-A4831631" TargetMode="External"/><Relationship Id="rId259" Type="http://schemas.openxmlformats.org/officeDocument/2006/relationships/hyperlink" Target="https://www.afdb.fr/fischer-18939-collier-simple-isophonique-csi-20-mm-boite-100-fischer-18939_SKU245779.html" TargetMode="External"/><Relationship Id="rId260" Type="http://schemas.openxmlformats.org/officeDocument/2006/relationships/hyperlink" Target="https://www.chausson.fr/materiaux/tube-isolant-fendu-adhesif-encollage-bord-bord-ep32o22mm-p-474207-1" TargetMode="External"/><Relationship Id="rId261" Type="http://schemas.openxmlformats.org/officeDocument/2006/relationships/hyperlink" Target="https://www.pointp.fr/p/autres-revetements-sol-et-mur/sous-couche-isol-20-rouleau-de-25m&#178;-ref-1001662-A1984278" TargetMode="External"/><Relationship Id="rId262" Type="http://schemas.openxmlformats.org/officeDocument/2006/relationships/hyperlink" Target="https://www.pointp.fr/p/electricite-ventilation/radiateur-electrique-fluide-altech-horizontal-1500w-blanc-A4812110" TargetMode="External"/><Relationship Id="rId263" Type="http://schemas.openxmlformats.org/officeDocument/2006/relationships/hyperlink" Target="https://www.afdb.fr/atlantic-529942-radiateur-chaleur-douce-nirvana-neo-inertie-intelligent-1500-w-blanc-atlantic-529942_SKU899607.html" TargetMode="External"/><Relationship Id="rId264" Type="http://schemas.openxmlformats.org/officeDocument/2006/relationships/hyperlink" Target="https://www.rexel.fr/frx/search?text=" TargetMode="External"/><Relationship Id="rId265" Type="http://schemas.openxmlformats.org/officeDocument/2006/relationships/hyperlink" Target="https://www.pointp.fr/p/electricite-ventilation/panneau-rayonnant-digital-amadeus-3-horizontal-1000w-blanc-ref-443219-A4292912" TargetMode="External"/><Relationship Id="rId266" Type="http://schemas.openxmlformats.org/officeDocument/2006/relationships/hyperlink" Target="https://www.afdb.fr/atlantic-423535-radiateur-electrique-panneau-rayonnant-horizontal-solius-digital-1000-w-atlantic-423535_SKU786919.html" TargetMode="External"/><Relationship Id="rId267" Type="http://schemas.openxmlformats.org/officeDocument/2006/relationships/hyperlink" Target="https://www.pointp.fr/p/decoration-interieure/radiateur-seche-serviettes-electrique-primeo2-944-x-500-mm-blanc-A6841973" TargetMode="External"/><Relationship Id="rId268" Type="http://schemas.openxmlformats.org/officeDocument/2006/relationships/hyperlink" Target="https://www.afdb.fr/atlantic-850006-seche-serviettes-electrique-nefertiti-mat-droite-500-w-blanc-brillant-atlantic-850006_SKU867878.html" TargetMode="External"/><Relationship Id="rId269" Type="http://schemas.openxmlformats.org/officeDocument/2006/relationships/hyperlink" Target="https://www.afdb.fr/atlantic-423535-radiateur-electrique-panneau-rayonnant-horizontal-solius-digital-1000-w-atlantic-423535_SKU786919.html" TargetMode="External"/><Relationship Id="rId270" Type="http://schemas.openxmlformats.org/officeDocument/2006/relationships/hyperlink" Target="https://www.afdb.fr/comap-r809603-robinet-radiateur-thermostatique-droit-3-8-comap-r809603_SKU408425.html" TargetMode="External"/><Relationship Id="rId271" Type="http://schemas.openxmlformats.org/officeDocument/2006/relationships/hyperlink" Target="https://www.chausson.fr/materiaux/robinet-thermostatique-droit-element-sensible-liquide-p-464524-1" TargetMode="External"/><Relationship Id="rId272" Type="http://schemas.openxmlformats.org/officeDocument/2006/relationships/hyperlink" Target="https://www.pointp.fr/p/salle-de-bain-wc-sanitaires/kit-robinet-radiateur-thermostatique-design-blanc-alterna-droit-15-x-21-A3184347" TargetMode="External"/><Relationship Id="rId273" Type="http://schemas.openxmlformats.org/officeDocument/2006/relationships/hyperlink" Target="https://www.afdb.fr/comap-429303-coude-reglage-radiateur-3-fonctions-droit-nickele-3-8-comap-429303_SKU408419.html" TargetMode="External"/><Relationship Id="rId274" Type="http://schemas.openxmlformats.org/officeDocument/2006/relationships/hyperlink" Target="https://www.afdb.fr/giacomini-r200x001-purgeur-air-automatique-radiateurs-r200-giacomini-r200x002_SKU166790.html" TargetMode="External"/><Relationship Id="rId275" Type="http://schemas.openxmlformats.org/officeDocument/2006/relationships/hyperlink" Target="https://www.chausson.fr/materiaux/purgeur-automatique-r2-avec-clapet-disolement-p-449245-1" TargetMode="External"/><Relationship Id="rId276" Type="http://schemas.openxmlformats.org/officeDocument/2006/relationships/hyperlink" Target="https://www.afdb.fr/thermador-eva24070180-circulateur-electronique-chauffage-evosta-2-entraxe-180-mm-thermador-eva24070180_SKU759652.html" TargetMode="External"/><Relationship Id="rId277" Type="http://schemas.openxmlformats.org/officeDocument/2006/relationships/hyperlink" Target="https://www.pointp.fr/p/outils-equipement-accessoires/gaz-neutre-m414-aerosol-de-360-ml-A6270125" TargetMode="External"/><Relationship Id="rId278" Type="http://schemas.openxmlformats.org/officeDocument/2006/relationships/hyperlink" Target="https://www.afdb.fr/watts-industries-22vr18-vase-expansion-18-m3-4-d280-vessie-interchangeable-watts-22vr18_SKU741155.html" TargetMode="External"/><Relationship Id="rId279" Type="http://schemas.openxmlformats.org/officeDocument/2006/relationships/hyperlink" Target="https://www.chausson.fr/materiaux/vase-dexpansion-ferme-18l-bar-chauffage-climatisation-p-449262-1" TargetMode="External"/><Relationship Id="rId280" Type="http://schemas.openxmlformats.org/officeDocument/2006/relationships/hyperlink" Target="https://www.chausson.fr/materiaux/thermostat-dambiance-ta2-p-449256-1" TargetMode="External"/><Relationship Id="rId281" Type="http://schemas.openxmlformats.org/officeDocument/2006/relationships/hyperlink" Target="https://www.pointp.fr/p/electricite-ventilation/thermostat-d-ambiance-saillie-mecanique-ref-049898-A1971161" TargetMode="External"/><Relationship Id="rId282" Type="http://schemas.openxmlformats.org/officeDocument/2006/relationships/hyperlink" Target="https://www.afdb.fr/bosch-7724001292-thermostat-ambiance-programmable-hebdomadaire-fil-or-100rf-bosch-7724001292_SKU869111.html" TargetMode="External"/><Relationship Id="rId283" Type="http://schemas.openxmlformats.org/officeDocument/2006/relationships/hyperlink" Target="https://www.pointp.fr/p/electricite-plomberie-sanitaire/vmc-simple-flux-autoreglable-deco-2-n-ref-604140-A6862455" TargetMode="External"/><Relationship Id="rId284" Type="http://schemas.openxmlformats.org/officeDocument/2006/relationships/hyperlink" Target="https://www.chausson.fr/quincaillerie/ensemble-vmc-simple-flux-autoreglable-stylair-bc-autogyre-p-689073-1" TargetMode="External"/><Relationship Id="rId285" Type="http://schemas.openxmlformats.org/officeDocument/2006/relationships/hyperlink" Target="https://www.afdb.fr/aldes-11026035-kit-vmc-easyhome-simple-flux-autoregrable-compact-aldes-11026035_SKU860667.html" TargetMode="External"/><Relationship Id="rId286" Type="http://schemas.openxmlformats.org/officeDocument/2006/relationships/hyperlink" Target="https://www.pointp.fr/p/couverture/bouche-d-extraction-ou-insufflation-pour-cuisine-diametre-125mm-A1747176" TargetMode="External"/><Relationship Id="rId287" Type="http://schemas.openxmlformats.org/officeDocument/2006/relationships/hyperlink" Target="https://www.afdb.fr/unelvent-850195-bouche-extraction-hygroreglable-behs-10-40-m3-h-p-850195_SKU880125.html" TargetMode="External"/><Relationship Id="rId288" Type="http://schemas.openxmlformats.org/officeDocument/2006/relationships/hyperlink" Target="https://www.afdb.fr/autogyre-400640-bouche-extraction-sanitaire-80-mm-autogyre-400640_SKU666110.html" TargetMode="External"/><Relationship Id="rId289" Type="http://schemas.openxmlformats.org/officeDocument/2006/relationships/hyperlink" Target="https://www.chausson.fr/quincaillerie/bouche-dextraction-autoreglable-vmc-sanitaire-cloison-80mm-p-755665-1" TargetMode="External"/><Relationship Id="rId290" Type="http://schemas.openxmlformats.org/officeDocument/2006/relationships/hyperlink" Target="https://www.pointp.fr/p/couverture/bouche-d-extraction-ou-insufflation-pour-sanitaire-diametre-80mm-A1747175" TargetMode="External"/><Relationship Id="rId291" Type="http://schemas.openxmlformats.org/officeDocument/2006/relationships/hyperlink" Target="https://www.chausson.fr/quincaillerie/gaine-ventilation-souple-vmc-diametre-100mm-longueur-3m-pvc-autogyre-p-689062-1" TargetMode="External"/><Relationship Id="rId292" Type="http://schemas.openxmlformats.org/officeDocument/2006/relationships/hyperlink" Target="https://www.rexel.fr/frx/search?text=" TargetMode="External"/><Relationship Id="rId293" Type="http://schemas.openxmlformats.org/officeDocument/2006/relationships/hyperlink" Target="https://www.pointp.fr/p/toiture/gaine-pvc-souple-isolee-6-metres-sous-filet-diametre-gaine-125-mm-epaisseur-isolant-25-mm-ref-61012506-A7410003" TargetMode="External"/><Relationship Id="rId294" Type="http://schemas.openxmlformats.org/officeDocument/2006/relationships/hyperlink" Target="https://www.afdb.fr/unelvent-813922-gaine-souple-pvc-isolees-serie-gp-125-p-813922_SKU647683.html" TargetMode="External"/><Relationship Id="rId295" Type="http://schemas.openxmlformats.org/officeDocument/2006/relationships/hyperlink" Target="https://www.afdb.fr/ks-tools-150-1330-jeu-6-extracteurs-goujons-goujons-m3-m24-ks-tools-150-1330_SKU806962.html" TargetMode="External"/><Relationship Id="rId296" Type="http://schemas.openxmlformats.org/officeDocument/2006/relationships/hyperlink" Target="https://www.afdb.fr/porcher-d2500aa-mitigeur-bain-douche-olyos-mural-aerateur-integre-porcher-d2500aa_SKU863720.html" TargetMode="External"/><Relationship Id="rId297" Type="http://schemas.openxmlformats.org/officeDocument/2006/relationships/hyperlink" Target="https://www.pointp.fr/p/couverture/habillage-pour-grille-de-ventilation-ref-gvh-55000278-A3051510" TargetMode="External"/><Relationship Id="rId298" Type="http://schemas.openxmlformats.org/officeDocument/2006/relationships/hyperlink" Target="https://www.chausson.fr/quincaillerie/grille-ventilation-murale-exterieure-clapet-diametre-100-mm-155-155-mm-inox-p-755688-1" TargetMode="External"/><Relationship Id="rId299" Type="http://schemas.openxmlformats.org/officeDocument/2006/relationships/hyperlink" Target="https://www.pointp.fr/p/couverture/chapeau-de-ventilation-ucc10-pvc-ardoise-embase-100-mm-A1734270" TargetMode="External"/><Relationship Id="rId300" Type="http://schemas.openxmlformats.org/officeDocument/2006/relationships/hyperlink" Target="https://www.chausson.fr/quincaillerie/chapeau-ventilation-toiture-tuile-ardoise-diametre-125-mm-couleur-tuile-p-688994-1" TargetMode="External"/><Relationship Id="rId301" Type="http://schemas.openxmlformats.org/officeDocument/2006/relationships/hyperlink" Target="https://www.afdb.fr/unelvent-870073-chapeau-toiture-rectangle-tuile-125-mm-plastique-unelvent-870073_SKU405537.html" TargetMode="External"/><Relationship Id="rId302" Type="http://schemas.openxmlformats.org/officeDocument/2006/relationships/hyperlink" Target="https://www.afdb.fr/bosch-ensemble-mono-split-climate-6000i-bosch-groupe-exterieur-unite-interieure_SKUM216116.html" TargetMode="External"/><Relationship Id="rId303" Type="http://schemas.openxmlformats.org/officeDocument/2006/relationships/hyperlink" Target="https://www.afdb.fr/sfa-sk6-pompe-relevage-condensats-sanicondens-pro-6-2-min-sfa-sk6_SKU390823.html" TargetMode="External"/><Relationship Id="rId304" Type="http://schemas.openxmlformats.org/officeDocument/2006/relationships/hyperlink" Target="https://www.afdb.fr/selection-04-blwc80-sortie-murale-goulotte-80mm-climatisation-mc-distribution-04-blwc80_SKU857861.html" TargetMode="External"/><Relationship Id="rId305" Type="http://schemas.openxmlformats.org/officeDocument/2006/relationships/hyperlink" Target="https://www.afdb.fr/elm-leblanc-7716780358-ser-50-sonde-temperature-exterieure_SKU845383.html" TargetMode="External"/><Relationship Id="rId306" Type="http://schemas.openxmlformats.org/officeDocument/2006/relationships/hyperlink" Target="https://www.afdb.fr/selection-802-02-manometre-radial-8-13-d50-4-bar-802-02_SKU390004.html" TargetMode="External"/><Relationship Id="rId307" Type="http://schemas.openxmlformats.org/officeDocument/2006/relationships/hyperlink" Target="https://www.pointp.fr/p/electricite-plomberie-sanitaire/manometre-0-10-bars-8-x-13-laterale-noyon-thiebault-ref-7570-08c1-A1531250" TargetMode="External"/><Relationship Id="rId308" Type="http://schemas.openxmlformats.org/officeDocument/2006/relationships/hyperlink" Target="https://www.chausson.fr/materiaux/soupape-surete-chauffage-zm-nf-bar-avec-manometre-code-usine-313-p-449248-1" TargetMode="External"/><Relationship Id="rId309" Type="http://schemas.openxmlformats.org/officeDocument/2006/relationships/hyperlink" Target="https://www.prolians.fr/catalogsearch/result/?q=" TargetMode="External"/><Relationship Id="rId310" Type="http://schemas.openxmlformats.org/officeDocument/2006/relationships/hyperlink" Target="https://www.pointp.fr/p/portes-fenetres-menuiserie/serrure-a-encastrer-40mm-gache-bdc-ref-901100-A6323641" TargetMode="External"/><Relationship Id="rId311" Type="http://schemas.openxmlformats.org/officeDocument/2006/relationships/hyperlink" Target="https://www.chausson.fr/quincaillerie/serrure-larder-point-pene-dormant-rouleau-cylindre-europeen-gache-electrique-metalux-p-711381-1" TargetMode="External"/><Relationship Id="rId312" Type="http://schemas.openxmlformats.org/officeDocument/2006/relationships/hyperlink" Target="https://www.afdb.fr/heracles-g846h697k0r-serrure-monopoint-larder-mesure-conservatoire-cle-i-axe-50-mm-tetiere-250-x-20-mm-ix-g-heracles-i-l370-50x_SKU778873.html" TargetMode="External"/><Relationship Id="rId313" Type="http://schemas.openxmlformats.org/officeDocument/2006/relationships/hyperlink" Target="https://www.pointp.fr/p/quincaillerie/serrure-applque-pdt-1-2t-140x80-g-1cles-A4931835" TargetMode="External"/><Relationship Id="rId314" Type="http://schemas.openxmlformats.org/officeDocument/2006/relationships/hyperlink" Target="https://www.chausson.fr/quincaillerie/serrure-applique-horizontale-epoxy-noir-granite-axe-70-mm-gauche-p-777691-1" TargetMode="External"/><Relationship Id="rId315" Type="http://schemas.openxmlformats.org/officeDocument/2006/relationships/hyperlink" Target="https://www.prolians.fr/catalogsearch/result/?q=" TargetMode="External"/><Relationship Id="rId316" Type="http://schemas.openxmlformats.org/officeDocument/2006/relationships/hyperlink" Target="https://www.afdb.fr/heracles-serrure-3-points-applique-picard-serrures-kleops-heracles-vakmobil_SKUM126253.html" TargetMode="External"/><Relationship Id="rId317" Type="http://schemas.openxmlformats.org/officeDocument/2006/relationships/hyperlink" Target="https://www.prolians.fr/catalogsearch/result/?q=" TargetMode="External"/><Relationship Id="rId318" Type="http://schemas.openxmlformats.org/officeDocument/2006/relationships/hyperlink" Target="https://www.afdb.fr/heracles-1803s0655-serrure-carenee-5-points-sesame-hq2-gache-tirant-droite-blanc-3-a2p-heracles-np1803hqdt1s_SKU849007.html" TargetMode="External"/><Relationship Id="rId319" Type="http://schemas.openxmlformats.org/officeDocument/2006/relationships/hyperlink" Target="https://www.chausson.fr/quincaillerie/cylindre-bouton-abus-b5lt-titalium-5goupilles-profil-europeen-30x30mm-p-227003-1" TargetMode="External"/><Relationship Id="rId320" Type="http://schemas.openxmlformats.org/officeDocument/2006/relationships/hyperlink" Target="https://www.pointp.fr/p/portes-fenetres-menuiserie/cylindre-e50-30-x-30-mm-cote-a-bouton-serrure-europeenne-nickele-blister-ref-ke50n-z30-k30-b-f-A4508917" TargetMode="External"/><Relationship Id="rId321" Type="http://schemas.openxmlformats.org/officeDocument/2006/relationships/hyperlink" Target="https://www.afdb.fr/heracles-cev5s0207-cylindre-profil-europeen-30x30-axe-60mm-heracles-cev5s0207_SKU216619.html" TargetMode="External"/><Relationship Id="rId322" Type="http://schemas.openxmlformats.org/officeDocument/2006/relationships/hyperlink" Target="https://www.chausson.fr/quincaillerie/cylindre-bouton-abus-b5lt-titalium-5goupilles-profil-europeen-30x30mm-p-227003-1" TargetMode="External"/><Relationship Id="rId323" Type="http://schemas.openxmlformats.org/officeDocument/2006/relationships/hyperlink" Target="https://www.pointp.fr/p/portes-fenetres-menuiserie/cylindre-e50-30-x-30-mm-cote-a-bouton-serrure-europeenne-nickele-blister-ref-ke50n-z30-k30-b-f-A4508917" TargetMode="External"/><Relationship Id="rId324" Type="http://schemas.openxmlformats.org/officeDocument/2006/relationships/hyperlink" Target="https://www.afdb.fr/heracles-np3030b00h-cylindre-profil-europeen-bouton-30x30mm-axe-60mm-heracles-np3030b00h_SKU482357.html" TargetMode="External"/><Relationship Id="rId325" Type="http://schemas.openxmlformats.org/officeDocument/2006/relationships/hyperlink" Target="https://www.prolians.fr/catalogsearch/result/?q=17321757" TargetMode="External"/><Relationship Id="rId326" Type="http://schemas.openxmlformats.org/officeDocument/2006/relationships/hyperlink" Target="https://www.pointp.fr/p/quincaillerie/verrou-eco-trident-avec-simple-bouton-emballage-boite-carton-ref-00802002-A4934544" TargetMode="External"/><Relationship Id="rId327" Type="http://schemas.openxmlformats.org/officeDocument/2006/relationships/hyperlink" Target="https://www.chausson.fr/quincaillerie/verrou-basik-40mm-btn-bronze-p-236250-1" TargetMode="External"/><Relationship Id="rId328" Type="http://schemas.openxmlformats.org/officeDocument/2006/relationships/hyperlink" Target="https://www.prolians.fr/catalogsearch/result/?q=" TargetMode="External"/><Relationship Id="rId329" Type="http://schemas.openxmlformats.org/officeDocument/2006/relationships/hyperlink" Target="https://www.afdb.fr/bricard-3378000-verrou-super-surete-cuirasse-bouton-bille-bronze-bricard-3378-000_SKU075079.html" TargetMode="External"/><Relationship Id="rId330" Type="http://schemas.openxmlformats.org/officeDocument/2006/relationships/hyperlink" Target="https://www.chausson.fr/quincaillerie/serrure-larder-point-pene-dormant-rouleau-cylindre-europeen-gache-electrique-metalux-p-711381-1" TargetMode="External"/><Relationship Id="rId331" Type="http://schemas.openxmlformats.org/officeDocument/2006/relationships/hyperlink" Target="https://www.afdb.fr/sewosy-seu13-gache-electrique-emission-rupture-12-24-v-ac-dc-sewosy-seu13_SKU880058.html" TargetMode="External"/><Relationship Id="rId332" Type="http://schemas.openxmlformats.org/officeDocument/2006/relationships/hyperlink" Target="https://www.prolians.fr/catalogsearch/result/?q=" TargetMode="External"/><Relationship Id="rId333" Type="http://schemas.openxmlformats.org/officeDocument/2006/relationships/hyperlink" Target="https://www.chausson.fr/quincaillerie/serrure-larder-point-pene-dormant-rouleau-cylindre-europeen-gache-electrique-metalux-p-711381-1" TargetMode="External"/><Relationship Id="rId334" Type="http://schemas.openxmlformats.org/officeDocument/2006/relationships/hyperlink" Target="https://www.prolians.fr/catalogsearch/result/?q=" TargetMode="External"/><Relationship Id="rId335" Type="http://schemas.openxmlformats.org/officeDocument/2006/relationships/hyperlink" Target="https://www.afdb.fr/eff-eff-17rr-r11-gache-electrique-12v-emission-encastree-contact-eff-eff-17rr-r11_SKU241669.html" TargetMode="External"/><Relationship Id="rId336" Type="http://schemas.openxmlformats.org/officeDocument/2006/relationships/hyperlink" Target="https://www.afdb.fr/eff-eff-bva300nas-ventouse-electromagnetique-300-kg-24-v-eff-eff-bva300nas_SKU569639.html" TargetMode="External"/><Relationship Id="rId337" Type="http://schemas.openxmlformats.org/officeDocument/2006/relationships/hyperlink" Target="https://www.prolians.fr/catalogsearch/result/?q=" TargetMode="External"/><Relationship Id="rId338" Type="http://schemas.openxmlformats.org/officeDocument/2006/relationships/hyperlink" Target="https://www.prolians.fr/catalogsearch/result/?q=" TargetMode="External"/><Relationship Id="rId339" Type="http://schemas.openxmlformats.org/officeDocument/2006/relationships/hyperlink" Target="https://www.afdb.fr/cdvi-f0525000008-ventouse-cisaillement-1200-kg-12-24-v-dc-cdvi-f0525000008_SKU861102.html" TargetMode="External"/><Relationship Id="rId340" Type="http://schemas.openxmlformats.org/officeDocument/2006/relationships/hyperlink" Target="https://www.afdb.fr/heracles-ferme-porte-10-bras-compas-argent-heracles-first_SKUM96877.html" TargetMode="External"/><Relationship Id="rId341" Type="http://schemas.openxmlformats.org/officeDocument/2006/relationships/hyperlink" Target="https://www.pointp.fr/p/outils-equipement-accessoires/ferme-porte-groom-gr-101-avec-bras-normal-argent-force-2-3-ref-407518-A3159136" TargetMode="External"/><Relationship Id="rId342" Type="http://schemas.openxmlformats.org/officeDocument/2006/relationships/hyperlink" Target="https://www.prolians.fr/catalogsearch/result/?q=" TargetMode="External"/><Relationship Id="rId343" Type="http://schemas.openxmlformats.org/officeDocument/2006/relationships/hyperlink" Target="https://www.chausson.fr/quincaillerie/ferme-porte-alu-reglvit-85kg-p-236494-1" TargetMode="External"/><Relationship Id="rId344" Type="http://schemas.openxmlformats.org/officeDocument/2006/relationships/hyperlink" Target="https://www.chausson.fr/quincaillerie/plaque-support-din-profil-metallique-groom-ferme-porte-3400-3500-p-667966-1" TargetMode="External"/><Relationship Id="rId345" Type="http://schemas.openxmlformats.org/officeDocument/2006/relationships/hyperlink" Target="https://www.pointp.fr/p/portes-fenetres-menuiserie/plaque-tetiere-chrome-satine-pour-mortaise-de-porte-coulissante-bois-A3826963" TargetMode="External"/><Relationship Id="rId346" Type="http://schemas.openxmlformats.org/officeDocument/2006/relationships/hyperlink" Target="https://www.afdb.fr/dorma-64010001-bras-glissiere-ferme-porte-series-ts91-92-93-contur-finition-argent-dorma-64010001_SKU396788.html" TargetMode="External"/><Relationship Id="rId347" Type="http://schemas.openxmlformats.org/officeDocument/2006/relationships/hyperlink" Target="https://www.prolians.fr/catalogsearch/result/?q=" TargetMode="External"/><Relationship Id="rId348" Type="http://schemas.openxmlformats.org/officeDocument/2006/relationships/hyperlink" Target="https://www.chausson.fr/quincaillerie/barre-anti-panique-1point-longueur-1165mm-aluminium-anodise-p-722048-1" TargetMode="External"/><Relationship Id="rId349" Type="http://schemas.openxmlformats.org/officeDocument/2006/relationships/hyperlink" Target="https://www.afdb.fr/iseo-942108477ta-serrure-anti-panique-push-barre-idea-1-point-pene-lateral-argent-iseo-942108477ta_SKU587820.html" TargetMode="External"/><Relationship Id="rId350" Type="http://schemas.openxmlformats.org/officeDocument/2006/relationships/hyperlink" Target="https://www.chausson.fr/quincaillerie/barre-anti-panique-3points-lateraux-fluid-longueur-1165-mm-aluminium-anodise-p-722054-1" TargetMode="External"/><Relationship Id="rId351" Type="http://schemas.openxmlformats.org/officeDocument/2006/relationships/hyperlink" Target="https://www.afdb.fr/iseo-942308477ta-serrure-anti-panique-push-barre-idea-3-points-finition-argent-iseo-942308477ta_SKU587823.html" TargetMode="External"/><Relationship Id="rId352" Type="http://schemas.openxmlformats.org/officeDocument/2006/relationships/hyperlink" Target="https://www.chausson.fr/quincaillerie/poignee-porte-interieure-vachette-lc3-bequille-coudee-arrondie-avec-retour-sur-rosace-ronde-inox-brosse-p-811889-1" TargetMode="External"/><Relationship Id="rId353" Type="http://schemas.openxmlformats.org/officeDocument/2006/relationships/hyperlink" Target="https://www.afdb.fr/heracles-b-inox-pt902-poignee-plaque-tirage-cle-i-inox-brosse-heracles-b-inox-pt902_SKU030461.html" TargetMode="External"/><Relationship Id="rId354" Type="http://schemas.openxmlformats.org/officeDocument/2006/relationships/hyperlink" Target="https://www.pointp.fr/p/quincaillerie/grt-sur-plaques-etroites-avec-mousse-grt-avec-carre-a-montage-rapide-hoppe-f9-alu-aspect-inox-7-mm-cle-i-pz-70-mm-68-77-mm-hoppe-logo-65-mm-entre-pilier-sup-et-milieu-du-trou-de-poignee-A4113128" TargetMode="External"/><Relationship Id="rId355" Type="http://schemas.openxmlformats.org/officeDocument/2006/relationships/hyperlink" Target="https://www.pointp.fr/p/quincaillerie/bequille-double-c8x110mm-1p-noir-ref-00903476-A4651104" TargetMode="External"/><Relationship Id="rId356" Type="http://schemas.openxmlformats.org/officeDocument/2006/relationships/hyperlink" Target="https://www.prolians.fr/catalogsearch/result/?q=" TargetMode="External"/><Relationship Id="rId357" Type="http://schemas.openxmlformats.org/officeDocument/2006/relationships/hyperlink" Target="https://www.afdb.fr/heracles-b-inox-re03-bequille-double-rosace-etroite-inox-jade-1294-heracles-b-inox-re03_SKU760515.html" TargetMode="External"/><Relationship Id="rId358" Type="http://schemas.openxmlformats.org/officeDocument/2006/relationships/hyperlink" Target="https://www.chausson.fr/quincaillerie/poignee-porte-bec-cane-sur-rosace-vachette-scult-platine-p-211198-1" TargetMode="External"/><Relationship Id="rId359" Type="http://schemas.openxmlformats.org/officeDocument/2006/relationships/hyperlink" Target="https://www.prolians.fr/catalogsearch/result/?q=" TargetMode="External"/><Relationship Id="rId360" Type="http://schemas.openxmlformats.org/officeDocument/2006/relationships/hyperlink" Target="https://www.afdb.fr/heracles-ps100abbam-paumelle-souder-100-mm-butee-billes-classe-1-heracles-q-pas100bb_SKU515353.html" TargetMode="External"/><Relationship Id="rId361" Type="http://schemas.openxmlformats.org/officeDocument/2006/relationships/hyperlink" Target="https://www.afdb.fr/faure-fils-164n120-11l-paumelle-164-120-x-11-mm-gauche-faure-fils-164n120-11l_SKU394340.html" TargetMode="External"/><Relationship Id="rId362" Type="http://schemas.openxmlformats.org/officeDocument/2006/relationships/hyperlink" Target="https://www.chausson.fr/quincaillerie/butoir-porte-caoutchouc-blanc-31x35mm-p-722102-1" TargetMode="External"/><Relationship Id="rId363" Type="http://schemas.openxmlformats.org/officeDocument/2006/relationships/hyperlink" Target="https://www.afdb.fr/civic-industrie-butoir-sol-civic-industrie-visser_SKUM6047.html" TargetMode="External"/><Relationship Id="rId364" Type="http://schemas.openxmlformats.org/officeDocument/2006/relationships/hyperlink" Target="https://www.afdb.fr/heracles-8545_g5-selecteur-fermeture-argent-heracles-f-8535-arg_SKU409914.html" TargetMode="External"/><Relationship Id="rId365" Type="http://schemas.openxmlformats.org/officeDocument/2006/relationships/hyperlink" Target="https://www.chausson.fr/materiaux/ossature-plafonds-porteur-dx24-p-598049-1" TargetMode="External"/><Relationship Id="rId366" Type="http://schemas.openxmlformats.org/officeDocument/2006/relationships/hyperlink" Target="https://www.afdb.fr/joint-dual-joint-etancheite-joint-dual-cadre-porte-f_SKUM86400.html" TargetMode="External"/><Relationship Id="rId367" Type="http://schemas.openxmlformats.org/officeDocument/2006/relationships/hyperlink" Target="https://www.prolians.fr/catalogsearch/result/?q=" TargetMode="External"/><Relationship Id="rId368" Type="http://schemas.openxmlformats.org/officeDocument/2006/relationships/hyperlink" Target="https://www.pointp.fr/p/menuiseries-interieures/bloc-porte-ei30-prepeint-isophonique-stable-30dba-huisserie-72-A3540551" TargetMode="External"/><Relationship Id="rId369" Type="http://schemas.openxmlformats.org/officeDocument/2006/relationships/hyperlink" Target="https://www.prolians.fr/catalogsearch/result/?q=" TargetMode="External"/><Relationship Id="rId370" Type="http://schemas.openxmlformats.org/officeDocument/2006/relationships/hyperlink" Target="https://www.afdb.fr/ellen-1808152-bas-porte-automatique-encastrer-matic-3-alu-73-cm-ellen-1808152_SKU390436.html" TargetMode="External"/><Relationship Id="rId371" Type="http://schemas.openxmlformats.org/officeDocument/2006/relationships/hyperlink" Target="https://www.chausson.fr/quincaillerie/plinthe-automatique-encastrable-isophonique-bas-porte-86-keb-klobruit-invisible-73-p-711287-1" TargetMode="External"/><Relationship Id="rId372" Type="http://schemas.openxmlformats.org/officeDocument/2006/relationships/hyperlink" Target="https://www.pointp.fr/p/portes-fenetres-menuiserie/porte-usinee-circee-pour-caisson-scrigno-epicea-massif-brut-premier-choix-rive-droite-rainurage-sur-le-bas-de-la-porte-15-x-15-mm-defoncage-pour-poignee-cuvette-204-x-73-cm-A4458022" TargetMode="External"/><Relationship Id="rId373" Type="http://schemas.openxmlformats.org/officeDocument/2006/relationships/hyperlink" Target="https://www.afdb.fr/prefer-6221-001z-0000-serrure-rideau-metallique-profil-europeen-prefer-6221-001z-0000_SKU218273.html" TargetMode="External"/><Relationship Id="rId374" Type="http://schemas.openxmlformats.org/officeDocument/2006/relationships/hyperlink" Target="https://www.prolians.fr/catalogsearch/result/?q=" TargetMode="External"/><Relationship Id="rId375" Type="http://schemas.openxmlformats.org/officeDocument/2006/relationships/hyperlink" Target="https://www.prolians.fr/catalogsearch/result/?q=" TargetMode="External"/><Relationship Id="rId376" Type="http://schemas.openxmlformats.org/officeDocument/2006/relationships/hyperlink" Target="https://www.pointp.fr/p/toiture-charpente/kit-d-adaptation-pour-ssl-zoz-221-s22-A7584129" TargetMode="External"/><Relationship Id="rId377" Type="http://schemas.openxmlformats.org/officeDocument/2006/relationships/hyperlink" Target="https://www.afdb.fr/cherubini-73117004ach00-treuil-vis-fin-10-1-volet-roulant-modele-c10-6p7-afc-zamak-cherubini-73117004ach00_SKU618589.html" TargetMode="External"/><Relationship Id="rId378" Type="http://schemas.openxmlformats.org/officeDocument/2006/relationships/hyperlink" Target="https://www.chausson.fr/quincaillerie/cadenas-type-corps-laiton-40-mm-grade-anse-acier-cemente-cles-thirard-p-152514-1" TargetMode="External"/><Relationship Id="rId379" Type="http://schemas.openxmlformats.org/officeDocument/2006/relationships/hyperlink" Target="https://www.afdb.fr/heracles-i-cad40mv-cadenas-standard-laiton-uno-40-mm-entrouvrant-anse-u-heracles-i-cad40mv_SKU389782.html" TargetMode="External"/><Relationship Id="rId380" Type="http://schemas.openxmlformats.org/officeDocument/2006/relationships/hyperlink" Target="https://www.pointp.fr/p/outils-equipement-accessoires/cadenas-84-50mm-anse-inox-en-blister-ref-84ib-50-b-dfnli-A7088144" TargetMode="External"/><Relationship Id="rId381" Type="http://schemas.openxmlformats.org/officeDocument/2006/relationships/hyperlink" Target="https://www.prolians.fr/catalogsearch/result/?q=" TargetMode="External"/><Relationship Id="rId382" Type="http://schemas.openxmlformats.org/officeDocument/2006/relationships/hyperlink" Target="https://www.afdb.fr/heracles-i-cad-l40-cadenas-anse-haute-longo-longueur-40-mm-heracles-i-cad-l40_SKU488441.html" TargetMode="External"/><Relationship Id="rId383" Type="http://schemas.openxmlformats.org/officeDocument/2006/relationships/hyperlink" Target="https://www.chausson.fr/quincaillerie/cadenas-aluminium-abus-titalium-haute-anse-80mm-p-236893-1" TargetMode="External"/><Relationship Id="rId384" Type="http://schemas.openxmlformats.org/officeDocument/2006/relationships/hyperlink" Target="https://www.pointp.fr/p/outils-equipement-accessoires/cadenas-60-40-mm-haute-anse-63-mm-blister-ref-60-40hb63-b-efspp-A4508912" TargetMode="External"/><Relationship Id="rId385" Type="http://schemas.openxmlformats.org/officeDocument/2006/relationships/hyperlink" Target="https://www.prolians.fr/catalogsearch/result/?q=" TargetMode="External"/><Relationship Id="rId386" Type="http://schemas.openxmlformats.org/officeDocument/2006/relationships/hyperlink" Target="https://www.pointp.fr/p/revetements-sols-et-murs/profile-acier-lamine-a-chaud-corniere-30x30x3mm-2-50m-A1705206" TargetMode="External"/><Relationship Id="rId387" Type="http://schemas.openxmlformats.org/officeDocument/2006/relationships/hyperlink" Target="https://www.afdb.fr/dinac-1306100-corniere-angle-25-x-25-mm-adhesive-acier-blanc-3-dinac-1306100_SKU793735.html" TargetMode="External"/><Relationship Id="rId388" Type="http://schemas.openxmlformats.org/officeDocument/2006/relationships/hyperlink" Target="https://www.afdb.fr/ultima-visser-fixer-coller-afb7981az2965-vis-tole-tete-cylindrique-large-acier-zingue-blanc-din-7981-2-9x6-5-boite-500-ultima-afb7981az2965_SKU617054.html" TargetMode="External"/><Relationship Id="rId389" Type="http://schemas.openxmlformats.org/officeDocument/2006/relationships/hyperlink" Target="https://www.pointp.fr/p/outils-equipement-accessoires/vis-tole-autoperceuse-tete-fraisee-zingue-3-5-x-13-mm-boite-de-190-pieces-ref-351400750250-A4476627" TargetMode="External"/><Relationship Id="rId390" Type="http://schemas.openxmlformats.org/officeDocument/2006/relationships/hyperlink" Target="https://www.afdb.fr/lincoln-electric-france-sas-saf-c11040-12-1-electrode-rutile-6013-acier-2-5-mm-etui-250-pieces-bester-c11040-12-1_SKU839000.html" TargetMode="External"/><Relationship Id="rId391" Type="http://schemas.openxmlformats.org/officeDocument/2006/relationships/hyperlink" Target="https://www.pointp.fr/p/outillage-quincaillerie/electrode-rutile-2-5-mm-boite-5-kg-A3889864" TargetMode="External"/><Relationship Id="rId392" Type="http://schemas.openxmlformats.org/officeDocument/2006/relationships/hyperlink" Target="https://www.afdb.fr/bosch-2608619257-disque-tronconner-x-lock-metal-125-x-2-5-mm-tronconner-bosch-2608619257_SKU751555.html" TargetMode="External"/><Relationship Id="rId393" Type="http://schemas.openxmlformats.org/officeDocument/2006/relationships/hyperlink" Target="https://www.chausson.fr/quincaillerie/disque-tronconner-metal-a30r-makita-diametre-125mm-alesage-22mm23-epaisseur-2mm5-p-776753-1" TargetMode="External"/><Relationship Id="rId394" Type="http://schemas.openxmlformats.org/officeDocument/2006/relationships/hyperlink" Target="https://www.pointp.fr/p/outils-equipement-accessoires/disque-a-tronconner-125-x-1-6-x-22-23-starline-inox-ref-66252837246-A6013110" TargetMode="External"/><Relationship Id="rId395" Type="http://schemas.openxmlformats.org/officeDocument/2006/relationships/hyperlink" Target="https://www.chausson.fr/quincaillerie/peinture-fer-anti-rouille-glycero-brillante-theodore-peintures-blanc-pot-05l-p-768387-1" TargetMode="External"/><Relationship Id="rId396" Type="http://schemas.openxmlformats.org/officeDocument/2006/relationships/hyperlink" Target="https://www.pointp.fr/p/peinture-mastic-droguerie/peinture-antirouille-fer-exterieur-noir-mat-pot-de-0-25-litre-ref-5695843-A4445207" TargetMode="External"/><Relationship Id="rId397" Type="http://schemas.openxmlformats.org/officeDocument/2006/relationships/hyperlink" Target="https://www.prolians.fr/catalogsearch/result/?q=" TargetMode="External"/><Relationship Id="rId398" Type="http://schemas.openxmlformats.org/officeDocument/2006/relationships/hyperlink" Target="https://www.afdb.fr/sinto-901222-peinture-antirouille-sintofer-0-75-gris-lumineux-sinto-901222_SKU589351.html" TargetMode="External"/><Relationship Id="rId399" Type="http://schemas.openxmlformats.org/officeDocument/2006/relationships/hyperlink" Target="https://www.afdb.fr/novap-4120393-panneau-extincteur-330-x-75-mm-novap-4120393_SKU535476.html" TargetMode="External"/><Relationship Id="rId400" Type="http://schemas.openxmlformats.org/officeDocument/2006/relationships/hyperlink" Target="https://www.afdb.fr/selection-16458-09-extincteur-poudre-abc-6-kg-16458-9_SKU477811.html" TargetMode="External"/><Relationship Id="rId401" Type="http://schemas.openxmlformats.org/officeDocument/2006/relationships/hyperlink" Target="https://www.prolians.fr/catalogsearch/result/?q=" TargetMode="External"/><Relationship Id="rId402" Type="http://schemas.openxmlformats.org/officeDocument/2006/relationships/hyperlink" Target="https://www.afdb.fr/novap-4120393-panneau-extincteur-330-x-75-mm-novap-4120393_SKU535476.html" TargetMode="External"/><Relationship Id="rId403" Type="http://schemas.openxmlformats.org/officeDocument/2006/relationships/hyperlink" Target="https://www.prolians.fr/catalogsearch/result/?q=" TargetMode="External"/><Relationship Id="rId404" Type="http://schemas.openxmlformats.org/officeDocument/2006/relationships/hyperlink" Target="https://www.prolians.fr/catalogsearch/result/?q=" TargetMode="External"/><Relationship Id="rId405" Type="http://schemas.openxmlformats.org/officeDocument/2006/relationships/hyperlink" Target="https://www.afdb.fr/neutronic-4700-capot-protection-polycarbonate-declencheur-manuel-neutronic-4700_SKU570038.html" TargetMode="External"/><Relationship Id="rId406" Type="http://schemas.openxmlformats.org/officeDocument/2006/relationships/hyperlink" Target="https://www.prolians.fr/catalogsearch/result/?q=" TargetMode="External"/><Relationship Id="rId407" Type="http://schemas.openxmlformats.org/officeDocument/2006/relationships/hyperlink" Target="https://www.afdb.fr/heracles-ard-kit-kit-centrale-alarme-heracles-ard-kit_SKU390491.html" TargetMode="External"/><Relationship Id="rId408" Type="http://schemas.openxmlformats.org/officeDocument/2006/relationships/hyperlink" Target="https://www.prolians.fr/catalogsearch/result/?q=57811889" TargetMode="External"/><Relationship Id="rId409" Type="http://schemas.openxmlformats.org/officeDocument/2006/relationships/hyperlink" Target="https://www.pointp.fr/p/peinture-mastic-droguerie/mousse-rubson-expansive-cf-90-coupe-feu-pistolable-600ml-ref-3072678-A4982938" TargetMode="External"/><Relationship Id="rId410" Type="http://schemas.openxmlformats.org/officeDocument/2006/relationships/hyperlink" Target="https://www.afdb.fr/soudal-146752-mousse-pu-soudafoam-fr-hy-manuelle-coupe-feu-750-ml-soudal-146752_SKU550367.html" TargetMode="External"/><Relationship Id="rId411" Type="http://schemas.openxmlformats.org/officeDocument/2006/relationships/hyperlink" Target="https://www.chausson.fr/quincaillerie/embout-melangeur-fp-resine-expansive-m3000-mousse-coupe-feu-fp550-sachet-10-p-683292-1" TargetMode="External"/><Relationship Id="rId412" Type="http://schemas.openxmlformats.org/officeDocument/2006/relationships/hyperlink" Target="https://www.prolians.fr/catalogsearch/result/?q=" TargetMode="External"/><Relationship Id="rId413" Type="http://schemas.openxmlformats.org/officeDocument/2006/relationships/hyperlink" Target="https://www.chausson.fr/quincaillerie/mastic-jointoiement-silicone-coupe-feu-sikasil-fire-gris-300ml-p-341774-1" TargetMode="External"/><Relationship Id="rId414" Type="http://schemas.openxmlformats.org/officeDocument/2006/relationships/hyperlink" Target="https://www.prolians.fr/catalogsearch/result/?q=" TargetMode="External"/><Relationship Id="rId415" Type="http://schemas.openxmlformats.org/officeDocument/2006/relationships/hyperlink" Target="https://www.rexel.fr/frx/search?text=" TargetMode="External"/><Relationship Id="rId416" Type="http://schemas.openxmlformats.org/officeDocument/2006/relationships/hyperlink" Target="https://www.pointp.fr/p/outillage-quincaillerie/mastic-d-etancheite-coupe-feu-pour-joint-de-construction-rubson-A3185095" TargetMode="External"/><Relationship Id="rId417" Type="http://schemas.openxmlformats.org/officeDocument/2006/relationships/hyperlink" Target="https://www.rexel.fr/frx/search?text=" TargetMode="External"/><Relationship Id="rId418" Type="http://schemas.openxmlformats.org/officeDocument/2006/relationships/hyperlink" Target="https://www.prolians.fr/collier-de-fixation-acier-bis-pacifyre-efc-adaptable-au-diametre-du-tube-walraven-56669434" TargetMode="External"/><Relationship Id="rId419" Type="http://schemas.openxmlformats.org/officeDocument/2006/relationships/hyperlink" Target="https://www.chausson.fr/materiaux/plaque-platre-standard-siniat-pregyplac-ba13-2500mm-1200mm-p-6952-2" TargetMode="External"/><Relationship Id="rId420" Type="http://schemas.openxmlformats.org/officeDocument/2006/relationships/hyperlink" Target="https://www.pointp.fr/p/platre-isolation-ite/plaque-de-platre-pregydro-ba13-siniat-hydrofuge-2-0x1-2-m-ep-13-mm-A3257627" TargetMode="External"/><Relationship Id="rId421" Type="http://schemas.openxmlformats.org/officeDocument/2006/relationships/hyperlink" Target="https://www.laplateforme.com/catalogue/produit/8217" TargetMode="External"/><Relationship Id="rId422" Type="http://schemas.openxmlformats.org/officeDocument/2006/relationships/hyperlink" Target="https://www.chausson.fr/materiaux/plaque-platre-hydrofuge-pregydro-ba13-2500mm-1200mm-p-2435-1" TargetMode="External"/><Relationship Id="rId423" Type="http://schemas.openxmlformats.org/officeDocument/2006/relationships/hyperlink" Target="https://www.pointp.fr/p/platre-isolation-ite/plaque-de-platre-placoflam-ba-13-2-4x1-2-m-ep-13-mm-A3039149" TargetMode="External"/><Relationship Id="rId424" Type="http://schemas.openxmlformats.org/officeDocument/2006/relationships/hyperlink" Target="https://www.chausson.fr/materiaux/plaque-platre-multifonctions-pregyplus-ba13-260cm-120cm-p-349705-1" TargetMode="External"/><Relationship Id="rId425" Type="http://schemas.openxmlformats.org/officeDocument/2006/relationships/hyperlink" Target="https://www.laplateforme.com/catalogue/produit/45734" TargetMode="External"/><Relationship Id="rId426" Type="http://schemas.openxmlformats.org/officeDocument/2006/relationships/hyperlink" Target="https://www.pointp.fr/p/platre-isolation-ite/plaque-de-platre-placo-phonique-ba-13-3-0x1-2-m-ep-13-mm-A1877602" TargetMode="External"/><Relationship Id="rId427" Type="http://schemas.openxmlformats.org/officeDocument/2006/relationships/hyperlink" Target="https://www.chausson.fr/materiaux/plaques-plaque-placo-phonique-ba13-p-739855-3" TargetMode="External"/><Relationship Id="rId428" Type="http://schemas.openxmlformats.org/officeDocument/2006/relationships/hyperlink" Target="https://www.sfic.com/search?q=" TargetMode="External"/><Relationship Id="rId429" Type="http://schemas.openxmlformats.org/officeDocument/2006/relationships/hyperlink" Target="https://www.pointp.fr/p/platre-isolation-ite/rail-r-48-isolpro-l-3-m-A3497520" TargetMode="External"/><Relationship Id="rId430" Type="http://schemas.openxmlformats.org/officeDocument/2006/relationships/hyperlink" Target="https://www.laplateforme.com/catalogue/produit/8224" TargetMode="External"/><Relationship Id="rId431" Type="http://schemas.openxmlformats.org/officeDocument/2006/relationships/hyperlink" Target="https://www.chausson.fr/materiaux/rail-r48-hydrostil-500h-3ml-placo-p-320448-1" TargetMode="External"/><Relationship Id="rId432" Type="http://schemas.openxmlformats.org/officeDocument/2006/relationships/hyperlink" Target="https://www.afdb.fr/mantion-rd-t9-b-kit-rail-roc-desing-t9-noir-longueur-1950-mm-mantion-rd-t9-b_SKU761257.html" TargetMode="External"/><Relationship Id="rId433" Type="http://schemas.openxmlformats.org/officeDocument/2006/relationships/hyperlink" Target="https://www.pointp.fr/p/platre-isolation-ite/montant-metallique-pour-plaque-de-platre-pregymetal-48-35-6-2-A3097973" TargetMode="External"/><Relationship Id="rId434" Type="http://schemas.openxmlformats.org/officeDocument/2006/relationships/hyperlink" Target="https://www.laplateforme.com/catalogue/produit/8223" TargetMode="External"/><Relationship Id="rId435" Type="http://schemas.openxmlformats.org/officeDocument/2006/relationships/hyperlink" Target="https://www.chausson.fr/materiaux/montant-ossature-metallique-knauf-m48-50-p-227751-4" TargetMode="External"/><Relationship Id="rId436" Type="http://schemas.openxmlformats.org/officeDocument/2006/relationships/hyperlink" Target="https://www.chausson.fr/materiaux/fourrure-placo-stil-f530-plafond-doublage-p-201253-1" TargetMode="External"/><Relationship Id="rId437" Type="http://schemas.openxmlformats.org/officeDocument/2006/relationships/hyperlink" Target="https://www.pointp.fr/p/platre-isolation/fourrure-placo-hydrostil-f530-longueur-5-40m-A6505296" TargetMode="External"/><Relationship Id="rId438" Type="http://schemas.openxmlformats.org/officeDocument/2006/relationships/hyperlink" Target="https://www.afdb.fr/pai-sl47nt170-suspente-longue-170-mm-fourrure-17-47-acier-galvanise-epaisseur-0-75-mm-boite-100-pai-sl47nt170_SKU639777.html" TargetMode="External"/><Relationship Id="rId439" Type="http://schemas.openxmlformats.org/officeDocument/2006/relationships/hyperlink" Target="https://www.chausson.fr/materiaux/accessoires-plafonds-cheville-tige-lisse-suspente-sp8-p-340001-1" TargetMode="External"/><Relationship Id="rId440" Type="http://schemas.openxmlformats.org/officeDocument/2006/relationships/hyperlink" Target="https://www.pointp.fr/p/platre-isolation-ite/suspente-reglable-rapide-180x300-boite-de-100-pieces-A1830354" TargetMode="External"/><Relationship Id="rId441" Type="http://schemas.openxmlformats.org/officeDocument/2006/relationships/hyperlink" Target="https://www.pointp.fr/p/revetements-sols-et-murs/corniere-egale-pvc-blanc-30x30mm-l-2-6m-A1705220" TargetMode="External"/><Relationship Id="rId442" Type="http://schemas.openxmlformats.org/officeDocument/2006/relationships/hyperlink" Target="https://www.afdb.fr/duwic-cpco-4040-2000-corniere-perforee-grise-40-x-40-mm-2-duwic-cpco-4040-2000_SKU588056.html" TargetMode="External"/><Relationship Id="rId443" Type="http://schemas.openxmlformats.org/officeDocument/2006/relationships/hyperlink" Target="https://www.laplateforme.com/catalogue/produit/48590" TargetMode="External"/><Relationship Id="rId444" Type="http://schemas.openxmlformats.org/officeDocument/2006/relationships/hyperlink" Target="https://www.sfic.com/search?q=" TargetMode="External"/><Relationship Id="rId445" Type="http://schemas.openxmlformats.org/officeDocument/2006/relationships/hyperlink" Target="https://www.chausson.fr/materiaux/laine-de-verre-rouleau-de-laine-de-verre-ibr-nu-p-1106-2" TargetMode="External"/><Relationship Id="rId446" Type="http://schemas.openxmlformats.org/officeDocument/2006/relationships/hyperlink" Target="https://www.pointp.fr/p/platre-isolation-ite/panneau-isolant-thermo-acoustique-laine-de-verre-roule-revetu-A1670246" TargetMode="External"/><Relationship Id="rId447" Type="http://schemas.openxmlformats.org/officeDocument/2006/relationships/hyperlink" Target="https://www.pointp.fr/p/platre-isolation/panneau-en-laine-de-roche-nu-rockmur-100-1-35x0-6m-r-2-85-m2-k-w-acermi-02-015-021-A7784984" TargetMode="External"/><Relationship Id="rId448" Type="http://schemas.openxmlformats.org/officeDocument/2006/relationships/hyperlink" Target="https://www.sfic.com/search?q=" TargetMode="External"/><Relationship Id="rId449" Type="http://schemas.openxmlformats.org/officeDocument/2006/relationships/hyperlink" Target="https://www.chausson.fr/materiaux/plafonds-dalles-dalle-de-plafond-acoustipan-p-77981-1" TargetMode="External"/><Relationship Id="rId450" Type="http://schemas.openxmlformats.org/officeDocument/2006/relationships/hyperlink" Target="https://www.pointp.fr/p/platre-isolation-ite/panneau-isolant-pour-ite-therm-itex-th-38-se-pse-blanc-1-2x0-6-m-ep-20-mm-r-0-5-m2-k-w-A3288147" TargetMode="External"/><Relationship Id="rId451" Type="http://schemas.openxmlformats.org/officeDocument/2006/relationships/hyperlink" Target="https://www.chausson.fr/materiaux/panneau-isolant-sol-unimat-sol-polystyrene-expanse-p-1165-1" TargetMode="External"/><Relationship Id="rId452" Type="http://schemas.openxmlformats.org/officeDocument/2006/relationships/hyperlink" Target="https://www.sfic.com/search?q=" TargetMode="External"/><Relationship Id="rId453" Type="http://schemas.openxmlformats.org/officeDocument/2006/relationships/hyperlink" Target="https://www.pointp.fr/p/platre-isolation-ite/isolant-thermique-airflex-kdb-rouleau-25x1-2-m-ep-10-mm-r-1-48-A1779819" TargetMode="External"/><Relationship Id="rId454" Type="http://schemas.openxmlformats.org/officeDocument/2006/relationships/hyperlink" Target="https://www.chausson.fr/materiaux/isolant-mince-avec-ecran-hpv-isolation-rampant-toiture-ati-prowall-double-8000x1500mm-epaisseur-160mm-p-9823-1" TargetMode="External"/><Relationship Id="rId455" Type="http://schemas.openxmlformats.org/officeDocument/2006/relationships/hyperlink" Target="https://www.sfic.com/search?q=" TargetMode="External"/><Relationship Id="rId456" Type="http://schemas.openxmlformats.org/officeDocument/2006/relationships/hyperlink" Target="https://www.afdb.fr/duralex-101100303-enduit-acrylique-lissage-rebouchage-1-kg-duralex-101100303_SKU438515.html" TargetMode="External"/><Relationship Id="rId457" Type="http://schemas.openxmlformats.org/officeDocument/2006/relationships/hyperlink" Target="https://www.chausson.fr/quincaillerie/enduit-rebouchage-edia-p-473913-1" TargetMode="External"/><Relationship Id="rId458" Type="http://schemas.openxmlformats.org/officeDocument/2006/relationships/hyperlink" Target="https://www.laplateforme.com/catalogue/produit/33575" TargetMode="External"/><Relationship Id="rId459" Type="http://schemas.openxmlformats.org/officeDocument/2006/relationships/hyperlink" Target="https://www.pointp.fr/p/outillage-quincaillerie/enduit-de-rebouchage-deltapro-sac-5-kg-A3418538" TargetMode="External"/><Relationship Id="rId460" Type="http://schemas.openxmlformats.org/officeDocument/2006/relationships/hyperlink" Target="https://www.afdb.fr/bostik-30604301-enduit-lissage-poudre-sac-2-5-kg-bostik-30604301_SKU738757.html" TargetMode="External"/><Relationship Id="rId461" Type="http://schemas.openxmlformats.org/officeDocument/2006/relationships/hyperlink" Target="https://www.sfic.com/search?q=" TargetMode="External"/><Relationship Id="rId462" Type="http://schemas.openxmlformats.org/officeDocument/2006/relationships/hyperlink" Target="https://www.laplateforme.com/catalogue/produit/63694" TargetMode="External"/><Relationship Id="rId463" Type="http://schemas.openxmlformats.org/officeDocument/2006/relationships/hyperlink" Target="https://www.chausson.fr/quincaillerie/enduit-bande-lissage-edia-p-473911-1" TargetMode="External"/><Relationship Id="rId464" Type="http://schemas.openxmlformats.org/officeDocument/2006/relationships/hyperlink" Target="https://www.pointp.fr/p/outils-equipement-accessoires/enduit-de-rebouchage-et-lissage-en-pate-allege-interieur-exterieur-seau-de-1-litre-A1365786" TargetMode="External"/><Relationship Id="rId465" Type="http://schemas.openxmlformats.org/officeDocument/2006/relationships/hyperlink" Target="https://www.laplateforme.com/catalogue/produit/63891" TargetMode="External"/><Relationship Id="rId466" Type="http://schemas.openxmlformats.org/officeDocument/2006/relationships/hyperlink" Target="https://www.pointp.fr/p/platre-isolation-ite/bande-a-joint-microperforee-et-prepliee-pour-plaque-de-platre-A3178707" TargetMode="External"/><Relationship Id="rId467" Type="http://schemas.openxmlformats.org/officeDocument/2006/relationships/hyperlink" Target="https://www.sfic.com/search?q=" TargetMode="External"/><Relationship Id="rId468" Type="http://schemas.openxmlformats.org/officeDocument/2006/relationships/hyperlink" Target="https://www.afdb.fr/pai-bjp150-bande-joint-rouleau-150-pai-bjp150_SKU740767.html" TargetMode="External"/><Relationship Id="rId469" Type="http://schemas.openxmlformats.org/officeDocument/2006/relationships/hyperlink" Target="https://www.chausson.fr/materiaux/bande-joint-3d-gypso-papier-kraft-joints-droits-concaves-largeur-p-65380-1" TargetMode="External"/><Relationship Id="rId470" Type="http://schemas.openxmlformats.org/officeDocument/2006/relationships/hyperlink" Target="https://www.afdb.fr/pai-ba30-bande-armee-rouleau-30-pai-ba30_SKU740766.html" TargetMode="External"/><Relationship Id="rId471" Type="http://schemas.openxmlformats.org/officeDocument/2006/relationships/hyperlink" Target="https://www.sfic.com/search?q=" TargetMode="External"/><Relationship Id="rId472" Type="http://schemas.openxmlformats.org/officeDocument/2006/relationships/hyperlink" Target="https://www.laplateforme.com/catalogue/produit/8261" TargetMode="External"/><Relationship Id="rId473" Type="http://schemas.openxmlformats.org/officeDocument/2006/relationships/hyperlink" Target="https://www.pointp.fr/p/platre-isolation-ite/bande-armee-pour-renfort-d-angle-saillant-rouleau-de-30-m-A1176885" TargetMode="External"/><Relationship Id="rId474" Type="http://schemas.openxmlformats.org/officeDocument/2006/relationships/hyperlink" Target="https://www.chausson.fr/materiaux/traitement-des-joints-bande-de-renfort-angle-armee-xxl-gypso-p-444980-1" TargetMode="External"/><Relationship Id="rId475" Type="http://schemas.openxmlformats.org/officeDocument/2006/relationships/hyperlink" Target="https://www.afdb.fr/ultima-visser-fixer-coller-16300001-boite-1000-vis-ttpc-3-5-x-25-mm-fixation-plaques-platre-phillips-ultima-16300001_SKU751496.html" TargetMode="External"/><Relationship Id="rId476" Type="http://schemas.openxmlformats.org/officeDocument/2006/relationships/hyperlink" Target="https://www.laplateforme.com/catalogue/produit/63893" TargetMode="External"/><Relationship Id="rId477" Type="http://schemas.openxmlformats.org/officeDocument/2006/relationships/hyperlink" Target="https://www.pointp.fr/p/quincaillerie/vis-tete-trompette-pointe-clou-25x3-5-boite-de-1000-novipro-A4867819" TargetMode="External"/><Relationship Id="rId478" Type="http://schemas.openxmlformats.org/officeDocument/2006/relationships/hyperlink" Target="https://www.chausson.fr/materiaux/vis-ttpc-gypso-fixation-plaques-platre-p-104712-1" TargetMode="External"/><Relationship Id="rId479" Type="http://schemas.openxmlformats.org/officeDocument/2006/relationships/hyperlink" Target="https://www.sfic.com/search?q=" TargetMode="External"/><Relationship Id="rId480" Type="http://schemas.openxmlformats.org/officeDocument/2006/relationships/hyperlink" Target="https://www.pointp.fr/p/quincaillerie/vis-tete-trompette-pointe-clou-25x3-5-boite-de-1000-novipro-A4867819" TargetMode="External"/><Relationship Id="rId481" Type="http://schemas.openxmlformats.org/officeDocument/2006/relationships/hyperlink" Target="https://www.afdb.fr/ultima-visser-fixer-coller-16300002-boite-1000-vis-ttpc-3-5-x-35-mm-fixation-plaques-platre-empreinte-phillips-embout-fourni-ultima-16300002_SKU751497.html" TargetMode="External"/><Relationship Id="rId482" Type="http://schemas.openxmlformats.org/officeDocument/2006/relationships/hyperlink" Target="https://www.laplateforme.com/catalogue/produit/63894" TargetMode="External"/><Relationship Id="rId483" Type="http://schemas.openxmlformats.org/officeDocument/2006/relationships/hyperlink" Target="https://www.chausson.fr/materiaux/vis-ttpc-gypso-fixation-plaques-platre-p-104714-1" TargetMode="External"/><Relationship Id="rId484" Type="http://schemas.openxmlformats.org/officeDocument/2006/relationships/hyperlink" Target="https://www.sfic.com/search?q=" TargetMode="External"/><Relationship Id="rId485" Type="http://schemas.openxmlformats.org/officeDocument/2006/relationships/hyperlink" Target="https://www.afdb.fr/spit-paslode-spit-050407-cheville-metallique-multi-materiaux-large-expansion-spit-paslode-050407_SKU688871.html" TargetMode="External"/><Relationship Id="rId486" Type="http://schemas.openxmlformats.org/officeDocument/2006/relationships/hyperlink" Target="https://www.laplateforme.com/catalogue/produit/111696" TargetMode="External"/><Relationship Id="rId487" Type="http://schemas.openxmlformats.org/officeDocument/2006/relationships/hyperlink" Target="https://www.chausson.fr/materiaux/elements-pour-coffrage-cheville-expansion-en-metal-pour-forage-de-diam-35-38-mm-p-375741-1" TargetMode="External"/><Relationship Id="rId488" Type="http://schemas.openxmlformats.org/officeDocument/2006/relationships/hyperlink" Target="https://www.pointp.fr/p/outillage-quincaillerie/pince-a-cheville-ultra-fix-special-plaquiste-l-200-mm-A1596149" TargetMode="External"/><Relationship Id="rId489" Type="http://schemas.openxmlformats.org/officeDocument/2006/relationships/hyperlink" Target="https://www.afdb.fr/fischer-80188-cheville-bascule-kdh-5-crochet-fischer-80188_SKU591640.html" TargetMode="External"/><Relationship Id="rId490" Type="http://schemas.openxmlformats.org/officeDocument/2006/relationships/hyperlink" Target="https://www.pointp.fr/p/quincaillerie/cheville-a-bascule-duotec-12-10-bte-ref-542590-A4765637" TargetMode="External"/><Relationship Id="rId491" Type="http://schemas.openxmlformats.org/officeDocument/2006/relationships/hyperlink" Target="https://www.pointp.fr/p/platre-isolation-ite/dalle-de-plafond-minerval-a-blanc-epaisseur-12-mm-600x600-mm-n-A6942791" TargetMode="External"/><Relationship Id="rId492" Type="http://schemas.openxmlformats.org/officeDocument/2006/relationships/hyperlink" Target="https://www.sfic.com/search?q=" TargetMode="External"/><Relationship Id="rId493" Type="http://schemas.openxmlformats.org/officeDocument/2006/relationships/hyperlink" Target="https://www.pointp.fr/p/platre-isolation-ite/entretoise-systeme-a-crochet-t24-2854s3001-38x24mm-longueur-1-A6787890" TargetMode="External"/><Relationship Id="rId494" Type="http://schemas.openxmlformats.org/officeDocument/2006/relationships/hyperlink" Target="https://www.chausson.fr/materiaux/accessoires-plafonds-clip-de-rive-en-metal-t24-p-491834-1" TargetMode="External"/><Relationship Id="rId495" Type="http://schemas.openxmlformats.org/officeDocument/2006/relationships/hyperlink" Target="https://www.pointp.fr/p/outillage-quincaillerie/peinture-exterieure-aerosol-blanc-mat-400-ml-A3511944" TargetMode="External"/><Relationship Id="rId496" Type="http://schemas.openxmlformats.org/officeDocument/2006/relationships/hyperlink" Target="https://www.chausson.fr/quincaillerie/peinture-mur-plafond-interieur-gypso-blanc-mat-15l-p-168374-1" TargetMode="External"/><Relationship Id="rId497" Type="http://schemas.openxmlformats.org/officeDocument/2006/relationships/hyperlink" Target="https://www.afdb.fr/duralex-111100207-peinture-acrylique-duracryl-satin-dx-61-blanc-imperial-15-duralex-111100207_SKU438670.html" TargetMode="External"/><Relationship Id="rId498" Type="http://schemas.openxmlformats.org/officeDocument/2006/relationships/hyperlink" Target="https://www.laplateforme.com/catalogue/produit/158426" TargetMode="External"/><Relationship Id="rId499" Type="http://schemas.openxmlformats.org/officeDocument/2006/relationships/hyperlink" Target="https://www.chausson.fr/quincaillerie/rouleau-peinture-acrylique-special-sous-couches-impressions-180-mm-polyester-12-mm-p-703818-1" TargetMode="External"/><Relationship Id="rId500" Type="http://schemas.openxmlformats.org/officeDocument/2006/relationships/hyperlink" Target="https://www.pointp.fr/p/peinture-mastic-droguerie/peinture-satin-acrylique-interieur-proacryl-1-l-aurelia-A4758315" TargetMode="External"/><Relationship Id="rId501" Type="http://schemas.openxmlformats.org/officeDocument/2006/relationships/hyperlink" Target="https://www.sfic.com/search?q=" TargetMode="External"/><Relationship Id="rId502" Type="http://schemas.openxmlformats.org/officeDocument/2006/relationships/hyperlink" Target="https://www.laplateforme.com/catalogue/produit/145402" TargetMode="External"/><Relationship Id="rId503" Type="http://schemas.openxmlformats.org/officeDocument/2006/relationships/hyperlink" Target="https://www.afdb.fr/duralex-111100207-peinture-acrylique-duracryl-satin-dx-61-blanc-imperial-15-duralex-111100207_SKU438670.html" TargetMode="External"/><Relationship Id="rId504" Type="http://schemas.openxmlformats.org/officeDocument/2006/relationships/hyperlink" Target="https://www.laplateforme.com/catalogue/produit/145904" TargetMode="External"/><Relationship Id="rId505" Type="http://schemas.openxmlformats.org/officeDocument/2006/relationships/hyperlink" Target="https://www.pointp.fr/p/peinture-mastic-droguerie/peinture-velours-acrylique-interieur-proacryl-1-l-aurelia-A4758312" TargetMode="External"/><Relationship Id="rId506" Type="http://schemas.openxmlformats.org/officeDocument/2006/relationships/hyperlink" Target="https://www.afdb.fr/duralex-128100122-peinture-alkyde-acrylique-pochee-hydrodiluable-garnissant-velours-dx-g-3-duralex-128100122_SKU778641.html" TargetMode="External"/><Relationship Id="rId507" Type="http://schemas.openxmlformats.org/officeDocument/2006/relationships/hyperlink" Target="https://www.sfic.com/search?q=" TargetMode="External"/><Relationship Id="rId508" Type="http://schemas.openxmlformats.org/officeDocument/2006/relationships/hyperlink" Target="https://www.chausson.fr/quincaillerie/peinture-mur-plafond-interieur-gypso-blanc-velours-15l-p-168400-1" TargetMode="External"/><Relationship Id="rId509" Type="http://schemas.openxmlformats.org/officeDocument/2006/relationships/hyperlink" Target="https://www.afdb.fr/duralex-108100502-laque-brillante-antirouille-finition-caravelle-blanc-1-duralex-108100502_SKU438554.html" TargetMode="External"/><Relationship Id="rId510" Type="http://schemas.openxmlformats.org/officeDocument/2006/relationships/hyperlink" Target="https://www.pointp.fr/p/revetements-sols-et-murs/peinture-fer-blanc-brillant-pot-de-2-5-l-A1639459" TargetMode="External"/><Relationship Id="rId511" Type="http://schemas.openxmlformats.org/officeDocument/2006/relationships/hyperlink" Target="https://www.pointp.fr/p/decoration-interieure/sous-couche-d-isolation-acoustique-basic-plus-rouleau-15x1-m-ep-2-mm-A6139274" TargetMode="External"/><Relationship Id="rId512" Type="http://schemas.openxmlformats.org/officeDocument/2006/relationships/hyperlink" Target="https://www.chausson.fr/quincaillerie/rouleau-peinture-chantier-special-sous-couche-loutil-parfait-polyester-12mm-avec-monture-p-703851-1" TargetMode="External"/><Relationship Id="rId513" Type="http://schemas.openxmlformats.org/officeDocument/2006/relationships/hyperlink" Target="https://www.laplateforme.com/catalogue/produit/32222" TargetMode="External"/><Relationship Id="rId514" Type="http://schemas.openxmlformats.org/officeDocument/2006/relationships/hyperlink" Target="https://www.afdb.fr/sinto-920415-aerosol-couche-400ml-fer-metal-sinto-920415_SKU849280.html" TargetMode="External"/><Relationship Id="rId515" Type="http://schemas.openxmlformats.org/officeDocument/2006/relationships/hyperlink" Target="https://www.chausson.fr/quincaillerie/rouleau-peinture-special-facades-travaux-exterieurs-180-mm-polyamide-texture-18-mm-p-703801-1" TargetMode="External"/><Relationship Id="rId516" Type="http://schemas.openxmlformats.org/officeDocument/2006/relationships/hyperlink" Target="https://www.pointp.fr/p/revetements-sols-et-murs/peinture-facade-hydro-pliolite-blanc-base-w05-5l-ref-5358530-A7735562" TargetMode="External"/><Relationship Id="rId517" Type="http://schemas.openxmlformats.org/officeDocument/2006/relationships/hyperlink" Target="https://www.laplateforme.com/catalogue/produit/55996" TargetMode="External"/><Relationship Id="rId518" Type="http://schemas.openxmlformats.org/officeDocument/2006/relationships/hyperlink" Target="https://www.pointp.fr/p/outillage-quincaillerie/peinture-anti-humidite-ecran-total-pot-de-0-75-litre-A1432988" TargetMode="External"/><Relationship Id="rId519" Type="http://schemas.openxmlformats.org/officeDocument/2006/relationships/hyperlink" Target="https://www.chausson.fr/quincaillerie/peinture-sol-trafic-extreme-satin-gris-fonce-25-p-665099-1" TargetMode="External"/><Relationship Id="rId520" Type="http://schemas.openxmlformats.org/officeDocument/2006/relationships/hyperlink" Target="https://www.chausson.fr/quincaillerie/peinture-glycero-antirouille-speciale-fer-theodore-peintures-noir-mat-pot-25l-p-768419-1" TargetMode="External"/><Relationship Id="rId521" Type="http://schemas.openxmlformats.org/officeDocument/2006/relationships/hyperlink" Target="https://www.chausson.fr/quincaillerie/rouleau-peinture-anti-goutte-extra-murs-plafonds-loutil-parfait-largeur-180mm-p-703815-1" TargetMode="External"/><Relationship Id="rId522" Type="http://schemas.openxmlformats.org/officeDocument/2006/relationships/hyperlink" Target="https://www.sfic.com/search?q=" TargetMode="External"/><Relationship Id="rId523" Type="http://schemas.openxmlformats.org/officeDocument/2006/relationships/hyperlink" Target="https://www.pointp.fr/p/outillage-quincaillerie/rouleau-antigoutte-24559180-A3621157" TargetMode="External"/><Relationship Id="rId524" Type="http://schemas.openxmlformats.org/officeDocument/2006/relationships/hyperlink" Target="https://www.chausson.fr/quincaillerie/mini-rouleau-manchon-laqueur-velours-pure-laine-4mm-loutil-parfait-largeur-110mm-p-786837-1" TargetMode="External"/><Relationship Id="rId525" Type="http://schemas.openxmlformats.org/officeDocument/2006/relationships/hyperlink" Target="https://www.pointp.fr/p/outillage/manchon-250mm-mat-12mm-3-etoiles-ref-31255-A4175824" TargetMode="External"/><Relationship Id="rId526" Type="http://schemas.openxmlformats.org/officeDocument/2006/relationships/hyperlink" Target="https://www.chausson.fr/materiaux/manchon-fendu-rep-plage-utile-diam-93-26-mm-mm-p-449729-1" TargetMode="External"/><Relationship Id="rId527" Type="http://schemas.openxmlformats.org/officeDocument/2006/relationships/hyperlink" Target="https://www.chausson.fr/quincaillerie/pinceau-brosse-plate-epaisseur-moyenne-loutil-parfait-taille-50-soies-synthetiques-50-mm-p-703834-1" TargetMode="External"/><Relationship Id="rId528" Type="http://schemas.openxmlformats.org/officeDocument/2006/relationships/hyperlink" Target="https://www.pointp.fr/p/outillage/pinceaux-plat-toute-peintures-fsc-100-t20-ref-10109-20-A4781040" TargetMode="External"/><Relationship Id="rId529" Type="http://schemas.openxmlformats.org/officeDocument/2006/relationships/hyperlink" Target="https://www.afdb.fr/roulor-434650-brosse-plate-epaisse-glycero-50-mm-roulor-434650_SKU434771.html" TargetMode="External"/><Relationship Id="rId530" Type="http://schemas.openxmlformats.org/officeDocument/2006/relationships/hyperlink" Target="https://www.chausson.fr/quincaillerie/grille-metal-bac-camion-peinture-loutil-parfait-acier-galvanise-largeur-180-mm-p-703787-1" TargetMode="External"/><Relationship Id="rId531" Type="http://schemas.openxmlformats.org/officeDocument/2006/relationships/hyperlink" Target="https://www.afdb.fr/nespoli-recharge-nespoli-bac-plat-peinture-195917_SKUM94933.html" TargetMode="External"/><Relationship Id="rId532" Type="http://schemas.openxmlformats.org/officeDocument/2006/relationships/hyperlink" Target="https://www.pointp.fr/p/revetements-sols-et-murs/bac-plat-pour-peintre-110mm-ref-322744-A1615461" TargetMode="External"/><Relationship Id="rId533" Type="http://schemas.openxmlformats.org/officeDocument/2006/relationships/hyperlink" Target="https://www.chausson.fr/quincaillerie/perche-telescopique-reglable-monture-rouleau-peinture-creuse-longueur-metres-p-703822-1" TargetMode="External"/><Relationship Id="rId534" Type="http://schemas.openxmlformats.org/officeDocument/2006/relationships/hyperlink" Target="https://www.laplateforme.com/catalogue/produit/135828" TargetMode="External"/><Relationship Id="rId535" Type="http://schemas.openxmlformats.org/officeDocument/2006/relationships/hyperlink" Target="https://www.afdb.fr/nespoli-800362-perche-telescopique-system-block-pro-1-1-2-nespoli-800362_SKU485778.html" TargetMode="External"/><Relationship Id="rId536" Type="http://schemas.openxmlformats.org/officeDocument/2006/relationships/hyperlink" Target="https://www.pointp.fr/p/outils-equipement-accessoires/perche-telescopique-blocksys-pro-2-m-ref-800362-A7263098" TargetMode="External"/><Relationship Id="rId537" Type="http://schemas.openxmlformats.org/officeDocument/2006/relationships/hyperlink" Target="https://www.afdb.fr/3m-101e18-ruban-adhesif-masquage-101e-50-x-18-mm-3m-101e18_SKU587250.html" TargetMode="External"/><Relationship Id="rId538" Type="http://schemas.openxmlformats.org/officeDocument/2006/relationships/hyperlink" Target="https://www.pointp.fr/p/outils-equipement-accessoires/adhesif-de-masquage-lisse-novipro-50-m-x-25-mm-ref-adhmasq50-25-A7120479" TargetMode="External"/><Relationship Id="rId539" Type="http://schemas.openxmlformats.org/officeDocument/2006/relationships/hyperlink" Target="https://www.chausson.fr/quincaillerie/ruban-adhesif-masquage-peinture-p-448551-1" TargetMode="External"/><Relationship Id="rId540" Type="http://schemas.openxmlformats.org/officeDocument/2006/relationships/hyperlink" Target="https://www.laplateforme.com/catalogue/produit/69461" TargetMode="External"/><Relationship Id="rId541" Type="http://schemas.openxmlformats.org/officeDocument/2006/relationships/hyperlink" Target="https://www.chausson.fr/materiaux/film-protection-type-p-470585-1" TargetMode="External"/><Relationship Id="rId542" Type="http://schemas.openxmlformats.org/officeDocument/2006/relationships/hyperlink" Target="https://www.pointp.fr/p/materiaux-gros-oeuvre/film-de-protection-de-facade-ultibat-epaisseur-50&#181;-1x75m-soit-75m&#178;-A4868686" TargetMode="External"/><Relationship Id="rId543" Type="http://schemas.openxmlformats.org/officeDocument/2006/relationships/hyperlink" Target="https://www.afdb.fr/selection-fili751653-film-protection-translucide-50-3-160-plie-4-fili751653_SKU245748.html" TargetMode="External"/><Relationship Id="rId544" Type="http://schemas.openxmlformats.org/officeDocument/2006/relationships/hyperlink" Target="https://www.laplateforme.com/catalogue/produit/45583" TargetMode="External"/><Relationship Id="rId545" Type="http://schemas.openxmlformats.org/officeDocument/2006/relationships/hyperlink" Target="https://www.afdb.fr/corderies-tournonaises-nbba0030ct-bache-protection-oeillet-4x5m-corderies-tournonaises-48640405_SKU483044.html" TargetMode="External"/><Relationship Id="rId546" Type="http://schemas.openxmlformats.org/officeDocument/2006/relationships/hyperlink" Target="https://www.chausson.fr/quincaillerie/bache-protection-edia-impermeable-vert-oeillet-4x5-p-278135-1" TargetMode="External"/><Relationship Id="rId547" Type="http://schemas.openxmlformats.org/officeDocument/2006/relationships/hyperlink" Target="https://www.pointp.fr/p/revetements-sols-et-murs/lot-brosserie-comprenant-1-rechampir-en-4-1-bache-4x5m-1-manchon-antigoutte-1-monture-a-vis-180-et-1bac-a-peinture-25x30cm-A6895533" TargetMode="External"/><Relationship Id="rId548" Type="http://schemas.openxmlformats.org/officeDocument/2006/relationships/hyperlink" Target="https://www.chausson.fr/quincaillerie/papier-abrasif-perfore-corindon-ponceuse-vibrante-p-237926-1" TargetMode="External"/><Relationship Id="rId549" Type="http://schemas.openxmlformats.org/officeDocument/2006/relationships/hyperlink" Target="https://www.laplateforme.com/catalogue/produit/110299" TargetMode="External"/><Relationship Id="rId550" Type="http://schemas.openxmlformats.org/officeDocument/2006/relationships/hyperlink" Target="https://www.pointp.fr/p/outillage-quincaillerie/disque-de-poncage-norgrip-6-trous-150-grain-120-x10-A3337710" TargetMode="External"/><Relationship Id="rId551" Type="http://schemas.openxmlformats.org/officeDocument/2006/relationships/hyperlink" Target="https://www.chausson.fr/quincaillerie/lessive-soude-decapage-decollage-debouchage-mieuxa-1l-p-745288-1" TargetMode="External"/><Relationship Id="rId552" Type="http://schemas.openxmlformats.org/officeDocument/2006/relationships/hyperlink" Target="https://www.afdb.fr/selection-202642-lessive-st-marc-boite-1-4-kg-514813_SKU449308.html" TargetMode="External"/><Relationship Id="rId553" Type="http://schemas.openxmlformats.org/officeDocument/2006/relationships/hyperlink" Target="https://www.pointp.fr/p/peinture-mastic-droguerie/lessive-st-marc-oxydrine-1kg-ref-10400050-A4649834" TargetMode="External"/><Relationship Id="rId554" Type="http://schemas.openxmlformats.org/officeDocument/2006/relationships/hyperlink" Target="https://www.laplateforme.com/catalogue/produit/143291" TargetMode="External"/><Relationship Id="rId555" Type="http://schemas.openxmlformats.org/officeDocument/2006/relationships/hyperlink" Target="https://www.chausson.fr/materiaux/toile-fibre-verre-maille-10mm-10mm-largeur-100cm-longueur-50m-p-333615-1" TargetMode="External"/><Relationship Id="rId556" Type="http://schemas.openxmlformats.org/officeDocument/2006/relationships/hyperlink" Target="https://www.pointp.fr/p/revetements-sols-et-murs/toile-de-verre-a-peindre-motif-maille-t1010c-1x50-m-A4021678" TargetMode="External"/><Relationship Id="rId557" Type="http://schemas.openxmlformats.org/officeDocument/2006/relationships/hyperlink" Target="https://www.chausson.fr/materiaux/mastic-colle-et-accessoires-colle-pvc-pour-briques-de-verre-cubiver-p-94251-1" TargetMode="External"/><Relationship Id="rId558" Type="http://schemas.openxmlformats.org/officeDocument/2006/relationships/hyperlink" Target="https://www.laplateforme.com/catalogue/produit/2529" TargetMode="External"/><Relationship Id="rId559" Type="http://schemas.openxmlformats.org/officeDocument/2006/relationships/hyperlink" Target="https://www.pointp.fr/p/outillage-quincaillerie/colle-ovalit-v-speciale-toiles-de-verre-a-peindre-seau-de-10-kg-A1300418" TargetMode="External"/><Relationship Id="rId560" Type="http://schemas.openxmlformats.org/officeDocument/2006/relationships/hyperlink" Target="https://www.afdb.fr/dalep-406001-decolleur-papier-peint-affiches-col-1-dalep-406001_SKU852936.html" TargetMode="External"/><Relationship Id="rId561" Type="http://schemas.openxmlformats.org/officeDocument/2006/relationships/hyperlink" Target="https://www.pointp.fr/p/peinture-mastic-droguerie/seau-doseur-metylan-20-litres-A1312355" TargetMode="External"/><Relationship Id="rId562" Type="http://schemas.openxmlformats.org/officeDocument/2006/relationships/hyperlink" Target="https://www.laplateforme.com/catalogue/produit/2531" TargetMode="External"/><Relationship Id="rId563" Type="http://schemas.openxmlformats.org/officeDocument/2006/relationships/hyperlink" Target="https://www.chausson.fr/quincaillerie/regle-tapisser-decoupe-papier-peint-inox-rectifiee-garantie-parallele-longueur-2m-p-703839-1" TargetMode="External"/><Relationship Id="rId564" Type="http://schemas.openxmlformats.org/officeDocument/2006/relationships/hyperlink" Target="https://www.pointp.fr/p/carrelage-interieur/gres-cerame-emaille-arte-deco-carioca-blanc-60-x-60-cm-A4788269" TargetMode="External"/><Relationship Id="rId565" Type="http://schemas.openxmlformats.org/officeDocument/2006/relationships/hyperlink" Target="https://www.pointp.fr/p/decoration-interieure/faience-ragno-candy-riviera-granata-decor-20-x-50-cm-rfgh-A6862209" TargetMode="External"/><Relationship Id="rId566" Type="http://schemas.openxmlformats.org/officeDocument/2006/relationships/hyperlink" Target="https://www.chausson.fr/materiaux/decor-faience-murale-effet-beton-cintas-20x60-cm-p-59382-2" TargetMode="External"/><Relationship Id="rId567" Type="http://schemas.openxmlformats.org/officeDocument/2006/relationships/hyperlink" Target="https://www.pointp.fr/p/decoration-interieure/carrelage-sol-gres-emaille-arte-one-villa-mat-villa-real-plinthe-A3664445" TargetMode="External"/><Relationship Id="rId568" Type="http://schemas.openxmlformats.org/officeDocument/2006/relationships/hyperlink" Target="https://www.laplateforme.com/catalogue/produit/150459" TargetMode="External"/><Relationship Id="rId569" Type="http://schemas.openxmlformats.org/officeDocument/2006/relationships/hyperlink" Target="https://www.chausson.fr/materiaux/plinthe-carrelage-effet-parquet-new-derby-betulla-p-425230-1" TargetMode="External"/><Relationship Id="rId570" Type="http://schemas.openxmlformats.org/officeDocument/2006/relationships/hyperlink" Target="https://www.pointp.fr/p/decoration-interieure/mortier-colle-ameliore-rapide-carrelage-weber-col-rapid-gris-sac-5-kg-A3453973" TargetMode="External"/><Relationship Id="rId571" Type="http://schemas.openxmlformats.org/officeDocument/2006/relationships/hyperlink" Target="https://www.laplateforme.com/catalogue/produit/113449" TargetMode="External"/><Relationship Id="rId572" Type="http://schemas.openxmlformats.org/officeDocument/2006/relationships/hyperlink" Target="https://www.sfic.com/search?q=" TargetMode="External"/><Relationship Id="rId573" Type="http://schemas.openxmlformats.org/officeDocument/2006/relationships/hyperlink" Target="https://www.chausson.fr/materiaux/colle-carrelage-deformable-fibre-577-prolisouple-eco2-gris-sac-25kg-p-411113-1" TargetMode="External"/><Relationship Id="rId574" Type="http://schemas.openxmlformats.org/officeDocument/2006/relationships/hyperlink" Target="https://www.afdb.fr/bostik-30631119-colle-carrelage-pieces-humides-seau-25-kg-bostik-30112314_SKU738745.html" TargetMode="External"/><Relationship Id="rId575" Type="http://schemas.openxmlformats.org/officeDocument/2006/relationships/hyperlink" Target="https://www.pointp.fr/p/outils-equipement-accessoires/piece-de-rechange-pour-grattoir-a-joint-rubiscraper-250-A1556391" TargetMode="External"/><Relationship Id="rId576" Type="http://schemas.openxmlformats.org/officeDocument/2006/relationships/hyperlink" Target="https://www.afdb.fr/bostik-30121641-joint-carrelage-fin-terrains-blanc-sac-5-kg-bostik-30121641_SKU738747.html" TargetMode="External"/><Relationship Id="rId577" Type="http://schemas.openxmlformats.org/officeDocument/2006/relationships/hyperlink" Target="https://www.chausson.fr/materiaux/joint-carrelage-sol-mur-5056-prolijoint-design-parexlanko-beige-sahara-p-410344-25" TargetMode="External"/><Relationship Id="rId578" Type="http://schemas.openxmlformats.org/officeDocument/2006/relationships/hyperlink" Target="https://www.afdb.fr/rubi-02901-sachet-300-croisillons-2-mm-joints-rubi-02901_SKU577850.html" TargetMode="External"/><Relationship Id="rId579" Type="http://schemas.openxmlformats.org/officeDocument/2006/relationships/hyperlink" Target="https://www.chausson.fr/materiaux/croisillon-autonivemant-vis-2mm-250-edilis-p-319843-1" TargetMode="External"/><Relationship Id="rId580" Type="http://schemas.openxmlformats.org/officeDocument/2006/relationships/hyperlink" Target="https://www.pointp.fr/p/outils-equipement-accessoires/croisillons-auto-nivelants-lineaires-3mm-boite-de-200-pieces-ref-404234-A7837970" TargetMode="External"/><Relationship Id="rId581" Type="http://schemas.openxmlformats.org/officeDocument/2006/relationships/hyperlink" Target="https://www.chausson.fr/materiaux/natte-desolidarisation-sous-carrelage-ditra-30m-p-199244-1" TargetMode="External"/><Relationship Id="rId582" Type="http://schemas.openxmlformats.org/officeDocument/2006/relationships/hyperlink" Target="https://www.pointp.fr/p/carrelage-interieur/plaque-de-desolidarisation-autocollante-schluter-ditra-ps-0-735-x-0-985-m-dpsma-A4894740" TargetMode="External"/><Relationship Id="rId583" Type="http://schemas.openxmlformats.org/officeDocument/2006/relationships/hyperlink" Target="https://www.laplateforme.com/catalogue/produit/36222" TargetMode="External"/><Relationship Id="rId584" Type="http://schemas.openxmlformats.org/officeDocument/2006/relationships/hyperlink" Target="https://www.chausson.fr/materiaux/systeme-detancheite-liquide-sous-carrelage-proli-imper-parexgroup-seau-kg-p-734731-1" TargetMode="External"/><Relationship Id="rId585" Type="http://schemas.openxmlformats.org/officeDocument/2006/relationships/hyperlink" Target="https://www.afdb.fr/starwax-pro-996-nettoyant-doux-1-parquets-sols-stratifies-starwax-996_SKU477046.html" TargetMode="External"/><Relationship Id="rId586" Type="http://schemas.openxmlformats.org/officeDocument/2006/relationships/hyperlink" Target="https://www.laplateforme.com/catalogue/produit/99176" TargetMode="External"/><Relationship Id="rId587" Type="http://schemas.openxmlformats.org/officeDocument/2006/relationships/hyperlink" Target="https://www.pointp.fr/p/revetements-sols-et-murs/renovateur-des-parquets-vitrifies-metallisant-1-litre-A1302920" TargetMode="External"/><Relationship Id="rId588" Type="http://schemas.openxmlformats.org/officeDocument/2006/relationships/hyperlink" Target="https://www.chausson.fr/materiaux/parquet-stratifie-naturesense-classe32-aqua-clic-4c-chene-dunnington-clair-p-395076-2" TargetMode="External"/><Relationship Id="rId589" Type="http://schemas.openxmlformats.org/officeDocument/2006/relationships/hyperlink" Target="https://www.pointp.fr/p/revetements-sols-et-murs/sous-couche-quick-step-silent-walk-2-en-1-rouleau-de-7m2-ref-qsudlsw7-A6139272" TargetMode="External"/><Relationship Id="rId590" Type="http://schemas.openxmlformats.org/officeDocument/2006/relationships/hyperlink" Target="https://www.laplateforme.com/catalogue/produit/158564" TargetMode="External"/><Relationship Id="rId591" Type="http://schemas.openxmlformats.org/officeDocument/2006/relationships/hyperlink" Target="https://www.chausson.fr/materiaux/sous-couche-acoustique-parquet-stratifie-edilis-1x15-ep-mm-p-36814-1" TargetMode="External"/><Relationship Id="rId592" Type="http://schemas.openxmlformats.org/officeDocument/2006/relationships/hyperlink" Target="https://www.sfic.com/search?q=" TargetMode="External"/><Relationship Id="rId593" Type="http://schemas.openxmlformats.org/officeDocument/2006/relationships/hyperlink" Target="https://www.pointp.fr/p/revetements-sols-et-murs/rail-pvc-pour-plinthe-quick-step-8x27x2400mm-netrack-A7840113" TargetMode="External"/><Relationship Id="rId594" Type="http://schemas.openxmlformats.org/officeDocument/2006/relationships/hyperlink" Target="https://www.afdb.fr/selection-rcp1619-profil-bavette-pvc-plinthe-16-19-mm-translucide-2-60-rcp1619_SKU649588.html" TargetMode="External"/><Relationship Id="rId595" Type="http://schemas.openxmlformats.org/officeDocument/2006/relationships/hyperlink" Target="https://www.chausson.fr/materiaux/plinthe-pvc-blanc-arrondie-anti-choc-240cm-7cm-12mm-p-418263-1" TargetMode="External"/><Relationship Id="rId596" Type="http://schemas.openxmlformats.org/officeDocument/2006/relationships/hyperlink" Target="https://www.laplateforme.com/catalogue/produit/142904" TargetMode="External"/><Relationship Id="rId597" Type="http://schemas.openxmlformats.org/officeDocument/2006/relationships/hyperlink" Target="https://www.pointp.fr/p/decoration-interieure/barre-de-seuil-harmony-multiniveau-pin-oslo-41-93-ref-7721480-A6249310" TargetMode="External"/><Relationship Id="rId598" Type="http://schemas.openxmlformats.org/officeDocument/2006/relationships/hyperlink" Target="https://www.laplateforme.com/catalogue/produit/128559" TargetMode="External"/><Relationship Id="rId599" Type="http://schemas.openxmlformats.org/officeDocument/2006/relationships/hyperlink" Target="https://www.afdb.fr/dinac-0060090-barre-seuil-adhesive-hotmelt-inox-30mmx2-70m-dinac-0060090_SKU741271.html" TargetMode="External"/><Relationship Id="rId600" Type="http://schemas.openxmlformats.org/officeDocument/2006/relationships/hyperlink" Target="https://www.chausson.fr/materiaux/seuil-extplat-but-40mm-nat-270ml-p-125427-1" TargetMode="External"/><Relationship Id="rId601" Type="http://schemas.openxmlformats.org/officeDocument/2006/relationships/hyperlink" Target="https://www.pointp.fr/p/decoration-interieure/ragreage-sol-interieur-ultibat-p3-25-kg-A7174395" TargetMode="External"/><Relationship Id="rId602" Type="http://schemas.openxmlformats.org/officeDocument/2006/relationships/hyperlink" Target="https://www.laplateforme.com/catalogue/produit/145840" TargetMode="External"/><Relationship Id="rId603" Type="http://schemas.openxmlformats.org/officeDocument/2006/relationships/hyperlink" Target="https://www.chausson.fr/materiaux/ragreage-autolissant-175-sol-ultra-parexlanko-25kg-p-516362-1" TargetMode="External"/><Relationship Id="rId604" Type="http://schemas.openxmlformats.org/officeDocument/2006/relationships/hyperlink" Target="https://www.pointp.fr/p/terrasses-et-exterieurs/dalle-prima-r1-gravillon-lave-roule-petits-grains-40x40x3-7cm-gris-sur-fond-gris-A4055947" TargetMode="External"/><Relationship Id="rId605" Type="http://schemas.openxmlformats.org/officeDocument/2006/relationships/hyperlink" Target="https://www.afdb.fr/rust-oleum-3302-0-75-primaire-accrochage-combiprimer-750-ml-rust-oleum-3302-0-75_SKU487178.html" TargetMode="External"/><Relationship Id="rId606" Type="http://schemas.openxmlformats.org/officeDocument/2006/relationships/hyperlink" Target="https://www.chausson.fr/materiaux/primaire-seve-spray-500ml-p-316301-1" TargetMode="External"/><Relationship Id="rId607" Type="http://schemas.openxmlformats.org/officeDocument/2006/relationships/hyperlink" Target="https://www.laplateforme.com/catalogue/produit/135907" TargetMode="External"/><Relationship Id="rId608" Type="http://schemas.openxmlformats.org/officeDocument/2006/relationships/hyperlink" Target="https://www.pointp.fr/p/menuiseries-interieures/bloc-porte-plane-alveolaire-resineux-prepeint-204x73-cm-poussant-A3495713" TargetMode="External"/><Relationship Id="rId609" Type="http://schemas.openxmlformats.org/officeDocument/2006/relationships/hyperlink" Target="https://www.laplateforme.com/catalogue/produit/144689" TargetMode="External"/><Relationship Id="rId610" Type="http://schemas.openxmlformats.org/officeDocument/2006/relationships/hyperlink" Target="https://www.sfic.com/search?q=" TargetMode="External"/><Relationship Id="rId611" Type="http://schemas.openxmlformats.org/officeDocument/2006/relationships/hyperlink" Target="https://www.chausson.fr/materiaux/bloc-porte-interieur-premafeu-ei30-204-83-c10-gauche-p-537074-2" TargetMode="External"/><Relationship Id="rId612" Type="http://schemas.openxmlformats.org/officeDocument/2006/relationships/hyperlink" Target="https://www.pointp.fr/p/portes-fenetres-menuiserie/bloc-porte-alveolaire-prepeint-deg-3p110-serrure-pddt-axe-a-50-h-perf-88-54-j3c-e204x93g-A4661731" TargetMode="External"/><Relationship Id="rId613" Type="http://schemas.openxmlformats.org/officeDocument/2006/relationships/hyperlink" Target="https://www.chausson.fr/materiaux/blocs-portes-portes-bloc-porte-coupe-feu-2h-premafeu-p-436435-1" TargetMode="External"/><Relationship Id="rId614" Type="http://schemas.openxmlformats.org/officeDocument/2006/relationships/hyperlink" Target="https://www.pointp.fr/p/portes-fenetres-menuiserie/bloc-porte-de-service-europro-rev-2-paum-blanc-ral9016-serr-1pt-poign-et-garn-synth-noire-204x83cm-A1971317" TargetMode="External"/><Relationship Id="rId615" Type="http://schemas.openxmlformats.org/officeDocument/2006/relationships/hyperlink" Target="https://www.laplateforme.com/catalogue/produit/2879" TargetMode="External"/><Relationship Id="rId616" Type="http://schemas.openxmlformats.org/officeDocument/2006/relationships/hyperlink" Target="https://www.afdb.fr/bourg-789081-lame-universel-male-huisserie-metallique-droite-35-x-43-mm-acier-zingue-bourg-789081_SKU572453.html" TargetMode="External"/><Relationship Id="rId617" Type="http://schemas.openxmlformats.org/officeDocument/2006/relationships/hyperlink" Target="https://www.sfic.com/search?q=" TargetMode="External"/><Relationship Id="rId618" Type="http://schemas.openxmlformats.org/officeDocument/2006/relationships/hyperlink" Target="https://www.laplateforme.com/catalogue/produit/7587" TargetMode="External"/><Relationship Id="rId619" Type="http://schemas.openxmlformats.org/officeDocument/2006/relationships/hyperlink" Target="https://www.pointp.fr/p/portes-fenetres-menuiserie/bloc-porte-fil-de-cloison-filo44-2030x800mm-huisserie-aluminium-porte-prepeinte-3-charnieres-invisibles-serrure-magnetique-A7849505" TargetMode="External"/><Relationship Id="rId620" Type="http://schemas.openxmlformats.org/officeDocument/2006/relationships/hyperlink" Target="https://www.chausson.fr/materiaux/tasseau-sapin-nord-bois-traite-classe2-incolore-22mm-45mm-4200mm-p-545946-7" TargetMode="External"/><Relationship Id="rId621" Type="http://schemas.openxmlformats.org/officeDocument/2006/relationships/hyperlink" Target="https://www.chausson.fr/materiaux/panneau-osb-avec-bords-droits-sterlingosb3-zero-1250mm-2500mm-ep18-p-137186-1" TargetMode="External"/><Relationship Id="rId622" Type="http://schemas.openxmlformats.org/officeDocument/2006/relationships/hyperlink" Target="https://www.pointp.fr/p/bois-et-panneaux/mdf-medium-standard-mince-244x122cm-3mm-A6247116" TargetMode="External"/><Relationship Id="rId623" Type="http://schemas.openxmlformats.org/officeDocument/2006/relationships/hyperlink" Target="https://www.chausson.fr/materiaux/panneaux-et-dalles-panneau-de-medium-standard-p-814033-1" TargetMode="External"/><Relationship Id="rId624" Type="http://schemas.openxmlformats.org/officeDocument/2006/relationships/hyperlink" Target="https://www.laplateforme.com/catalogue/produit/109014" TargetMode="External"/><Relationship Id="rId625" Type="http://schemas.openxmlformats.org/officeDocument/2006/relationships/hyperlink" Target="https://www.chausson.fr/materiaux/plinthe-arrondie-mdf-prepeint-blanc-p-768317-1" TargetMode="External"/><Relationship Id="rId626" Type="http://schemas.openxmlformats.org/officeDocument/2006/relationships/hyperlink" Target="https://www.pointp.fr/p/autres-revetements-sol-et-mur/plinthe-av-m-d-f-hydro-prepeint-blanc-15-x-80-x-2440-mm-5-lgs-A4215338" TargetMode="External"/><Relationship Id="rId627" Type="http://schemas.openxmlformats.org/officeDocument/2006/relationships/hyperlink" Target="https://www.chausson.fr/materiaux/baguette-arret-pvc-blanc-protection-chants-plaque-ba13-p-90913-1" TargetMode="External"/><Relationship Id="rId628" Type="http://schemas.openxmlformats.org/officeDocument/2006/relationships/hyperlink" Target="https://www.laplateforme.com/catalogue/produit/22211" TargetMode="External"/><Relationship Id="rId629" Type="http://schemas.openxmlformats.org/officeDocument/2006/relationships/hyperlink" Target="https://www.pointp.fr/p/bois-et-panneaux/bande-de-chant-melaminee-blanc-lisse-pre-encollee-w908-w980-f7949-A1739259" TargetMode="External"/><Relationship Id="rId630" Type="http://schemas.openxmlformats.org/officeDocument/2006/relationships/hyperlink" Target="https://www.sfic.com/search?q=" TargetMode="External"/><Relationship Id="rId631" Type="http://schemas.openxmlformats.org/officeDocument/2006/relationships/hyperlink" Target="https://www.afdb.fr/nordlinger-75246-chant-melamine-thermocollant-blanc-lisse-23-mm-50-ml-nordlinger-pro-75246_SKU793785.html" TargetMode="External"/><Relationship Id="rId632" Type="http://schemas.openxmlformats.org/officeDocument/2006/relationships/hyperlink" Target="https://www.laplateforme.com/catalogue/produit/19700" TargetMode="External"/><Relationship Id="rId633" Type="http://schemas.openxmlformats.org/officeDocument/2006/relationships/hyperlink" Target="https://www.afdb.fr/salice-celpx99xxv-charniere-invisible-air-push-encastrer-salice-3598647939649_SKU793916.html" TargetMode="External"/><Relationship Id="rId634" Type="http://schemas.openxmlformats.org/officeDocument/2006/relationships/hyperlink" Target="https://www.afdb.fr/blum-cou230450bc-coulisse-galets-30-kg-blanc-creme-sortie-simple-450-mm-blum-cou230450bc_SKU393316.html" TargetMode="External"/><Relationship Id="rId635" Type="http://schemas.openxmlformats.org/officeDocument/2006/relationships/hyperlink" Target="https://www.laplateforme.com/catalogue/produit/111941" TargetMode="External"/><Relationship Id="rId636" Type="http://schemas.openxmlformats.org/officeDocument/2006/relationships/hyperlink" Target="https://www.afdb.fr/comtra-verin-oleopneumatique-comtra-azote-finition-noir_SKUM8557.html" TargetMode="External"/><Relationship Id="rId637" Type="http://schemas.openxmlformats.org/officeDocument/2006/relationships/hyperlink" Target="https://www.afdb.fr/selection-155-01-231-poignee-meuble-inox-mat-diametre-10-mm-entraxe-96-mm-155-01-231_SKU761504.html" TargetMode="External"/><Relationship Id="rId638" Type="http://schemas.openxmlformats.org/officeDocument/2006/relationships/hyperlink" Target="https://www.chausson.fr/quincaillerie/poignee-porte-interieure-vachette-lc3-bequille-coudee-arrondie-avec-retour-sur-rosace-ronde-inox-brosse-p-811889-1" TargetMode="External"/><Relationship Id="rId639" Type="http://schemas.openxmlformats.org/officeDocument/2006/relationships/hyperlink" Target="https://www.pointp.fr/p/salle-de-bain-wc-plomberie/poignees-pour-meuble-sous-vasque-alterna-domino-inox-brosse-contient-3-poignees-A7758197" TargetMode="External"/><Relationship Id="rId640" Type="http://schemas.openxmlformats.org/officeDocument/2006/relationships/hyperlink" Target="https://www.sfic.com/search?q=verre%20feuillete%2044.2" TargetMode="External"/><Relationship Id="rId641" Type="http://schemas.openxmlformats.org/officeDocument/2006/relationships/hyperlink" Target="https://www.pointp.fr/p/menuiseries-exterieures/porte-d-entree-totem-acier-prefini-blanc-cremone-auto-5pts-vitrage-A6043804" TargetMode="External"/><Relationship Id="rId642" Type="http://schemas.openxmlformats.org/officeDocument/2006/relationships/hyperlink" Target="https://www.chausson.fr/quincaillerie/sikaseal-mensnjf-transp-300ml-p-227213-1" TargetMode="External"/><Relationship Id="rId643" Type="http://schemas.openxmlformats.org/officeDocument/2006/relationships/hyperlink" Target="https://www.pointp.fr/p/revetements-sols-et-murs/mastic-cermisil-i-tech-orme-cartouche-de-300-ml-2011050-A7847931" TargetMode="External"/><Relationship Id="rId644" Type="http://schemas.openxmlformats.org/officeDocument/2006/relationships/hyperlink" Target="https://www.afdb.fr/bostik-30602263-ciment-prompt-vicat-sac-1-kg-bostik-30602263_SKU738752.html" TargetMode="External"/><Relationship Id="rId645" Type="http://schemas.openxmlformats.org/officeDocument/2006/relationships/hyperlink" Target="https://www.pointp.fr/p/gros-oeuvre-bpe-voirie-tp/ciment-cem-ii-b-m-l-s-v-32-5-r-ce-cp1-nf-sac-de-25-kg-A1828964" TargetMode="External"/><Relationship Id="rId646" Type="http://schemas.openxmlformats.org/officeDocument/2006/relationships/hyperlink" Target="https://www.laplateforme.com/catalogue/produit/124723" TargetMode="External"/><Relationship Id="rId647" Type="http://schemas.openxmlformats.org/officeDocument/2006/relationships/hyperlink" Target="https://www.chausson.fr/materiaux/ciment-superbe-technocem-blanc-cem-ii-325-calcia-p-296510-1" TargetMode="External"/><Relationship Id="rId648" Type="http://schemas.openxmlformats.org/officeDocument/2006/relationships/hyperlink" Target="https://www.chausson.fr/materiaux/mortier-sec-m10-obra-pret-gacher-p-430342-1" TargetMode="External"/><Relationship Id="rId649" Type="http://schemas.openxmlformats.org/officeDocument/2006/relationships/hyperlink" Target="https://www.chausson.fr/materiaux/beton-universel-pret-lemploi-sac-25kg-p-766638-1" TargetMode="External"/><Relationship Id="rId650" Type="http://schemas.openxmlformats.org/officeDocument/2006/relationships/hyperlink" Target="https://www.pointp.fr/p/materiaux-gros-oeuvre/beton-sans-malaxage-pret-a-l-emploi-ultibat-prise-rapide-sac-de-25-kg-A4798471" TargetMode="External"/><Relationship Id="rId651" Type="http://schemas.openxmlformats.org/officeDocument/2006/relationships/hyperlink" Target="https://www.pointp.fr/p/materiaux-bois-gros-oeuvre/ciment-prompt-sac-de-1-kg-A1718050" TargetMode="External"/><Relationship Id="rId652" Type="http://schemas.openxmlformats.org/officeDocument/2006/relationships/hyperlink" Target="https://www.afdb.fr/bostik-30602263-ciment-prompt-vicat-sac-1-kg-bostik-30602263_SKU738752.html" TargetMode="External"/><Relationship Id="rId653" Type="http://schemas.openxmlformats.org/officeDocument/2006/relationships/hyperlink" Target="https://www.laplateforme.com/catalogue/produit/131155" TargetMode="External"/><Relationship Id="rId654" Type="http://schemas.openxmlformats.org/officeDocument/2006/relationships/hyperlink" Target="https://www.chausson.fr/materiaux/ciment-prompt-scellement-calage-reparation-parexlanko-sac-50-kg-p-700873-1" TargetMode="External"/><Relationship Id="rId655" Type="http://schemas.openxmlformats.org/officeDocument/2006/relationships/hyperlink" Target="https://www.laplateforme.com/catalogue/produit/82313" TargetMode="External"/><Relationship Id="rId656" Type="http://schemas.openxmlformats.org/officeDocument/2006/relationships/hyperlink" Target="https://www.pointp.fr/p/gros-oeuvre-bpe-voirie-tp/sable-a-maconner-0-4-sac-de-25kg-A6089398" TargetMode="External"/><Relationship Id="rId657" Type="http://schemas.openxmlformats.org/officeDocument/2006/relationships/hyperlink" Target="https://www.chausson.fr/materiaux/sable-batir-travaux-maconnerie-obra-granulometrie-mixte-sac-35kg-p-451126-1" TargetMode="External"/><Relationship Id="rId658" Type="http://schemas.openxmlformats.org/officeDocument/2006/relationships/hyperlink" Target="https://www.laplateforme.com/catalogue/produit/34632" TargetMode="External"/><Relationship Id="rId659" Type="http://schemas.openxmlformats.org/officeDocument/2006/relationships/hyperlink" Target="https://www.chausson.fr/materiaux/agglo-creux-ch-vrt-nf-20x20x45-p-442479-1" TargetMode="External"/><Relationship Id="rId660" Type="http://schemas.openxmlformats.org/officeDocument/2006/relationships/hyperlink" Target="https://www.chausson.fr/materiaux/brique-cloison-platriere-biobric-p-376650-1" TargetMode="External"/><Relationship Id="rId661" Type="http://schemas.openxmlformats.org/officeDocument/2006/relationships/hyperlink" Target="https://www.laplateforme.com/catalogue/produit/69648" TargetMode="External"/><Relationship Id="rId662" Type="http://schemas.openxmlformats.org/officeDocument/2006/relationships/hyperlink" Target="https://www.afdb.fr/lafarge-platres-96337-carreaux-platre-hydrofuge-lafarge-96337_SKU391995.html" TargetMode="External"/><Relationship Id="rId663" Type="http://schemas.openxmlformats.org/officeDocument/2006/relationships/hyperlink" Target="https://www.pointp.fr/p/platre-isolation-ite/carreau-de-platre-alveole-caroplatre-66x50-cm-ep-7-cm-A1302687" TargetMode="External"/><Relationship Id="rId664" Type="http://schemas.openxmlformats.org/officeDocument/2006/relationships/hyperlink" Target="https://www.chausson.fr/materiaux/treillis-soude-structure-p-343388-1" TargetMode="External"/><Relationship Id="rId665" Type="http://schemas.openxmlformats.org/officeDocument/2006/relationships/hyperlink" Target="https://www.pointp.fr/p/gros-oeuvre-bpe-voirie-tp/treillis-soude-panneau-adets-st25-maille-15x30-cm-fil-7-mm-2-40x6-m-A1246437" TargetMode="External"/><Relationship Id="rId666" Type="http://schemas.openxmlformats.org/officeDocument/2006/relationships/hyperlink" Target="https://www.laplateforme.com/catalogue/produit/30441" TargetMode="External"/><Relationship Id="rId667" Type="http://schemas.openxmlformats.org/officeDocument/2006/relationships/hyperlink" Target="https://www.chausson.fr/materiaux/barre-fer-beton-torsadee-acier-hle-10mm-6ml-p-156-1" TargetMode="External"/><Relationship Id="rId668" Type="http://schemas.openxmlformats.org/officeDocument/2006/relationships/hyperlink" Target="https://www.afdb.fr/taliaplast-461312-liens-fer-beton-12-cm-botte-1000-pieces-taliaplast-461312_SKU118801.html" TargetMode="External"/><Relationship Id="rId669" Type="http://schemas.openxmlformats.org/officeDocument/2006/relationships/hyperlink" Target="https://www.pointp.fr/p/quincaillerie/resine-fer-a-beton-fis-rc-ii-300-t-ref-571678-A4764994" TargetMode="External"/><Relationship Id="rId670" Type="http://schemas.openxmlformats.org/officeDocument/2006/relationships/hyperlink" Target="https://www.afdb.fr/selection-fisttr25k320-film-batiment-polyethylene-etanche-200-3-110-fisttr25k320_SKU746130.html" TargetMode="External"/><Relationship Id="rId671" Type="http://schemas.openxmlformats.org/officeDocument/2006/relationships/hyperlink" Target="https://www.laplateforme.com/catalogue/produit/113467" TargetMode="External"/><Relationship Id="rId672" Type="http://schemas.openxmlformats.org/officeDocument/2006/relationships/hyperlink" Target="https://www.chausson.fr/materiaux/impermeabilisant-revetement-impermeabilisant-barraseal-530-p-261727-1" TargetMode="External"/><Relationship Id="rId673" Type="http://schemas.openxmlformats.org/officeDocument/2006/relationships/hyperlink" Target="https://www.pointp.fr/p/electricite-ventilation/boitier-saillie-etanche-plexo-1-poste-avec-2-embouts-a-membrane-amovible-et-perforable-sans-decoupe-et-1-entree-gris-ref-069651l-A4389980" TargetMode="External"/><Relationship Id="rId674" Type="http://schemas.openxmlformats.org/officeDocument/2006/relationships/hyperlink" Target="https://www.chausson.fr/materiaux/membrane-etancheite-toiture-terrasse-hyrene-25-25-ts-rlx-1m-7ml-p-576414-1" TargetMode="External"/><Relationship Id="rId675" Type="http://schemas.openxmlformats.org/officeDocument/2006/relationships/hyperlink" Target="https://www.laplateforme.com/catalogue/produit/150935" TargetMode="External"/><Relationship Id="rId676" Type="http://schemas.openxmlformats.org/officeDocument/2006/relationships/hyperlink" Target="https://www.chausson.fr/quincaillerie/sac-gravats-baobag-polyethylene-bd-microns-75litres-noir-p-201875-1" TargetMode="External"/><Relationship Id="rId677" Type="http://schemas.openxmlformats.org/officeDocument/2006/relationships/hyperlink" Target="https://www.laplateforme.com/catalogue/produit/128960" TargetMode="External"/><Relationship Id="rId678" Type="http://schemas.openxmlformats.org/officeDocument/2006/relationships/hyperlink" Target="https://www.afdb.fr/dulary-sapp55x95b-rouleau-10-sacs-gravats-tisse-blanc-950-x-550-mm-dulary-sapp55x95b_SKU219742.html" TargetMode="External"/><Relationship Id="rId679" Type="http://schemas.openxmlformats.org/officeDocument/2006/relationships/hyperlink" Target="https://www.pointp.fr/p/materiel-de-chantier/sac-a-gravats-pebd-noir-novipro-40kg-x5-A4659356" TargetMode="External"/><Relationship Id="rId680" Type="http://schemas.openxmlformats.org/officeDocument/2006/relationships/hyperlink" Target="https://www.pointp.fr/p/materiaux-bois-gros-oeuvre/big-bag-point-p-4-faces-oranges-volume-maxi-200l-1-5m3-resistance-A6859160" TargetMode="External"/><Relationship Id="rId681" Type="http://schemas.openxmlformats.org/officeDocument/2006/relationships/hyperlink" Target="https://www.laplateforme.com/catalogue/produit/56734" TargetMode="External"/><Relationship Id="rId682" Type="http://schemas.openxmlformats.org/officeDocument/2006/relationships/hyperlink" Target="https://www.afdb.fr/taliaplast-390603-conteneur-reutilisable-big-bag-taliasac-1500-kg-taliaplast-390603_SKU743767.html" TargetMode="External"/><Relationship Id="rId683" Type="http://schemas.openxmlformats.org/officeDocument/2006/relationships/hyperlink" Target="https://www.chausson.fr/materiaux/sable-big-bag-p-497372-1" TargetMode="External"/><Relationship Id="rId684" Type="http://schemas.openxmlformats.org/officeDocument/2006/relationships/hyperlink" Target="https://www.afdb.fr/ultima-visser-fixer-coller-ccaf02-resine-scellement-chimique-hybride-beton-300-ml-ultima-ccaf02_SKU756860.html" TargetMode="External"/><Relationship Id="rId685" Type="http://schemas.openxmlformats.org/officeDocument/2006/relationships/hyperlink" Target="https://www.pointp.fr/p/outillage-quincaillerie/scellement-polyester-cartouche-300-ml-deltapro-A1662042" TargetMode="External"/><Relationship Id="rId686" Type="http://schemas.openxmlformats.org/officeDocument/2006/relationships/hyperlink" Target="https://www.laplateforme.com/catalogue/produit/132985" TargetMode="External"/><Relationship Id="rId687" Type="http://schemas.openxmlformats.org/officeDocument/2006/relationships/hyperlink" Target="https://www.chausson.fr/quincaillerie/cartouche-scellement-chimique-cmix-spit-gris-beton-300ml-buses-p-486522-1" TargetMode="External"/><Relationship Id="rId688" Type="http://schemas.openxmlformats.org/officeDocument/2006/relationships/hyperlink" Target="https://www.afdb.fr/ultima-visser-fixer-coller-tige-filetee-inox-a2-din-976-1-m10-ultima-6265010_SKU668479.html" TargetMode="External"/><Relationship Id="rId689" Type="http://schemas.openxmlformats.org/officeDocument/2006/relationships/hyperlink" Target="https://www.chausson.fr/quincaillerie/tige-filetee-biseautee-avec-ecrou-rondelle-spit-acier-zingue-m10-130mm-boite-10-p-209384-1" TargetMode="External"/><Relationship Id="rId690" Type="http://schemas.openxmlformats.org/officeDocument/2006/relationships/hyperlink" Target="https://www.chausson.fr/quincaillerie/vis-bois-agglomere-tete-fraisee-lobes-filetage-partiel-inox-a2-m4x40-p-739219-1" TargetMode="External"/><Relationship Id="rId691" Type="http://schemas.openxmlformats.org/officeDocument/2006/relationships/hyperlink" Target="https://www.afdb.fr/ultima-visser-fixer-coller-afb112404016b-vis-bois-agglomeres-tete-fraisee-torx-inox-a2-4x40-24-boite-200-ultima-12640040_SKU582042.html" TargetMode="External"/><Relationship Id="rId692" Type="http://schemas.openxmlformats.org/officeDocument/2006/relationships/hyperlink" Target="https://www.afdb.fr/ultima-visser-fixer-coller-afb102503016b-vis-bois-agglomeres-tete-fraisee-pozidriv-inox-a2-5x30-boite-100-ultima-12550030_SKU582008.html" TargetMode="External"/><Relationship Id="rId693" Type="http://schemas.openxmlformats.org/officeDocument/2006/relationships/hyperlink" Target="https://www.pointp.fr/p/outillage-quincaillerie/vis-spax-inox-a2-autoforeuse-4-5x70-mm-boite-100-A1606609" TargetMode="External"/><Relationship Id="rId694" Type="http://schemas.openxmlformats.org/officeDocument/2006/relationships/hyperlink" Target="https://www.afdb.fr/ultima-visser-fixer-coller-afb7504k6325-vis-auto-perceuse-tete-hexagonale-embase-zingue-din-7504-k-6-3x25-boite-250-ultima-15563254_SKU590317.html" TargetMode="External"/><Relationship Id="rId695" Type="http://schemas.openxmlformats.org/officeDocument/2006/relationships/hyperlink" Target="https://www.pointp.fr/p/outillage-quincaillerie/vis-autroperceuse-pour-bardage-6-3x25-boite-33-pieces-A1419700" TargetMode="External"/><Relationship Id="rId696" Type="http://schemas.openxmlformats.org/officeDocument/2006/relationships/hyperlink" Target="https://www.chausson.fr/quincaillerie/vis-metaux-tete-hexagonale-entierement-filetee-inox-a2-din-iso-4017-m6x40-p-750720-1" TargetMode="External"/><Relationship Id="rId697" Type="http://schemas.openxmlformats.org/officeDocument/2006/relationships/hyperlink" Target="https://www.afdb.fr/acton-621016x40-vis-metaux-tete-hexagonale-inox-a2-classe-8-8-din-933-6x40-boite-200-acton-621016x40_SKU562569.html" TargetMode="External"/><Relationship Id="rId698" Type="http://schemas.openxmlformats.org/officeDocument/2006/relationships/hyperlink" Target="https://www.pointp.fr/p/outillage-quincaillerie/tirefond-8x80-mm-32-pieces-A1588181" TargetMode="External"/><Relationship Id="rId699" Type="http://schemas.openxmlformats.org/officeDocument/2006/relationships/hyperlink" Target="https://www.afdb.fr/ultima-visser-fixer-coller-afb4018080-tirefond-acier-zingue-din-571-8x80-boite-100-ultima-14180080_SKU582196.html" TargetMode="External"/><Relationship Id="rId700" Type="http://schemas.openxmlformats.org/officeDocument/2006/relationships/hyperlink" Target="https://www.afdb.fr/scell-it-ds08-cheville-expansion-nylon-collerette-8-x-40-mm-boite-100-scell-it-ds08_SKU439272.html" TargetMode="External"/><Relationship Id="rId701" Type="http://schemas.openxmlformats.org/officeDocument/2006/relationships/hyperlink" Target="https://www.pointp.fr/p/outillage-quincaillerie/cheville-nylon-pour-materiaux-pleins-et-creux-6-x-30-mm-boite-A6114696" TargetMode="External"/><Relationship Id="rId702" Type="http://schemas.openxmlformats.org/officeDocument/2006/relationships/hyperlink" Target="https://www.chausson.fr/quincaillerie/cheville-nylon-pro6-spit-sans-vis-materiaux-pleins-creux-8x40mm-boite-100-p-646634-1" TargetMode="External"/><Relationship Id="rId703" Type="http://schemas.openxmlformats.org/officeDocument/2006/relationships/hyperlink" Target="https://www.prolians.fr/catalogsearch/result/?q=" TargetMode="External"/><Relationship Id="rId704" Type="http://schemas.openxmlformats.org/officeDocument/2006/relationships/hyperlink" Target="https://www.afdb.fr/fischer-50354-chevilles-frapper-ns-nylon-6x40-boite-50-fischer-50354_SKU058189.html" TargetMode="External"/><Relationship Id="rId705" Type="http://schemas.openxmlformats.org/officeDocument/2006/relationships/hyperlink" Target="https://www.pointp.fr/p/platre-isolation-ite/cheville-a-clou-nf-fischer-6x40-mm-sachet-50-A1956920" TargetMode="External"/><Relationship Id="rId706" Type="http://schemas.openxmlformats.org/officeDocument/2006/relationships/hyperlink" Target="https://www.afdb.fr/spit-x-trem-058618-goujon-ancrage-fix-z-xtrem-m8x90-40-27-a4-boite-50-spit-058618_SKU787930.html" TargetMode="External"/><Relationship Id="rId707" Type="http://schemas.openxmlformats.org/officeDocument/2006/relationships/hyperlink" Target="https://www.afdb.fr/spit-565012-tamis-plastique-12x45-m6-m8-boite-10-spit-565012_SKU647107.html" TargetMode="External"/><Relationship Id="rId708" Type="http://schemas.openxmlformats.org/officeDocument/2006/relationships/hyperlink" Target="https://www.afdb.fr/ultima-visser-fixer-coller-afb9888060-boulon-tete-hexagonale-acier-zingue-blanc-classe-8-8-din-931-934-8x60-bte100-ultima-afb9888060_SKU590440.html" TargetMode="External"/><Relationship Id="rId709" Type="http://schemas.openxmlformats.org/officeDocument/2006/relationships/hyperlink" Target="https://www.chausson.fr/quincaillerie/coffret-ecrous-freins-m4-m12-p-782634-1" TargetMode="External"/><Relationship Id="rId710" Type="http://schemas.openxmlformats.org/officeDocument/2006/relationships/hyperlink" Target="https://www.afdb.fr/ultima-visser-fixer-coller-afb9858-ecrou-frein-nylstop-zingue-classe-8-m8-boite-200-ultima-afb9858_SKU582228.html" TargetMode="External"/><Relationship Id="rId711" Type="http://schemas.openxmlformats.org/officeDocument/2006/relationships/hyperlink" Target="https://www.afdb.fr/20427-rondelle-plate-m8x18x1-5-50001174-000_SKU121705.html" TargetMode="External"/><Relationship Id="rId712" Type="http://schemas.openxmlformats.org/officeDocument/2006/relationships/hyperlink" Target="https://www.chausson.fr/quincaillerie/rondelle-plate-moyenne-type-nfe-25513-25514-inox-a2-m8-diametre-exterieur-18mm-epaisseur-15mm-p-664068-1" TargetMode="External"/><Relationship Id="rId713" Type="http://schemas.openxmlformats.org/officeDocument/2006/relationships/hyperlink" Target="https://www.pointp.fr/p/toiture-charpente/aretier-cornier-rond-431xlp-sable-bourgogne-bavent-A7603187" TargetMode="External"/><Relationship Id="rId714" Type="http://schemas.openxmlformats.org/officeDocument/2006/relationships/hyperlink" Target="https://www.chausson.fr/quincaillerie/equerre-fixation-nervuree-cqfd-pans-70x70x30-mm-epaisseur-015-mm-acier-zingue-p-722135-1" TargetMode="External"/><Relationship Id="rId715" Type="http://schemas.openxmlformats.org/officeDocument/2006/relationships/hyperlink" Target="https://www.pointp.fr/p/bois-et-panneaux/equerre-mixte-renforcee-simpson-55x70x70-mm-ep-2-mm-A1642749" TargetMode="External"/><Relationship Id="rId716" Type="http://schemas.openxmlformats.org/officeDocument/2006/relationships/hyperlink" Target="https://www.afdb.fr/sewosy-equerres-sewosy-fixation-ventouses-ef_SKUM127289.html" TargetMode="External"/><Relationship Id="rId717" Type="http://schemas.openxmlformats.org/officeDocument/2006/relationships/hyperlink" Target="https://www.afdb.fr/ing-fixations-a853035-cheville-sabot-charpente-ing-fixations-a853035_SKU409613.html" TargetMode="External"/><Relationship Id="rId718" Type="http://schemas.openxmlformats.org/officeDocument/2006/relationships/hyperlink" Target="https://www.pointp.fr/p/platre-isolation-ite/feuillard-perfore-rouleau-de-100m-fp7-A3378574" TargetMode="External"/><Relationship Id="rId719" Type="http://schemas.openxmlformats.org/officeDocument/2006/relationships/hyperlink" Target="https://www.prolians.fr/catalogsearch/result/?q=" TargetMode="External"/><Relationship Id="rId720" Type="http://schemas.openxmlformats.org/officeDocument/2006/relationships/hyperlink" Target="https://www.chausson.fr/quincaillerie/feuillard-largeur-30-mm-epaisseur-15-mm-rouleau-de-25-metres-p-781148-1" TargetMode="External"/><Relationship Id="rId721" Type="http://schemas.openxmlformats.org/officeDocument/2006/relationships/hyperlink" Target="https://www.afdb.fr/simpson-fp30-1-5-50-feuillard-perfore-30-x-1-5-mm-rouleaux-50-simpson-strong-fp30-1-5-50_SKU787938.html" TargetMode="External"/><Relationship Id="rId722" Type="http://schemas.openxmlformats.org/officeDocument/2006/relationships/hyperlink" Target="https://www.pointp.fr/p/peinture-mastic-droguerie/cartouche-mastic-acrylique-blanc-300ml-novipro-A4622291" TargetMode="External"/><Relationship Id="rId723" Type="http://schemas.openxmlformats.org/officeDocument/2006/relationships/hyperlink" Target="https://www.afdb.fr/bostik-30613629-mastic-acrylique-etancheite-acryl-blanc-cartouche-310-ml-bostik-30613629_SKU794044.html" TargetMode="External"/><Relationship Id="rId724" Type="http://schemas.openxmlformats.org/officeDocument/2006/relationships/hyperlink" Target="https://www.chausson.fr/materiaux/mastic-acrylique-joint-fissure-obra-cartouche-300ml-blanc-p-703177-1" TargetMode="External"/><Relationship Id="rId725" Type="http://schemas.openxmlformats.org/officeDocument/2006/relationships/hyperlink" Target="https://www.prolians.fr/catalogsearch/result/?q=" TargetMode="External"/><Relationship Id="rId726" Type="http://schemas.openxmlformats.org/officeDocument/2006/relationships/hyperlink" Target="https://www.afdb.fr/selection-sanitaire-b-mastic-silicone-sanitaire-blanc-ms305-blanc_SKU515418.html" TargetMode="External"/><Relationship Id="rId727" Type="http://schemas.openxmlformats.org/officeDocument/2006/relationships/hyperlink" Target="https://www.laplateforme.com/catalogue/produit/2538" TargetMode="External"/><Relationship Id="rId728" Type="http://schemas.openxmlformats.org/officeDocument/2006/relationships/hyperlink" Target="https://www.pointp.fr/p/outils-equipement-accessoires/mastic-silicone-blanc-cartouche-de-310ml-special-sanitaire-ref-A1235281" TargetMode="External"/><Relationship Id="rId729" Type="http://schemas.openxmlformats.org/officeDocument/2006/relationships/hyperlink" Target="https://www.prolians.fr/catalogsearch/result/?q=" TargetMode="External"/><Relationship Id="rId730" Type="http://schemas.openxmlformats.org/officeDocument/2006/relationships/hyperlink" Target="https://www.chausson.fr/quincaillerie/joint-mastic-silicone-acetique-sanitaire-edilis-cartouche-300ml-translucide-p-703183-2" TargetMode="External"/><Relationship Id="rId731" Type="http://schemas.openxmlformats.org/officeDocument/2006/relationships/hyperlink" Target="https://www.chausson.fr/quincaillerie/mastic-colle-ms-polymere-edia-290ml-blanc-p-703178-1" TargetMode="External"/><Relationship Id="rId732" Type="http://schemas.openxmlformats.org/officeDocument/2006/relationships/hyperlink" Target="https://www.pointp.fr/p/peinture-mastic-droguerie/mastic-colle-et-joint-flexpro-pu790-gris-anthracite-cartouche-de-300-ml-A4799530" TargetMode="External"/><Relationship Id="rId733" Type="http://schemas.openxmlformats.org/officeDocument/2006/relationships/hyperlink" Target="https://www.prolians.fr/catalogsearch/result/?q=" TargetMode="External"/><Relationship Id="rId734" Type="http://schemas.openxmlformats.org/officeDocument/2006/relationships/hyperlink" Target="https://www.afdb.fr/soudal-110980-mastic-colle-polymere-hybride-fix-all-crystal-cartouche-290-ml-soudal-110980_SKU550384.html" TargetMode="External"/><Relationship Id="rId735" Type="http://schemas.openxmlformats.org/officeDocument/2006/relationships/hyperlink" Target="https://www.pointp.fr/p/outils-equipement-accessoires/mousse-expansive-thermique-et-phonique-pistolable-aerosol-750-A6277108" TargetMode="External"/><Relationship Id="rId736" Type="http://schemas.openxmlformats.org/officeDocument/2006/relationships/hyperlink" Target="https://www.afdb.fr/ultima-visser-fixer-coller-127298-mousse-polyurethane-aerosol-manuelle-750-ml-ultima-16090_SKU607913.html" TargetMode="External"/><Relationship Id="rId737" Type="http://schemas.openxmlformats.org/officeDocument/2006/relationships/hyperlink" Target="https://www.prolians.fr/catalogsearch/result/?q=" TargetMode="External"/><Relationship Id="rId738" Type="http://schemas.openxmlformats.org/officeDocument/2006/relationships/hyperlink" Target="https://www.chausson.fr/materiaux/mousse-expansive-polyurethane-pistolable-edia-aerosol-750ml-pret-lemploi-beige-p-703168-1" TargetMode="External"/><Relationship Id="rId739" Type="http://schemas.openxmlformats.org/officeDocument/2006/relationships/hyperlink" Target="https://www.afdb.fr/pattex-1419285-colle-neoprene-contact-gel-bidon-4-25-kg-pattex-1419285_SKU576314.html" TargetMode="External"/><Relationship Id="rId740" Type="http://schemas.openxmlformats.org/officeDocument/2006/relationships/hyperlink" Target="https://www.pointp.fr/p/outillage-quincaillerie/jugulaire-de-casque-cuir-A1362797" TargetMode="External"/><Relationship Id="rId741" Type="http://schemas.openxmlformats.org/officeDocument/2006/relationships/hyperlink" Target="https://www.chausson.fr/quincaillerie/casque-chantier-oceanic-ii-taliaplast-coiffe-pe-reglage-standard-blanc-p-787200-2" TargetMode="External"/><Relationship Id="rId742" Type="http://schemas.openxmlformats.org/officeDocument/2006/relationships/hyperlink" Target="https://www.afdb.fr/delta-plus-jugalgr-sachet-10-jugulaires-mentonniere-jugalpha-casques-chantier-delta-plus-jugalgr_SKU460022.html" TargetMode="External"/><Relationship Id="rId743" Type="http://schemas.openxmlformats.org/officeDocument/2006/relationships/hyperlink" Target="https://www.prolians.fr/catalogsearch/result/?q=" TargetMode="External"/><Relationship Id="rId744" Type="http://schemas.openxmlformats.org/officeDocument/2006/relationships/hyperlink" Target="https://www.pointp.fr/p/equipement-de-protection-securite/chaussures-securite-modele-bas-t45-seoul-novipro-A4932483" TargetMode="External"/><Relationship Id="rId745" Type="http://schemas.openxmlformats.org/officeDocument/2006/relationships/hyperlink" Target="https://www.afdb.fr/lemaitre-securite-chaussures-securite-basses-s3-src-lemaitre-securite-duran_SKUM34153.html" TargetMode="External"/><Relationship Id="rId746" Type="http://schemas.openxmlformats.org/officeDocument/2006/relationships/hyperlink" Target="https://www.chausson.fr/quincaillerie/chaussure-securite-s3-puma-crosstwist-low-orange-bleu-taille-43-p-391490-5" TargetMode="External"/><Relationship Id="rId747" Type="http://schemas.openxmlformats.org/officeDocument/2006/relationships/hyperlink" Target="https://www.pointp.fr/p/equipement-de-protection-securite/gant-manutention-de-precision-milieu-sec-tous-travaux-taille-8-novipro-A4632558" TargetMode="External"/><Relationship Id="rId748" Type="http://schemas.openxmlformats.org/officeDocument/2006/relationships/hyperlink" Target="https://www.afdb.fr/coverguard-3619-gants-manutention-eurostrong-3620-pvc-rouge-36-cm-taille-9-coverguard-3619_SKU633046.html" TargetMode="External"/><Relationship Id="rId749" Type="http://schemas.openxmlformats.org/officeDocument/2006/relationships/hyperlink" Target="https://www.prolians.fr/catalogsearch/result/?q=" TargetMode="External"/><Relationship Id="rId750" Type="http://schemas.openxmlformats.org/officeDocument/2006/relationships/hyperlink" Target="https://www.chausson.fr/quincaillerie/gant-manutention-obra-coton-enduction-nitrile-taille-lot-paires-p-601264-1" TargetMode="External"/><Relationship Id="rId751" Type="http://schemas.openxmlformats.org/officeDocument/2006/relationships/hyperlink" Target="https://www.prolians.fr/catalogsearch/result/?q=" TargetMode="External"/><Relationship Id="rId752" Type="http://schemas.openxmlformats.org/officeDocument/2006/relationships/hyperlink" Target="https://www.pointp.fr/p/outils-equipement-accessoires/lunettes-de-protection-combi-incolores-ref-28160-A7500888" TargetMode="External"/><Relationship Id="rId753" Type="http://schemas.openxmlformats.org/officeDocument/2006/relationships/hyperlink" Target="https://www.afdb.fr/auboueix-0230-lunettes-protection-casque-kara-incolore-auboueix-0230_SKU747978.html" TargetMode="External"/><Relationship Id="rId754" Type="http://schemas.openxmlformats.org/officeDocument/2006/relationships/hyperlink" Target="https://www.chausson.fr/quincaillerie/lunettes-protection-monture-nylon-incolore-anti-rayures-anti-buee-p-764646-1" TargetMode="External"/><Relationship Id="rId755" Type="http://schemas.openxmlformats.org/officeDocument/2006/relationships/hyperlink" Target="https://www.afdb.fr/selection-boite-20-masques-pliables-jetables-ffp2-nr-valve-bfe-95-masques11_SKU780031.html" TargetMode="External"/><Relationship Id="rId756" Type="http://schemas.openxmlformats.org/officeDocument/2006/relationships/hyperlink" Target="https://www.chausson.fr/materiaux/masque-protection-ffp2-coque-3m-8822-antipoussiere-poncage-p-600518-1" TargetMode="External"/><Relationship Id="rId757" Type="http://schemas.openxmlformats.org/officeDocument/2006/relationships/hyperlink" Target="https://www.pointp.fr/p/outils-equipement-accessoires/masques-novipro-ffp2-boite-de-10-pieces-A4155732" TargetMode="External"/><Relationship Id="rId758" Type="http://schemas.openxmlformats.org/officeDocument/2006/relationships/hyperlink" Target="https://www.prolians.fr/catalogsearch/result/?q=" TargetMode="External"/><Relationship Id="rId759" Type="http://schemas.openxmlformats.org/officeDocument/2006/relationships/hyperlink" Target="https://www.pointp.fr/p/outils-equipement-accessoires/casque-antibruit-silver-27-ref-28103-A7500890" TargetMode="External"/><Relationship Id="rId760" Type="http://schemas.openxmlformats.org/officeDocument/2006/relationships/hyperlink" Target="https://www.afdb.fr/delta-plus-casque-antibruit-interlagos-light-delta-plus-interlight_SKUM125804.html" TargetMode="External"/><Relationship Id="rId761" Type="http://schemas.openxmlformats.org/officeDocument/2006/relationships/hyperlink" Target="https://www.prolians.fr/catalogsearch/result/?q=" TargetMode="External"/><Relationship Id="rId762" Type="http://schemas.openxmlformats.org/officeDocument/2006/relationships/hyperlink" Target="https://www.chausson.fr/materiaux/casque-antibruit-tekno-compact-p-458447-1" TargetMode="External"/><Relationship Id="rId763" Type="http://schemas.openxmlformats.org/officeDocument/2006/relationships/hyperlink" Target="https://www.chausson.fr/quincaillerie/kit-harnais-antichute-levac-special-nacelle-avec-longe-retenue-mousquetons-p-744461-1" TargetMode="External"/><Relationship Id="rId764" Type="http://schemas.openxmlformats.org/officeDocument/2006/relationships/hyperlink" Target="https://www.afdb.fr/tractel-harnais-antichute-ht11-tractel-2257_SKUM133646.html" TargetMode="External"/><Relationship Id="rId765" Type="http://schemas.openxmlformats.org/officeDocument/2006/relationships/hyperlink" Target="https://www.pointp.fr/p/outils-equipement-accessoires/harnais-budget-s-m-l-xl-ref-9100101-A6007764" TargetMode="External"/><Relationship Id="rId766" Type="http://schemas.openxmlformats.org/officeDocument/2006/relationships/hyperlink" Target="https://www.prolians.fr/catalogsearch/result/?q=" TargetMode="External"/><Relationship Id="rId767" Type="http://schemas.openxmlformats.org/officeDocument/2006/relationships/hyperlink" Target="https://www.chausson.fr/quincaillerie/gilet-jaune-haute-visibilite-yard-avec-fermeture-centrale-scratchs-taille-xl-p-80563-1" TargetMode="External"/><Relationship Id="rId768" Type="http://schemas.openxmlformats.org/officeDocument/2006/relationships/hyperlink" Target="https://www.afdb.fr/selection-p101-gilet-haute-visibilite-bandes-paralleles-reglable-jaune-fluo-argent-vet3025gt_SKU449344.html" TargetMode="External"/><Relationship Id="rId769" Type="http://schemas.openxmlformats.org/officeDocument/2006/relationships/hyperlink" Target="https://www.prolians.fr/catalogsearch/result/?q=" TargetMode="External"/><Relationship Id="rId770" Type="http://schemas.openxmlformats.org/officeDocument/2006/relationships/hyperlink" Target="https://www.pointp.fr/p/outils-equipement-accessoires/disque-diamant-segments-soudes-laser-materiaux-de-construction-novipro-diametre-125-x-22-2-hauteur-segments-10-mm-ref-70184609589-A6008397" TargetMode="External"/><Relationship Id="rId771" Type="http://schemas.openxmlformats.org/officeDocument/2006/relationships/hyperlink" Target="https://www.chausson.fr/quincaillerie/disque-diamant-pro-materiaux-durs-125mm-obra-10segments-alesage-2223-mm-p-779399-1" TargetMode="External"/><Relationship Id="rId772" Type="http://schemas.openxmlformats.org/officeDocument/2006/relationships/hyperlink" Target="https://www.afdb.fr/hanger-disque-tronconner-diamante-hanger-x-trm-multi-materiaux-125-mm-150082_SKUM216144.html" TargetMode="External"/><Relationship Id="rId773" Type="http://schemas.openxmlformats.org/officeDocument/2006/relationships/hyperlink" Target="https://www.prolians.fr/catalogsearch/result/?q=" TargetMode="External"/><Relationship Id="rId774" Type="http://schemas.openxmlformats.org/officeDocument/2006/relationships/hyperlink" Target="https://www.afdb.fr/hanger-155721-foret-beton-sds-plus-4-taillants-diametre-5-x-110-mm-hanger-thor-155721_SKU749782.html" TargetMode="External"/><Relationship Id="rId775" Type="http://schemas.openxmlformats.org/officeDocument/2006/relationships/hyperlink" Target="https://www.pointp.fr/p/outillage-quincaillerie/foret-marteau-beton-booster-helice-1-2-rond-sds-3-taillants-novipro-A6539803" TargetMode="External"/><Relationship Id="rId776" Type="http://schemas.openxmlformats.org/officeDocument/2006/relationships/hyperlink" Target="https://www.afdb.fr/bosch-1213529-assortiment-3-embouts-vissage-courts-qualite-extra-dure-ph2-pz2-s1x5-5-25-mm-bosch-2607001766_SKU116236.html" TargetMode="External"/><Relationship Id="rId777" Type="http://schemas.openxmlformats.org/officeDocument/2006/relationships/hyperlink" Target="https://www.chausson.fr/quincaillerie/embout-vissage-bosch-extra-dure-pans-pozidriv-pz2-longueur-mm-lot-p-5068-1" TargetMode="External"/><Relationship Id="rId778" Type="http://schemas.openxmlformats.org/officeDocument/2006/relationships/hyperlink" Target="https://www.pointp.fr/p/outils-equipement-accessoires/12-embouts-impact-pz2-en-2-5-cm-boite-tic-tac-A6009468" TargetMode="External"/><Relationship Id="rId779" Type="http://schemas.openxmlformats.org/officeDocument/2006/relationships/hyperlink" Target="https://www.chausson.fr/quincaillerie/lame-scie-sauteuse-bois-pvc-hcs-11-makita-coupe-fine-grossiere-lot-p-776723-1" TargetMode="External"/><Relationship Id="rId780" Type="http://schemas.openxmlformats.org/officeDocument/2006/relationships/hyperlink" Target="https://www.pointp.fr/p/outillage/lames-de-scie-sauteuse-bois-finition-longueur-55mm-pas-de-1-2-2-6mm-5-novipro-A4933757" TargetMode="External"/><Relationship Id="rId781" Type="http://schemas.openxmlformats.org/officeDocument/2006/relationships/hyperlink" Target="https://www.afdb.fr/bosch-2608630058-pack-5-lames-scie-sauteuse-bois-244-bosch-2608630058_SKU478339.html" TargetMode="External"/><Relationship Id="rId782" Type="http://schemas.openxmlformats.org/officeDocument/2006/relationships/hyperlink" Target="https://www.prolians.fr/catalogsearch/result/?q=" TargetMode="External"/><Relationship Id="rId783" Type="http://schemas.openxmlformats.org/officeDocument/2006/relationships/hyperlink" Target="https://www.pointp.fr/p/outils-equipement-accessoires/lame-de-cutter-secable-paquet-de-10-pcs-A3644659" TargetMode="External"/><Relationship Id="rId784" Type="http://schemas.openxmlformats.org/officeDocument/2006/relationships/hyperlink" Target="https://www.prolians.fr/catalogsearch/result/?q=" TargetMode="External"/><Relationship Id="rId785" Type="http://schemas.openxmlformats.org/officeDocument/2006/relationships/hyperlink" Target="https://www.afdb.fr/stanley-0-10-095-cutter-lame-secable-interlock-9-mm-stanley-0-10-095_SKU578119.html" TargetMode="External"/><Relationship Id="rId786" Type="http://schemas.openxmlformats.org/officeDocument/2006/relationships/hyperlink" Target="https://www.chausson.fr/quincaillerie/cutter-sciage-cutter-bi-matiere-dynagrip-p-212706-1" TargetMode="External"/><Relationship Id="rId787" Type="http://schemas.openxmlformats.org/officeDocument/2006/relationships/hyperlink" Target="https://www.chausson.fr/quincaillerie/film-masquage-adhesif-cache-vite-lima-largeur-550mm-longueur-20metres-toile-bleue-p-238952-1" TargetMode="External"/><Relationship Id="rId788" Type="http://schemas.openxmlformats.org/officeDocument/2006/relationships/hyperlink" Target="https://www.afdb.fr/eurocel-031302357-ruban-adhesif-toile-orange-50-mm-x-25-eurocel-031302357_SKU487001.html" TargetMode="External"/><Relationship Id="rId789" Type="http://schemas.openxmlformats.org/officeDocument/2006/relationships/hyperlink" Target="https://www.pointp.fr/p/outils-equipement-accessoires/ruban-de-reparation-toile-americaine-25-m-x-50-mm-gris-novipro-A7120486" TargetMode="External"/><Relationship Id="rId790" Type="http://schemas.openxmlformats.org/officeDocument/2006/relationships/hyperlink" Target="https://www.prolians.fr/catalogsearch/result/?q=" TargetMode="External"/><Relationship Id="rId791" Type="http://schemas.openxmlformats.org/officeDocument/2006/relationships/hyperlink" Target="https://www.pointp.fr/p/outillage-quincaillerie/chiffon-coton-couleur-formats-multiples-paquet-5-kg-A1418583" TargetMode="External"/><Relationship Id="rId792" Type="http://schemas.openxmlformats.org/officeDocument/2006/relationships/hyperlink" Target="https://www.prolians.fr/catalogsearch/result/?q=" TargetMode="External"/><Relationship Id="rId793" Type="http://schemas.openxmlformats.org/officeDocument/2006/relationships/hyperlink" Target="https://www.afdb.fr/proust-b1-chiffon-essuyage-blanc-optique-coton-qualite-10-kg-proust-b1_SKU482489.html" TargetMode="External"/><Relationship Id="rId794" Type="http://schemas.openxmlformats.org/officeDocument/2006/relationships/hyperlink" Target="https://www.chausson.fr/quincaillerie/chiffon-dessuyage-coton-decoupes-draps-blancs-blanchisserie-carton-10kg-p-13369-1" TargetMode="External"/><Relationship Id="rId795" Type="http://schemas.openxmlformats.org/officeDocument/2006/relationships/hyperlink" Target="https://www.chausson.fr/quincaillerie/sac-poubelle-noir-premium-microns-capacite-130litres-rouleau-25sacs-p-772777-1" TargetMode="External"/><Relationship Id="rId796" Type="http://schemas.openxmlformats.org/officeDocument/2006/relationships/hyperlink" Target="https://www.afdb.fr/toussac-sac130150-100-sacs-poubelle-noirs-130-pebd-standard-toussac-sac130150_SKU449333.html" TargetMode="External"/><Relationship Id="rId797" Type="http://schemas.openxmlformats.org/officeDocument/2006/relationships/hyperlink" Target="https://www.prolians.fr/catalogsearch/result/?q=" TargetMode="External"/><Relationship Id="rId798" Type="http://schemas.openxmlformats.org/officeDocument/2006/relationships/hyperlink" Target="https://www.chausson.fr/quincaillerie/ruban-signalisation-chantier-rubafort-rouge-blanc-50mm-100m-avec-mandrin-plastique-p-211780-1" TargetMode="External"/><Relationship Id="rId799" Type="http://schemas.openxmlformats.org/officeDocument/2006/relationships/hyperlink" Target="https://www.afdb.fr/taliaplast-540501-ruban-signalisation-rouge-blanc-500-x-50-mm-taliaplast-540501_SKU121858.html" TargetMode="External"/><Relationship Id="rId800" Type="http://schemas.openxmlformats.org/officeDocument/2006/relationships/hyperlink" Target="https://www.pointp.fr/p/outillage-quincaillerie/ruban-de-signalisation-rubaplast-500m-x-75-mm-A1699030" TargetMode="External"/><Relationship Id="rId801" Type="http://schemas.openxmlformats.org/officeDocument/2006/relationships/hyperlink" Target="https://www.afdb.fr/novap-3225341-cone-chantier-pebd-h50-orange-bandes-fluo-novap-3225341_SKU785643.html" TargetMode="External"/><Relationship Id="rId802" Type="http://schemas.openxmlformats.org/officeDocument/2006/relationships/hyperlink" Target="https://www.chausson.fr/quincaillerie/barriere-chantier-sirl-rouge-blanche-acier-p-666816-1" TargetMode="External"/><Relationship Id="rId803" Type="http://schemas.openxmlformats.org/officeDocument/2006/relationships/hyperlink" Target="https://www.pointp.fr/p/outillage-quincaillerie/barriere-de-chantier-avec-plaque-soudee-altrad-l-1-50-m-h-1-m-A1011028" TargetMode="External"/><Relationship Id="rId804" Type="http://schemas.openxmlformats.org/officeDocument/2006/relationships/hyperlink" Target="https://www.prolians.fr/catalogsearch/result/?q=" TargetMode="External"/><Relationship Id="rId805" Type="http://schemas.openxmlformats.org/officeDocument/2006/relationships/hyperlink" Target="https://www.afdb.fr/viso-bar001rb-barriere-chantier-extensible-acier-rouge-blanc-2-3-viso-bar001rb_SKU535316.html" TargetMode="External"/><Relationship Id="rId806" Type="http://schemas.openxmlformats.org/officeDocument/2006/relationships/hyperlink" Target="https://www.pointp.fr/p/outils-equipement-accessoires/forets-sds-plus-5-pour-perforateur-8x100x165mm-ref-1618596173-A1327839" TargetMode="External"/><Relationship Id="rId807" Type="http://schemas.openxmlformats.org/officeDocument/2006/relationships/hyperlink" Target="https://www.afdb.fr/hanger-401203-perforateur-sds-plus-18-v-hx18-22c-batterie-chargeur-boite-carton-hanger-401203_SKU857800.html" TargetMode="External"/><Relationship Id="rId808" Type="http://schemas.openxmlformats.org/officeDocument/2006/relationships/hyperlink" Target="https://www.prolians.fr/catalogsearch/result/?q=" TargetMode="External"/><Relationship Id="rId809" Type="http://schemas.openxmlformats.org/officeDocument/2006/relationships/hyperlink" Target="https://www.chausson.fr/quincaillerie/ensemble-makita-perceuse-ddf482-perforateur-sds-dhr264-p-479773-1" TargetMode="External"/><Relationship Id="rId810" Type="http://schemas.openxmlformats.org/officeDocument/2006/relationships/hyperlink" Target="https://www.pointp.fr/p/outillage/perceuse-visseuse-a-percussion-bpd-12-volts-sans-batterie-A3996251" TargetMode="External"/><Relationship Id="rId811" Type="http://schemas.openxmlformats.org/officeDocument/2006/relationships/hyperlink" Target="https://www.chausson.fr/quincaillerie/perceuse-visseuse-makita-18v-ddf484rtj-batteries-5ah-chargeur-coffret-makpac-p-409867-1" TargetMode="External"/><Relationship Id="rId812" Type="http://schemas.openxmlformats.org/officeDocument/2006/relationships/hyperlink" Target="https://www.afdb.fr/bosch-06019n3207-perceuse-visseuse-18-v-pro-heavy-gsr-18v-65-2-batteries-4ah-chargeur-82-accessoires-case-bosch-06019n3207_SKU877562.html" TargetMode="External"/><Relationship Id="rId813" Type="http://schemas.openxmlformats.org/officeDocument/2006/relationships/hyperlink" Target="https://www.pointp.fr/p/outillage-quincaillerie/disque-a-tronconner-blue-pro-200-metal-diam-125x1-6mm-A1214128" TargetMode="External"/><Relationship Id="rId814" Type="http://schemas.openxmlformats.org/officeDocument/2006/relationships/hyperlink" Target="https://www.afdb.fr/dewalt-dwe4157-qs-meuleuse-angle-900-w-125-mm-interrupteur-palette-dewalt-dwe4157-qs_SKU830362.html" TargetMode="External"/><Relationship Id="rId815" Type="http://schemas.openxmlformats.org/officeDocument/2006/relationships/hyperlink" Target="https://www.prolians.fr/catalogsearch/result/?q=" TargetMode="External"/><Relationship Id="rId816" Type="http://schemas.openxmlformats.org/officeDocument/2006/relationships/hyperlink" Target="https://www.chausson.fr/materiaux/meuleuse-sans-fil-18v-125mm-dewalt-dcg404s2t-p-563464-1" TargetMode="External"/><Relationship Id="rId817" Type="http://schemas.openxmlformats.org/officeDocument/2006/relationships/hyperlink" Target="https://www.pointp.fr/p/outillage/lame-de-scie-circulaire-diametre-190mm-18-dents-ref-752436-A6692018" TargetMode="External"/><Relationship Id="rId818" Type="http://schemas.openxmlformats.org/officeDocument/2006/relationships/hyperlink" Target="https://www.afdb.fr/bosch-2608640509-lame-scie-circulaire-190-x-30-x-2-4-mm-bosch-2608640509_SKU490953.html" TargetMode="External"/><Relationship Id="rId819" Type="http://schemas.openxmlformats.org/officeDocument/2006/relationships/hyperlink" Target="https://www.prolians.fr/catalogsearch/result/?q=" TargetMode="External"/><Relationship Id="rId820" Type="http://schemas.openxmlformats.org/officeDocument/2006/relationships/hyperlink" Target="https://www.chausson.fr/quincaillerie/scie-circulaire-filaire-metabo-190mm-1500w-coffret-p-371321-1" TargetMode="External"/><Relationship Id="rId821" Type="http://schemas.openxmlformats.org/officeDocument/2006/relationships/hyperlink" Target="https://www.afdb.fr/milwaukee-4933447480-aspirateur-chantier-1000-w-2-250-elcp-25-boite-carton-milwaukee-4933447480_SKU827658.html" TargetMode="External"/><Relationship Id="rId822" Type="http://schemas.openxmlformats.org/officeDocument/2006/relationships/hyperlink" Target="https://www.chausson.fr/quincaillerie/telemetre-laser-edt40m-edia-635nm-portee-40metres-p-597162-1" TargetMode="External"/><Relationship Id="rId823" Type="http://schemas.openxmlformats.org/officeDocument/2006/relationships/hyperlink" Target="https://www.pointp.fr/p/outils-equipement-accessoires/telemetre-laser-portee-60m-novipro-A4416499" TargetMode="External"/><Relationship Id="rId824" Type="http://schemas.openxmlformats.org/officeDocument/2006/relationships/hyperlink" Target="https://www.prolians.fr/catalogsearch/result/?q=" TargetMode="External"/><Relationship Id="rId825" Type="http://schemas.openxmlformats.org/officeDocument/2006/relationships/hyperlink" Target="https://www.afdb.fr/bosch-0601075000-telemetre-laser-glm-40-31-professional-2-piles-1-5-v-lr6-aa-bosch-0601075000_SKU868791.html" TargetMode="External"/><Relationship Id="rId826" Type="http://schemas.openxmlformats.org/officeDocument/2006/relationships/hyperlink" Target="https://www.chausson.fr/quincaillerie/niveau-laser-croix-edia-edcr30m-rouge-pile-filetage-p-597164-1" TargetMode="External"/><Relationship Id="rId827" Type="http://schemas.openxmlformats.org/officeDocument/2006/relationships/hyperlink" Target="https://www.pointp.fr/p/outils-equipement-accessoires/niveau-laser-croix-fatmax-fcl-g-rayon-vert-piles-alcalines-ref-fmht77586-1-A7341605" TargetMode="External"/><Relationship Id="rId828" Type="http://schemas.openxmlformats.org/officeDocument/2006/relationships/hyperlink" Target="https://www.afdb.fr/dewalt-dce088d1r-qw-niveau-laser-croix-rouge-xr-10-8-v-batterie-2-ah-chargeur-dewalt-dce088d1r-qw_SKU775842.html" TargetMode="External"/><Relationship Id="rId829" Type="http://schemas.openxmlformats.org/officeDocument/2006/relationships/hyperlink" Target="https://www.pointp.fr/p/outils-equipement-accessoires/metre-a-ruban-rubiflex-5mx19mm-75901-A3987511" TargetMode="External"/><Relationship Id="rId830" Type="http://schemas.openxmlformats.org/officeDocument/2006/relationships/hyperlink" Target="https://www.prolians.fr/catalogsearch/result/?q=" TargetMode="External"/><Relationship Id="rId831" Type="http://schemas.openxmlformats.org/officeDocument/2006/relationships/hyperlink" Target="https://www.chausson.fr/materiaux/metre-ruban-5m-19mm-jaune-noir-p-469015-1" TargetMode="External"/><Relationship Id="rId832" Type="http://schemas.openxmlformats.org/officeDocument/2006/relationships/hyperlink" Target="https://www.afdb.fr/stanley-1-33-194-metre-ruban-5-x-19-mm-powerlock-classic-abs-stanley-1-33-194_SKU167503.html" TargetMode="External"/><Relationship Id="rId833" Type="http://schemas.openxmlformats.org/officeDocument/2006/relationships/hyperlink" Target="https://www.afdb.fr/wilmart-522006-niveau-tubulaire-aluminium-100-cm-wilmart-522006_SKU622802.html" TargetMode="External"/><Relationship Id="rId834" Type="http://schemas.openxmlformats.org/officeDocument/2006/relationships/hyperlink" Target="https://www.pointp.fr/p/outillage/niveau-rubilevel-100cm-3-bulles-profile-aluminium-precision-de-0-5-mm-m-45-ref-76924-A3382467" TargetMode="External"/><Relationship Id="rId835" Type="http://schemas.openxmlformats.org/officeDocument/2006/relationships/hyperlink" Target="https://www.prolians.fr/catalogsearch/result/?q=" TargetMode="External"/><Relationship Id="rId836" Type="http://schemas.openxmlformats.org/officeDocument/2006/relationships/hyperlink" Target="https://www.pointp.fr/p/electricite-ventilation/multimetre-numerique-tt118-A3762420" TargetMode="External"/><Relationship Id="rId837" Type="http://schemas.openxmlformats.org/officeDocument/2006/relationships/hyperlink" Target="https://www.afdb.fr/turbotronic-20010114-multimetre-numerique-kt350-trms-automatique-1000-v-turbotronic-20010114_SKU833098.html" TargetMode="External"/><Relationship Id="rId838" Type="http://schemas.openxmlformats.org/officeDocument/2006/relationships/hyperlink" Target="https://www.prolians.fr/catalogsearch/result/?q=" TargetMode="External"/><Relationship Id="rId839" Type="http://schemas.openxmlformats.org/officeDocument/2006/relationships/hyperlink" Target="https://www.prolians.fr/catalogsearch/result/?q=" TargetMode="External"/><Relationship Id="rId840" Type="http://schemas.openxmlformats.org/officeDocument/2006/relationships/hyperlink" Target="https://www.afdb.fr/metrix-mx0350z-pince-amperemetrique-chauvin-arnoux-mx0350z_SKU777309.html" TargetMode="External"/><Relationship Id="rId841" Type="http://schemas.openxmlformats.org/officeDocument/2006/relationships/hyperlink" Target="https://www.prolians.fr/catalogsearch/result/?q=" TargetMode="External"/><Relationship Id="rId842" Type="http://schemas.openxmlformats.org/officeDocument/2006/relationships/hyperlink" Target="https://www.afdb.fr/milwaukee-4932499466-caisse-outils-packout-electricien-62-pieces-milwaukee-4932499466_SKU866738.html" TargetMode="External"/><Relationship Id="rId843" Type="http://schemas.openxmlformats.org/officeDocument/2006/relationships/hyperlink" Target="https://www.prolians.fr/catalogsearch/result/?q=" TargetMode="External"/><Relationship Id="rId844" Type="http://schemas.openxmlformats.org/officeDocument/2006/relationships/hyperlink" Target="https://www.afdb.fr/facom-192a-16ve-pince-coupante-diagonale-isolee-1000-v-160-mm-facom-192a-16ve_SKU750777.html" TargetMode="External"/><Relationship Id="rId845" Type="http://schemas.openxmlformats.org/officeDocument/2006/relationships/hyperlink" Target="https://www.pointp.fr/p/outils-equipement-accessoires/pince-coupante-demi-rde-isole-1000v-A3853990" TargetMode="External"/><Relationship Id="rId846" Type="http://schemas.openxmlformats.org/officeDocument/2006/relationships/hyperlink" Target="https://www.chausson.fr/quincaillerie/pince-coupante-de-cote-isolee-1000-vde-petit-biseau-longueur-160-mm-p-696710-1" TargetMode="External"/><Relationship Id="rId847" Type="http://schemas.openxmlformats.org/officeDocument/2006/relationships/hyperlink" Target="https://www.chausson.fr/quincaillerie/tournevis-phillips-softfinish-isole-1000-ph1-80-mm-p-759517-1" TargetMode="External"/><Relationship Id="rId848" Type="http://schemas.openxmlformats.org/officeDocument/2006/relationships/hyperlink" Target="https://www.pointp.fr/p/outils-equipement-accessoires/kit-de-tournevis-isoles-1000-v-pozi-testeur-jeu-de-6-pcs-A1421266" TargetMode="External"/><Relationship Id="rId849" Type="http://schemas.openxmlformats.org/officeDocument/2006/relationships/hyperlink" Target="https://www.afdb.fr/facom-atd-j5tvepb-jeu-5-tournevis-isoles-1000-v-facom-ad-j5tvepb_SKU750804.html" TargetMode="External"/><Relationship Id="rId850" Type="http://schemas.openxmlformats.org/officeDocument/2006/relationships/hyperlink" Target="https://www.pointp.fr/p/materiel-de-chantier/escabeau-theard-escadouble-3-marches-ref-29403-A4787987" TargetMode="External"/><Relationship Id="rId851" Type="http://schemas.openxmlformats.org/officeDocument/2006/relationships/hyperlink" Target="https://www.chausson.fr/quincaillerie/escabeau-5marches-tubesca-mp-pro-hauteur-acces-310cm-hauteur-plateau-110-cm-p-747001-1" TargetMode="External"/><Relationship Id="rId852" Type="http://schemas.openxmlformats.org/officeDocument/2006/relationships/hyperlink" Target="https://www.afdb.fr/little-giant-lig-13610-escabeau-fibre-verre-king-kombo-5-marches-little-giant-lig-13610_SKU778496.html" TargetMode="External"/><Relationship Id="rId853" Type="http://schemas.openxmlformats.org/officeDocument/2006/relationships/hyperlink" Target="https://www.chausson.fr/quincaillerie/echelle-telescopique-xscopic-3m80-p-307798-1" TargetMode="External"/><Relationship Id="rId854" Type="http://schemas.openxmlformats.org/officeDocument/2006/relationships/hyperlink" Target="https://www.afdb.fr/tubesca-comabi-00094838-echelle-telescopique-aluminium-3-80-x-tenso-2-tubesca-comabi-00094838_SKU767728.html" TargetMode="External"/><Relationship Id="rId855" Type="http://schemas.openxmlformats.org/officeDocument/2006/relationships/hyperlink" Target="https://www.afdb.fr/stihl-4229-120-1800-filtre-air-souffleur-stihl-4229-120-1800_SKU653072.html" TargetMode="External"/><Relationship Id="rId856" Type="http://schemas.openxmlformats.org/officeDocument/2006/relationships/hyperlink" Target="https://www.chausson.fr/quincaillerie/element-filtre-air-groupe-electrogene-eu-20i-p-778235-1" TargetMode="External"/><Relationship Id="rId857" Type="http://schemas.openxmlformats.org/officeDocument/2006/relationships/hyperlink" Target="https://www.pointp.fr/p/electricite-ventilation/filtres-g4-m5-maison-air-dfhr-lot-de-2-ref-102790-A6686294" TargetMode="External"/><Relationship Id="rId858" Type="http://schemas.openxmlformats.org/officeDocument/2006/relationships/hyperlink" Target="https://www.chausson.fr/quincaillerie/courroie-flexonic-6pj560-moteur-electrique-poles-betonniere-altrad-b165-betonniere-p-444904-1" TargetMode="External"/><Relationship Id="rId859" Type="http://schemas.openxmlformats.org/officeDocument/2006/relationships/hyperlink" Target="https://www.rexel.fr/frx/search?text=" TargetMode="External"/><Relationship Id="rId860" Type="http://schemas.openxmlformats.org/officeDocument/2006/relationships/hyperlink" Target="https://www.afdb.fr/festool-493062-roulement-billes-butee-d16-festool-493062_SKU823530.html" TargetMode="External"/><Relationship Id="rId861" Type="http://schemas.openxmlformats.org/officeDocument/2006/relationships/hyperlink" Target="https://www.rexel.fr/frx/search?text=" TargetMode="External"/><Relationship Id="rId862" Type="http://schemas.openxmlformats.org/officeDocument/2006/relationships/hyperlink" Target="https://www.afdb.fr/legrand-412523-contacteur-puissance-cx-2p-250-v-25-1-module-legrand-412523_SKU513834.html" TargetMode="External"/><Relationship Id="rId863" Type="http://schemas.openxmlformats.org/officeDocument/2006/relationships/hyperlink" Target="https://www.afdb.fr/f-7022501-presse-etoupe-ip-68-25-f-7022501_SKU590990.html" TargetMode="External"/><Relationship Id="rId864" Type="http://schemas.openxmlformats.org/officeDocument/2006/relationships/hyperlink" Target="https://www.chausson.fr/materiaux/presse-etoupe-sep-hydro-p-445153-1" TargetMode="External"/><Relationship Id="rId865" Type="http://schemas.openxmlformats.org/officeDocument/2006/relationships/hyperlink" Target="https://www.afdb.fr/kf-6055-degrippant-lubrifiant-haute-performance-bx-112-aerosol-650-ml-400-ml-kf-6055_SKU550887.html" TargetMode="External"/><Relationship Id="rId866" Type="http://schemas.openxmlformats.org/officeDocument/2006/relationships/hyperlink" Target="https://www.chausson.fr/quincaillerie/super-degrippant-wd-40-specialist-action-rapide-spray-double-position-bidon-400ml-p-727189-1" TargetMode="External"/><Relationship Id="rId867" Type="http://schemas.openxmlformats.org/officeDocument/2006/relationships/hyperlink" Target="https://www.pointp.fr/p/outillage-quincaillerie/wd-40-specialist-super-degrippant-400-ml-A3827036" TargetMode="External"/><Relationship Id="rId868" Type="http://schemas.openxmlformats.org/officeDocument/2006/relationships/hyperlink" Target="https://www.chausson.fr/quincaillerie/graisse-universelle-au-lithium-degrypoil-cartouche-400g-p-316405-1" TargetMode="External"/><Relationship Id="rId869" Type="http://schemas.openxmlformats.org/officeDocument/2006/relationships/hyperlink" Target="https://www.pointp.fr/p/peinture-mastic-droguerie/wd-40-spe-graisse-haute-perf-multi-cartouche-400gr-ref-331077-A4828389" TargetMode="External"/><Relationship Id="rId870" Type="http://schemas.openxmlformats.org/officeDocument/2006/relationships/hyperlink" Target="https://www.afdb.fr/stihl-tube-graisse-multi-usages-stihl-multilub-225-g-0781-120-1110_SKUM90797.html" TargetMode="External"/><Relationship Id="rId871" Type="http://schemas.openxmlformats.org/officeDocument/2006/relationships/hyperlink" Target="https://www.pointp.fr/p/outillage-quincaillerie/wd-40-specialist-nettoyant-contacts-400ml-ref-33368-A3827037" TargetMode="External"/><Relationship Id="rId872" Type="http://schemas.openxmlformats.org/officeDocument/2006/relationships/hyperlink" Target="https://www.afdb.fr/kf-1001-nettoyant-f2-special-contacts-aerosol-500-ml-net-kf-1001_SKU550758.html" TargetMode="External"/><Relationship Id="rId873" Type="http://schemas.openxmlformats.org/officeDocument/2006/relationships/hyperlink" Target="https://www.chausson.fr/quincaillerie/deboucheur-canalisation-debouch-tout-bidon-1litre-p-682666-1" TargetMode="External"/><Relationship Id="rId874" Type="http://schemas.openxmlformats.org/officeDocument/2006/relationships/hyperlink" Target="https://www.pointp.fr/p/peinture-mastic-droguerie/entretien-canalisations-et-deboucheur-3en1-ecocert-1l-ref-pv82107902-A4856472" TargetMode="External"/><Relationship Id="rId875" Type="http://schemas.openxmlformats.org/officeDocument/2006/relationships/hyperlink" Target="https://www.afdb.fr/karcher-26377670-kit-debouche-canalisations-15-karcher-26377670_SKU788832.html" TargetMode="External"/><Relationship Id="rId876" Type="http://schemas.openxmlformats.org/officeDocument/2006/relationships/hyperlink" Target="https://www.prolians.fr/catalogsearch/result/?q=63435252" TargetMode="External"/><Relationship Id="rId877" Type="http://schemas.openxmlformats.org/officeDocument/2006/relationships/hyperlink" Target="https://www.afdb.fr/merkur-101183-filtre-anticalcaire-auto-nettoyant-aquanet-3-merkur-101183_SKU432947.html" TargetMode="External"/><Relationship Id="rId878" Type="http://schemas.openxmlformats.org/officeDocument/2006/relationships/hyperlink" Target="https://www.pointp.fr/p/outils-equipement-accessoires/pile-alcaline-eveready-gold-aa-lr6-b4-evlr6-A1910710" TargetMode="External"/><Relationship Id="rId879" Type="http://schemas.openxmlformats.org/officeDocument/2006/relationships/hyperlink" Target="https://www.afdb.fr/varta-546597-piles-alcalines-high-energy-lr6-1-5-v-aa-varta-4906121428_SKU767561.html" TargetMode="External"/><Relationship Id="rId880" Type="http://schemas.openxmlformats.org/officeDocument/2006/relationships/hyperlink" Target="https://www.chausson.fr/quincaillerie/pile-lithium-appareils-securite-maison-connectee-cr123a-varta-3v-longue-duree-p-750937-1" TargetMode="External"/><Relationship Id="rId881" Type="http://schemas.openxmlformats.org/officeDocument/2006/relationships/hyperlink" Target="https://www.afdb.fr/varta-pile-lithium-cr123-x-1-3-v-1430-mah-varta_SKU789852.html" TargetMode="External"/><Relationship Id="rId882" Type="http://schemas.openxmlformats.org/officeDocument/2006/relationships/hyperlink" Target="https://www.chausson.fr/quincaillerie/testeur-instantane-digital-lacme-batteries-12-plomb-p-703995-1" TargetMode="External"/><Relationship Id="rId883" Type="http://schemas.openxmlformats.org/officeDocument/2006/relationships/hyperlink" Target="https://www.afdb.fr/milwaukee-niveau-laser-2-lignes-4v-milwaukee-l4-cllp-301c-aplomb-batterie-3-ah-4933478099_SKUM123693.html" TargetMode="External"/><Relationship Id="rId884" Type="http://schemas.openxmlformats.org/officeDocument/2006/relationships/hyperlink" Target="https://icilux.com/fr/dalles-et-panneaux-led/1889-dalle-led-60x60-44w-cadre-lumineux-blanc-cct-selectionnable-8435612906631" TargetMode="External"/><Relationship Id="rId885" Type="http://schemas.openxmlformats.org/officeDocument/2006/relationships/hyperlink" Target="https://icilux.com/fr/dalles-et-panneaux-led/1915-2730-dalle-led-120x60-80w-smd4014-driver-philips-certadrive-8435612908321" TargetMode="External"/><Relationship Id="rId886" Type="http://schemas.openxmlformats.org/officeDocument/2006/relationships/hyperlink" Target="https://icilux.com/fr/dalles-et-panneaux-led/3068-4203-pack-6-dalles-led-120x30-40w-cct-driver-philips-certadrive-8435612962910" TargetMode="External"/><Relationship Id="rId887" Type="http://schemas.openxmlformats.org/officeDocument/2006/relationships/hyperlink" Target="https://icilux.com/fr/dalles-et-panneaux-led/3010-10863-pack-8-dalles-led-60x60-40w-ugr19-driver-philips-enec" TargetMode="External"/><Relationship Id="rId888" Type="http://schemas.openxmlformats.org/officeDocument/2006/relationships/hyperlink" Target="https://icilux.com/fr/accessoires-dalles-led/99-kit-convertisseur-en-encastre-pour-luminaire-de-surface-cadre-adaptateur-8400000002325" TargetMode="External"/><Relationship Id="rId889" Type="http://schemas.openxmlformats.org/officeDocument/2006/relationships/hyperlink" Target="https://icilux.com/fr/accessoires-dalles-led/101-kit-suspension-1-metre-pour-luminaire-led-cable-acier-reglable-8400000002332" TargetMode="External"/><Relationship Id="rId890" Type="http://schemas.openxmlformats.org/officeDocument/2006/relationships/hyperlink" Target="https://icilux.com/fr/dalles-et-panneaux-led/4493-10633-pack-10-dalles-led-60x60-slim-40w-sans-scintillement-philips" TargetMode="External"/><Relationship Id="rId891" Type="http://schemas.openxmlformats.org/officeDocument/2006/relationships/hyperlink" Target="https://icilux.com/fr/dalles-et-panneaux-led/4409-10514-pack-8-dalles-led-60x60-slim-40w-4000lm-ugr19-driver-philips" TargetMode="External"/><Relationship Id="rId892" Type="http://schemas.openxmlformats.org/officeDocument/2006/relationships/hyperlink" Target="https://icilux.com/fr/dalles-et-panneaux-led/5080-10936-pack-10-dalles-led-60x60-40w-cri90-sans-scintillement-philips" TargetMode="External"/><Relationship Id="rId893" Type="http://schemas.openxmlformats.org/officeDocument/2006/relationships/hyperlink" Target="https://icilux.com/fr/downlights-led-encastrables/2142-10706-dalle-led-slim-ronde-20w-encastrable-puce-osram-8435612916470" TargetMode="External"/><Relationship Id="rId894" Type="http://schemas.openxmlformats.org/officeDocument/2006/relationships/hyperlink" Target="https://icilux.com/fr/downlight-led-saillie/2051-plafonnier-led-surface-carre-8w-acier-inox-cct-puce-osram-8435612912489" TargetMode="External"/><Relationship Id="rId895" Type="http://schemas.openxmlformats.org/officeDocument/2006/relationships/hyperlink" Target="https://icilux.com/fr/downlight-led-saillie/1904-2716-plafonnier-led-surface-carre-20w-puce-osram-duris-e2835-8435612907669" TargetMode="External"/><Relationship Id="rId896" Type="http://schemas.openxmlformats.org/officeDocument/2006/relationships/hyperlink" Target="https://icilux.com/fr/downlights-led-encastrables/1896-2692-dalle-led-slim-carree-20w-encastrable-puce-osram-8435612907089" TargetMode="External"/><Relationship Id="rId897" Type="http://schemas.openxmlformats.org/officeDocument/2006/relationships/hyperlink" Target="https://icilux.com/fr/downlights-led-encastrables/1895-2689-dalle-led-slim-carree-8w-encastrable-puce-osram-8435612907324" TargetMode="External"/><Relationship Id="rId898" Type="http://schemas.openxmlformats.org/officeDocument/2006/relationships/hyperlink" Target="https://icilux.com/fr/spot-led-encastrables/1630-spot-downlight-led-encastrable-6w-40-ugr11-cct-puce-bridgelux-blanc-8400000019439" TargetMode="External"/><Relationship Id="rId899" Type="http://schemas.openxmlformats.org/officeDocument/2006/relationships/hyperlink" Target="https://icilux.com/fr/downlights-led-encastrables/1898-2696-dalle-led-slim-ronde-20w-reglable-puce-osram-8435612907423" TargetMode="External"/><Relationship Id="rId900" Type="http://schemas.openxmlformats.org/officeDocument/2006/relationships/hyperlink" Target="https://icilux.com/fr/accessoires-downlight-led/1362-2780-cache-trou-supplementaire-pour-downlight-o255-cm-blanc-8400000014236" TargetMode="External"/><Relationship Id="rId901" Type="http://schemas.openxmlformats.org/officeDocument/2006/relationships/hyperlink" Target="https://icilux.com/fr/downlight-led-saillie/2391-4110-plafonnier-led-surface-rond-18-24w-cct-capteur-mouvement-puce-osram-8435612911864" TargetMode="External"/><Relationship Id="rId902" Type="http://schemas.openxmlformats.org/officeDocument/2006/relationships/hyperlink" Target="https://icilux.com/fr/spot-led-encastrables/2293-downlight-led-40w-circulaire-ip65-cct-ugr13-driver-philips-certadrive" TargetMode="External"/><Relationship Id="rId903" Type="http://schemas.openxmlformats.org/officeDocument/2006/relationships/hyperlink" Target="https://icilux.com/fr/accessoires-eclairages-led/674-kit-anti-scintillement-led-pour-variateurs-triac-elimine-le-flicker-8400000005616" TargetMode="External"/><Relationship Id="rId904" Type="http://schemas.openxmlformats.org/officeDocument/2006/relationships/hyperlink" Target="https://icilux.com/fr/accessoires-downlight-led/3173-anneau-convertisseur-surface-225mm-pour-downlight-encastrable-blanc" TargetMode="External"/><Relationship Id="rId905" Type="http://schemas.openxmlformats.org/officeDocument/2006/relationships/hyperlink" Target="https://icilux.com/fr/spot-led-encastrables/5062-downlight-led-circulaire-40w-3cct-ugr17-cri90-ip54-philips" TargetMode="External"/><Relationship Id="rId906" Type="http://schemas.openxmlformats.org/officeDocument/2006/relationships/hyperlink" Target="https://icilux.com/fr/spot-led-encastrables/5087-downlight-led-circulaire-frameless-16-24w-o80-190mm-4cct-blanc" TargetMode="External"/><Relationship Id="rId907" Type="http://schemas.openxmlformats.org/officeDocument/2006/relationships/hyperlink" Target="https://icilux.com/fr/downlight-led-saillie/3069-plafonnier-led-surface-16-24w-3cct-plafond-puce-osram-rond" TargetMode="External"/><Relationship Id="rId908" Type="http://schemas.openxmlformats.org/officeDocument/2006/relationships/hyperlink" Target="https://icilux.com/fr/spot-led-encastrables/5089-downlight-led-circulaire-frameless-6-12w-o50-100mm-4cct-blanc" TargetMode="External"/><Relationship Id="rId909" Type="http://schemas.openxmlformats.org/officeDocument/2006/relationships/hyperlink" Target="https://icilux.com/fr/downlight-led-saillie/3147-plafonnier-led-surface-16-24w-3cct-capteur-radar-mouvement-puce-osram" TargetMode="External"/><Relationship Id="rId910" Type="http://schemas.openxmlformats.org/officeDocument/2006/relationships/hyperlink" Target="https://icilux.com/fr/downlight-led-saillie/3181-4443-plafonnier-led-surface-rond-18w-140lmw-puce-osram-duris-e2835" TargetMode="External"/><Relationship Id="rId911" Type="http://schemas.openxmlformats.org/officeDocument/2006/relationships/hyperlink" Target="https://icilux.com/fr/downlight-led-saillie/4447-plafonnier-led-surface-rond-15w-4cct-ugr19-cri92-driver-gxtronic" TargetMode="External"/><Relationship Id="rId912" Type="http://schemas.openxmlformats.org/officeDocument/2006/relationships/hyperlink" Target="https://icilux.com/fr/downlight-led-saillie/4453-plafonnier-led-surface-rond-24w-4cct-ugr19-cri92-driver-gxtronic" TargetMode="External"/><Relationship Id="rId913" Type="http://schemas.openxmlformats.org/officeDocument/2006/relationships/hyperlink" Target="https://icilux.com/fr/downlight-led-saillie/4454-plafonnier-led-surface-rond-30w-4cct-ugr19-cri92-driver-gxtronic" TargetMode="External"/><Relationship Id="rId914" Type="http://schemas.openxmlformats.org/officeDocument/2006/relationships/hyperlink" Target="https://icilux.com/fr/downlight-led-saillie/4456-plafonnier-led-surface-carre-30w-4cct-ugr19-cri92-driver-gxtronic" TargetMode="External"/><Relationship Id="rId915" Type="http://schemas.openxmlformats.org/officeDocument/2006/relationships/hyperlink" Target="https://icilux.com/fr/downlight-led-saillie/3805-6386-plafonnier-led-surface-12w-ip65-interieur-exterieur-mur-et-plafond" TargetMode="External"/><Relationship Id="rId916" Type="http://schemas.openxmlformats.org/officeDocument/2006/relationships/hyperlink" Target="https://icilux.com/fr/downlight-led-saillie/4304-plafonnier-led-surface-10-20w-5cct-capteur-radar-ip44-plafond-rond" TargetMode="External"/><Relationship Id="rId917" Type="http://schemas.openxmlformats.org/officeDocument/2006/relationships/hyperlink" Target="https://icilux.com/fr/downlights-led-encastrables/2142-10706-dalle-led-slim-ronde-20w-encastrable-puce-osram-8435612916470" TargetMode="External"/><Relationship Id="rId918" Type="http://schemas.openxmlformats.org/officeDocument/2006/relationships/hyperlink" Target="https://icilux.com/fr/downlights-led-encastrables/1896-2692-dalle-led-slim-carree-20w-encastrable-puce-osram-8435612907089" TargetMode="External"/><Relationship Id="rId919" Type="http://schemas.openxmlformats.org/officeDocument/2006/relationships/hyperlink" Target="https://icilux.com/fr/downlights-led-encastrables/1895-2689-dalle-led-slim-carree-8w-encastrable-puce-osram-8435612907324" TargetMode="External"/><Relationship Id="rId920" Type="http://schemas.openxmlformats.org/officeDocument/2006/relationships/hyperlink" Target="https://icilux.com/fr/downlights-led-encastrables/1898-2696-dalle-led-slim-ronde-20w-reglable-puce-osram-8435612907423" TargetMode="External"/><Relationship Id="rId921" Type="http://schemas.openxmlformats.org/officeDocument/2006/relationships/hyperlink" Target="https://icilux.com/fr/downlights-led-encastrables/2274-downlight-led-encastrable-rond-18-24w-4cct-o225mm-ugr17-puce-osram" TargetMode="External"/><Relationship Id="rId922" Type="http://schemas.openxmlformats.org/officeDocument/2006/relationships/hyperlink" Target="https://icilux.com/fr/downlights-led-encastrables/2275-downlight-led-encastrable-circulaire-16w-3cct-170mm-ugr19-osram" TargetMode="External"/><Relationship Id="rId923" Type="http://schemas.openxmlformats.org/officeDocument/2006/relationships/hyperlink" Target="https://icilux.com/fr/downlights-led-encastrables/2365-4074-dalle-led-slim-ronde-18w-encastrable-puce-osram" TargetMode="External"/><Relationship Id="rId924" Type="http://schemas.openxmlformats.org/officeDocument/2006/relationships/hyperlink" Target="https://icilux.com/fr/downlights-led-encastrables/2394-dalle-led-ronde-18-24w-detecteur-de-mouvement-cct-puce-osram-8435612950146" TargetMode="External"/><Relationship Id="rId925" Type="http://schemas.openxmlformats.org/officeDocument/2006/relationships/hyperlink" Target="https://icilux.com/fr/downlight-led-saillie/3118-downlight-led-reglable-carre-18w-3cct-blanc-lumileds" TargetMode="External"/><Relationship Id="rId926" Type="http://schemas.openxmlformats.org/officeDocument/2006/relationships/hyperlink" Target="https://icilux.com/fr/downlight-led-saillie/3119-downlight-led-reglable-carre-18w-3cct-noir-lumileds" TargetMode="External"/><Relationship Id="rId927" Type="http://schemas.openxmlformats.org/officeDocument/2006/relationships/hyperlink" Target="https://icilux.com/fr/downlight-led-saillie/3120-downlight-led-reglable-rond-18w-3cct-blanc-lumileds" TargetMode="External"/><Relationship Id="rId928" Type="http://schemas.openxmlformats.org/officeDocument/2006/relationships/hyperlink" Target="https://icilux.com/fr/downlight-led-saillie/3121-downlight-led-reglable-rond-18w-3cct-noir-lumileds" TargetMode="External"/><Relationship Id="rId929" Type="http://schemas.openxmlformats.org/officeDocument/2006/relationships/hyperlink" Target="https://icilux.com/fr/downlight-led-saillie/3122-downlight-led-reglable-rond-6w-3cct-blanc-lumileds" TargetMode="External"/><Relationship Id="rId930" Type="http://schemas.openxmlformats.org/officeDocument/2006/relationships/hyperlink" Target="https://icilux.com/fr/spot-led-encastrables/2017-downlight-led-encastrable-frameless-24w-3cct-sans-cadre-puce-osram-8435612912625" TargetMode="External"/><Relationship Id="rId931" Type="http://schemas.openxmlformats.org/officeDocument/2006/relationships/hyperlink" Target="https://icilux.com/fr/spot-led-encastrables/2020-downlight-led-encastrable-frameless-8w-3cct-sans-cadre-puce-osram-8435612912601" TargetMode="External"/><Relationship Id="rId932" Type="http://schemas.openxmlformats.org/officeDocument/2006/relationships/hyperlink" Target="https://icilux.com/fr/downlights-led-encastrables/2375-downlight-led-encastrable-circulaire-6-12w-3cct-ugr19-osram" TargetMode="External"/><Relationship Id="rId933" Type="http://schemas.openxmlformats.org/officeDocument/2006/relationships/hyperlink" Target="https://icilux.com/fr/spot-led-encastrables/2376-downlight-led-encastrable-circulaire-40w-3cct-ugr17-philips-certadrive" TargetMode="External"/><Relationship Id="rId934" Type="http://schemas.openxmlformats.org/officeDocument/2006/relationships/hyperlink" Target="https://icilux.com/fr/spot-led-encastrables/3101-spot-encastrable-led-7w-rond-orientable-3cct-blanc" TargetMode="External"/><Relationship Id="rId935" Type="http://schemas.openxmlformats.org/officeDocument/2006/relationships/hyperlink" Target="https://icilux.com/fr/downlight-led-saillie/3116-downlight-led-reglable-carre-24w-3cct-blanc-lumileds" TargetMode="External"/><Relationship Id="rId936" Type="http://schemas.openxmlformats.org/officeDocument/2006/relationships/hyperlink" Target="https://icilux.com/fr/downlight-led-saillie/3117-downlight-led-reglable-carre-24w-3cct-noir-lumileds" TargetMode="External"/><Relationship Id="rId937" Type="http://schemas.openxmlformats.org/officeDocument/2006/relationships/hyperlink" Target="https://icilux.com/fr/downlights-led-encastrables/3135-dalle-led-slim-ronde-6w-3cct-encastrable-puce-osram" TargetMode="External"/><Relationship Id="rId938" Type="http://schemas.openxmlformats.org/officeDocument/2006/relationships/hyperlink" Target="https://icilux.com/fr/downlights-led-encastrables/3136-dalle-led-slim-ronde-10w-3cct-encastrable-puce-osram" TargetMode="External"/><Relationship Id="rId939" Type="http://schemas.openxmlformats.org/officeDocument/2006/relationships/hyperlink" Target="https://icilux.com/fr/downlights-led-encastrables/3137-dalle-led-slim-ronde-15w-3cct-encastrable-puce-osram" TargetMode="External"/><Relationship Id="rId940" Type="http://schemas.openxmlformats.org/officeDocument/2006/relationships/hyperlink" Target="https://icilux.com/fr/downlights-led-encastrables/3139-dalle-led-slim-ronde-26w-3cct-encastrable-puce-osram" TargetMode="External"/><Relationship Id="rId941" Type="http://schemas.openxmlformats.org/officeDocument/2006/relationships/hyperlink" Target="https://icilux.com/fr/ampoules-led-e27/2221-3893-ampoule-led-standard-e27-a60-15w-180-puce-osram-duris-e2835-8435612925588" TargetMode="External"/><Relationship Id="rId942" Type="http://schemas.openxmlformats.org/officeDocument/2006/relationships/hyperlink" Target="https://icilux.com/fr/ampoules-led-e27/1950-2788-ampoule-led-standard-e27-a60-9w-180-puce-osram-duris-e2835-8435612909380" TargetMode="External"/><Relationship Id="rId943" Type="http://schemas.openxmlformats.org/officeDocument/2006/relationships/hyperlink" Target="https://icilux.com/fr/ampoules-led-e27/1949-2785-ampoule-led-standard-e27-a60-12w-180-puce-osram-duris-e2835-8435612910577" TargetMode="External"/><Relationship Id="rId944" Type="http://schemas.openxmlformats.org/officeDocument/2006/relationships/hyperlink" Target="https://icilux.com/fr/ampoules-led-e27/1885-2662-ampoule-led-spherique-e27-g45-6w-220-puce-osram-duris-e2835-8435612909236" TargetMode="External"/><Relationship Id="rId945" Type="http://schemas.openxmlformats.org/officeDocument/2006/relationships/hyperlink" Target="https://icilux.com/fr/ampoules-led-e27/3124-4296-ampoule-led-e27-45w-haute-luminosite-industrielle-haute-puissance" TargetMode="External"/><Relationship Id="rId946" Type="http://schemas.openxmlformats.org/officeDocument/2006/relationships/hyperlink" Target="https://icilux.com/fr/ampoules-led-e27/2991-4288-ampoule-led-e27-33w-3630lm-haute-puissance-ip20" TargetMode="External"/><Relationship Id="rId947" Type="http://schemas.openxmlformats.org/officeDocument/2006/relationships/hyperlink" Target="https://icilux.com/fr/ampoules-led-e27/2998-10866-ampoule-led-filament-e27-6w-g80-gold-dimmable-vintage" TargetMode="External"/><Relationship Id="rId948" Type="http://schemas.openxmlformats.org/officeDocument/2006/relationships/hyperlink" Target="https://icilux.com/fr/ampoules-led-e27/3076-10679-ampoule-led-e27-40w-haute-puissance-haute-resistance-industrielle" TargetMode="External"/><Relationship Id="rId949" Type="http://schemas.openxmlformats.org/officeDocument/2006/relationships/hyperlink" Target="https://icilux.com/fr/ampoules-led-e27/3223-10809-ampoule-led-globe-e27-15w-g95-300-haute-efficacite-puce-osram" TargetMode="External"/><Relationship Id="rId950" Type="http://schemas.openxmlformats.org/officeDocument/2006/relationships/hyperlink" Target="https://icilux.com/fr/ampoules-led-e27/5065-10934-ampoule-led-filament-a60-e27-8w-100-lmw-dimmable" TargetMode="External"/><Relationship Id="rId951" Type="http://schemas.openxmlformats.org/officeDocument/2006/relationships/hyperlink" Target="https://icilux.com/fr/ampoules-led-gu10-g4/1881-2650-dichroique-led-gu10-6w-38-puce-osram-duris-e2835-8435612909106" TargetMode="External"/><Relationship Id="rId952" Type="http://schemas.openxmlformats.org/officeDocument/2006/relationships/hyperlink" Target="https://icilux.com/fr/ampoules-led-gu10-g4/1880-2647-dichroique-led-gu10-6w-100-puce-osram-duris-e2835-8435612909069" TargetMode="External"/><Relationship Id="rId953" Type="http://schemas.openxmlformats.org/officeDocument/2006/relationships/hyperlink" Target="https://icilux.com/fr/ampoules-led-gu10-g4/2111-2964-dichroique-led-gu10-6w-verre-puce-samsung-8435612913547" TargetMode="External"/><Relationship Id="rId954" Type="http://schemas.openxmlformats.org/officeDocument/2006/relationships/hyperlink" Target="https://icilux.com/fr/ampoules-led-gu10-g4/3015-4149-dichroique-led-gu10-10w-100-1200lm-puce-osram-duris-e2835" TargetMode="External"/><Relationship Id="rId955" Type="http://schemas.openxmlformats.org/officeDocument/2006/relationships/hyperlink" Target="https://icilux.com/fr/ampoules-led-gu10-g4/3027-4155-ampoule-led-gu10-8w-dichroique-24-cri98-dimmable-no-flick" TargetMode="External"/><Relationship Id="rId956" Type="http://schemas.openxmlformats.org/officeDocument/2006/relationships/hyperlink" Target="https://icilux.com/fr/accessoires-eclairages-led/2286-4015-anneau-encastrable-orientable-rond-o90mm-gu10-mr16-acier-blanc" TargetMode="External"/><Relationship Id="rId957" Type="http://schemas.openxmlformats.org/officeDocument/2006/relationships/hyperlink" Target="https://icilux.com/fr/ampoules-led-gu10-g4/3066-4197-ampoule-led-gu10-8w-dichroique-24-haute-luminosite-verre" TargetMode="External"/><Relationship Id="rId958" Type="http://schemas.openxmlformats.org/officeDocument/2006/relationships/hyperlink" Target="https://icilux.com/fr/ampoules-led-e14/1884-2657-ampoule-led-spherique-e14-g45-6w-220-puce-osram-duris-e2835-8435612909205" TargetMode="External"/><Relationship Id="rId959" Type="http://schemas.openxmlformats.org/officeDocument/2006/relationships/hyperlink" Target="https://icilux.com/fr/ampoules-led-e14/1882-2653-ampoule-led-flamme-e14-c37-6w-180-puce-osram-duris-e2835-8435612909168" TargetMode="External"/><Relationship Id="rId960" Type="http://schemas.openxmlformats.org/officeDocument/2006/relationships/hyperlink" Target="https://icilux.com/fr/ampoules-led-e14/3080-4214-ampoule-led-filament-flamme-e14-4w-c35-verre-dore-vintage" TargetMode="External"/><Relationship Id="rId961" Type="http://schemas.openxmlformats.org/officeDocument/2006/relationships/hyperlink" Target="https://icilux.com/fr/lineaires-led/2239-platine-de-jonction-en-aluminium-pour-luminaire-lineaire-led-8435612926349" TargetMode="External"/><Relationship Id="rId962" Type="http://schemas.openxmlformats.org/officeDocument/2006/relationships/hyperlink" Target="https://icilux.com/fr/lineaires-led/2193-3637-reglette-lineaire-led-60cm-18w-dali-blanche-en-surface" TargetMode="External"/><Relationship Id="rId963" Type="http://schemas.openxmlformats.org/officeDocument/2006/relationships/hyperlink" Target="https://icilux.com/fr/lineaires-led/3178-4437-reglette-lineaire-led-120cm-36w-dali-en-surface-aluminium" TargetMode="External"/><Relationship Id="rId964" Type="http://schemas.openxmlformats.org/officeDocument/2006/relationships/hyperlink" Target="https://icilux.com/fr/lineaires-led/2311-4270-barre-lineaire-led-40w-120cm-interconnectable-puce-osram-personnalisable" TargetMode="External"/><Relationship Id="rId965" Type="http://schemas.openxmlformats.org/officeDocument/2006/relationships/hyperlink" Target="https://icilux.com/fr/lineaires-led/3107-4272-barre-lineaire-led-50w-150cm-suspendue-3cct-puce-osram-personnalisable" TargetMode="External"/><Relationship Id="rId966" Type="http://schemas.openxmlformats.org/officeDocument/2006/relationships/hyperlink" Target="https://icilux.com/fr/lineaires-led/3177-10823-barre-lineaire-led-12w-60cm-interconnectable-puce-osram-personnalisable" TargetMode="External"/><Relationship Id="rId967" Type="http://schemas.openxmlformats.org/officeDocument/2006/relationships/hyperlink" Target="https://icilux.com/fr/rails-et-accessoires-led/1540-spot-rail-monophase-douille-gu10-orientable-noir-8400000017763" TargetMode="External"/><Relationship Id="rId968" Type="http://schemas.openxmlformats.org/officeDocument/2006/relationships/hyperlink" Target="https://icilux.com/fr/rails-et-accessoires-led/1539-spot-rail-monophase-douille-gu10-orientable-blanc-8400000017756" TargetMode="External"/><Relationship Id="rId969" Type="http://schemas.openxmlformats.org/officeDocument/2006/relationships/hyperlink" Target="https://icilux.com/fr/rails-et-accessoires-led/707-1014-rail-monophase-1-metre-renforce-pour-spots-led-aluminium-8940213011436" TargetMode="External"/><Relationship Id="rId970" Type="http://schemas.openxmlformats.org/officeDocument/2006/relationships/hyperlink" Target="https://icilux.com/fr/rails-et-accessoires-led/692-1006-connecteur-type-l-pour-rail-monophase-renforce-union-90-8940213009181" TargetMode="External"/><Relationship Id="rId971" Type="http://schemas.openxmlformats.org/officeDocument/2006/relationships/hyperlink" Target="https://icilux.com/fr/rails-et-accessoires-led/580-1010-connecteur-type-t-pour-rail-monophase-renforce-union-3-voies-8940213012051" TargetMode="External"/><Relationship Id="rId972" Type="http://schemas.openxmlformats.org/officeDocument/2006/relationships/hyperlink" Target="https://icilux.com/fr/rails-et-accessoires-led/579-1008-connecteur-type-i-pour-rail-monophase-renforce-union-lineaire-8940213009174" TargetMode="External"/><Relationship Id="rId973" Type="http://schemas.openxmlformats.org/officeDocument/2006/relationships/hyperlink" Target="https://icilux.com/fr/rails-et-accessoires-led/578-1016-rail-monophase-2-metres-renforce-pour-spots-led-aluminium-8940213009167" TargetMode="External"/><Relationship Id="rId974" Type="http://schemas.openxmlformats.org/officeDocument/2006/relationships/hyperlink" Target="https://icilux.com/fr/rails-et-accessoires-led/1577-2106-kit-suspension-pour-rail-led-monophase-cable-acier-8400000018524" TargetMode="External"/><Relationship Id="rId975" Type="http://schemas.openxmlformats.org/officeDocument/2006/relationships/hyperlink" Target="https://icilux.com/fr/accessoires-eclairages-led/674-kit-anti-scintillement-led-pour-variateurs-triac-elimine-le-flicker-8400000005616" TargetMode="External"/><Relationship Id="rId976" Type="http://schemas.openxmlformats.org/officeDocument/2006/relationships/hyperlink" Target="https://icilux.com/fr/accessoires-led-rail-triphase/1410-rail-triphase-de-1-metre-noir-led-a-3-circuits-8400000008686" TargetMode="External"/><Relationship Id="rId977" Type="http://schemas.openxmlformats.org/officeDocument/2006/relationships/hyperlink" Target="https://icilux.com/fr/accessoires-led-rail-triphase/1411-rail-triphase-de-2-metres-noir-led-a-3-circuits-8400000010283" TargetMode="External"/><Relationship Id="rId978" Type="http://schemas.openxmlformats.org/officeDocument/2006/relationships/hyperlink" Target="https://icilux.com/fr/rails-et-accessoires-led/3425-kit-suspension-rail-led-monophase-1m-cable-acier-orientable" TargetMode="External"/><Relationship Id="rId979" Type="http://schemas.openxmlformats.org/officeDocument/2006/relationships/hyperlink" Target="https://icilux.com/fr/cloches-pro-led-ufo/4431-10770-cloche-led-industrielle-ufo-120-200w-3cct-reglable-1-10v-driver-philips" TargetMode="External"/><Relationship Id="rId980" Type="http://schemas.openxmlformats.org/officeDocument/2006/relationships/hyperlink" Target="https://icilux.com/fr/cloches-pro-led-ufo/4506-10829-cloche-led-industrielle-ufo-120-200w-3cct-reglable-1-10v-driver-philips" TargetMode="External"/><Relationship Id="rId981" Type="http://schemas.openxmlformats.org/officeDocument/2006/relationships/hyperlink" Target="https://icilux.com/fr/cloches-pro-led-ufo/3171-10825-cloche-led-industrielle-ufo-150w-170lmw-reglable-1-10v-driver-philips" TargetMode="External"/><Relationship Id="rId982" Type="http://schemas.openxmlformats.org/officeDocument/2006/relationships/hyperlink" Target="https://icilux.com/fr/cloches-pro-led-ufo/5079-10941-cloche-industrielle-led-ufo-suspension-120-200w-3cct-philips" TargetMode="External"/><Relationship Id="rId983" Type="http://schemas.openxmlformats.org/officeDocument/2006/relationships/hyperlink" Target="https://icilux.com/fr/eclairage-atex-atmospheres-explosives/5132-cloche-industrielle-led-ufo-atex-200w-ip66-ik10-lumileds" TargetMode="External"/><Relationship Id="rId984" Type="http://schemas.openxmlformats.org/officeDocument/2006/relationships/hyperlink" Target="https://icilux.com/fr/cloches-pro-led-ufo/2980-4486-cloche-led-industrielle-ufo-80-200w-selectionnable-ip65-puce-lumileds-luxeon" TargetMode="External"/><Relationship Id="rId985" Type="http://schemas.openxmlformats.org/officeDocument/2006/relationships/hyperlink" Target="https://icilux.com/fr/accessoires-eclairages-led/674-kit-anti-scintillement-led-pour-variateurs-triac-elimine-le-flicker-8400000005616" TargetMode="External"/><Relationship Id="rId986" Type="http://schemas.openxmlformats.org/officeDocument/2006/relationships/hyperlink" Target="https://icilux.com/fr/accessoires-projecteur-led/991-connecteur-etanche-en-x-ip68-pour-raccordement-4-voies-en-exterieur-8400000009300" TargetMode="External"/><Relationship Id="rId987" Type="http://schemas.openxmlformats.org/officeDocument/2006/relationships/hyperlink" Target="https://icilux.com/fr/variateur-detecteur-led-ac/2198-convertisseur-de-signal-1-10v-vers-dali-pour-eclairage-led-professionnel-8435612922495" TargetMode="External"/><Relationship Id="rId988" Type="http://schemas.openxmlformats.org/officeDocument/2006/relationships/hyperlink" Target="https://icilux.com/fr/accessoires-lampadaires-led/2374-protecteur-de-surtensions-transitoires-pour-led-jusqu-a-10kv-843561291783" TargetMode="External"/><Relationship Id="rId989" Type="http://schemas.openxmlformats.org/officeDocument/2006/relationships/hyperlink" Target="https://icilux.com/fr/cloches-pro-led-ufo/3153-4406-cloche-led-industrielle-ufo-100-200w-selectionnable-ip65-puce-osram" TargetMode="External"/><Relationship Id="rId990" Type="http://schemas.openxmlformats.org/officeDocument/2006/relationships/hyperlink" Target="https://icilux.com/fr/cloches-pro-led-ufo/3154-4407-cloche-led-industrielle-ufo-80-150w-selectionnable-ip65-puce-osram" TargetMode="External"/><Relationship Id="rId991" Type="http://schemas.openxmlformats.org/officeDocument/2006/relationships/hyperlink" Target="https://icilux.com/fr/cloches-pro-led-ufo/3161-4424-cloche-led-industrielle-ufo-80-200w-selectionnable-ip65-puce-lumileds" TargetMode="External"/><Relationship Id="rId992" Type="http://schemas.openxmlformats.org/officeDocument/2006/relationships/hyperlink" Target="https://icilux.com/fr/cloches-pro-led-ufo/4382-10784-cloche-led-industrielle-ufo-200w-3cct-130lmw-ip65-puce-lumileds" TargetMode="External"/><Relationship Id="rId993" Type="http://schemas.openxmlformats.org/officeDocument/2006/relationships/hyperlink" Target="https://icilux.com/fr/cloches-pro-led-ufo/4381-10498-cloche-led-industrielle-ufo-150w-3cct-130lmw-ip65-puce-lumileds" TargetMode="External"/><Relationship Id="rId994" Type="http://schemas.openxmlformats.org/officeDocument/2006/relationships/hyperlink" Target="https://icilux.com/fr/cloches-pro-led-ufo/3749-10795-cloche-led-industrielle-ufo-200w-170lmw-reglable-1-10v-driver-philips" TargetMode="External"/><Relationship Id="rId995" Type="http://schemas.openxmlformats.org/officeDocument/2006/relationships/hyperlink" Target="https://icilux.com/fr/cloches-pro-led-ufo/4380-10496-cloche-led-industrielle-ufo-100w-3cct-130lmw-ip65-puce-lumileds" TargetMode="External"/><Relationship Id="rId996" Type="http://schemas.openxmlformats.org/officeDocument/2006/relationships/hyperlink" Target="https://icilux.com/fr/cloches-pro-led-ufo/4430-10541-cloche-led-industrielle-ufo-80-120w-3cct-reglable-1-10v-driver-philips" TargetMode="External"/><Relationship Id="rId997" Type="http://schemas.openxmlformats.org/officeDocument/2006/relationships/hyperlink" Target="https://icilux.com/fr/accessoires-pour-cloche-led/5081-lentille-120-pour-cloche-led" TargetMode="External"/><Relationship Id="rId998" Type="http://schemas.openxmlformats.org/officeDocument/2006/relationships/hyperlink" Target="https://icilux.com/fr/appliques-murales-led/1943-applique-murale-e27-exterieur-ip44-en-aluminium-8435612908949" TargetMode="External"/><Relationship Id="rId999" Type="http://schemas.openxmlformats.org/officeDocument/2006/relationships/hyperlink" Target="https://icilux.com/fr/appliques-murales-led/1942-applique-murale-e27-exterieur-ip44-en-acier-inoxydable-8435612908932" TargetMode="External"/><Relationship Id="rId1000" Type="http://schemas.openxmlformats.org/officeDocument/2006/relationships/hyperlink" Target="https://icilux.com/fr/appliques-murales-led/1328-1693-applique-murale-led-12w-double-lumiere-exterieur-ip54-decorative-8400000013437" TargetMode="External"/><Relationship Id="rId1001" Type="http://schemas.openxmlformats.org/officeDocument/2006/relationships/hyperlink" Target="https://icilux.com/fr/appliques-murales-led/2280-applique-murale-led-2-gu10-ip65-bidirectionnelle-int-ext" TargetMode="External"/><Relationship Id="rId1002" Type="http://schemas.openxmlformats.org/officeDocument/2006/relationships/hyperlink" Target="https://icilux.com/fr/appliques-murales-led/3804-6384-applique-led-murale-12w-ip65-interieur-exterieur-blanc-integre" TargetMode="External"/><Relationship Id="rId1003" Type="http://schemas.openxmlformats.org/officeDocument/2006/relationships/hyperlink" Target="https://icilux.com/fr/eclairage-urgence-led/1469-kit-de-conversion-secours-pour-luminaire-led-autonomie-3h-8400000016735" TargetMode="External"/><Relationship Id="rId1004" Type="http://schemas.openxmlformats.org/officeDocument/2006/relationships/hyperlink" Target="https://icilux.com/fr/eclairage-urgence-led/1090-1432-bloc-de-secours-led-4w-ip65-permanent-avec-kit-plafond-8940213013393" TargetMode="External"/><Relationship Id="rId1005" Type="http://schemas.openxmlformats.org/officeDocument/2006/relationships/hyperlink" Target="https://icilux.com/fr/eclairage-urgence-led/3055-bloc-secours-led-4w-surface-plafond-ip20-permanent-non-permanent" TargetMode="External"/><Relationship Id="rId1006" Type="http://schemas.openxmlformats.org/officeDocument/2006/relationships/hyperlink" Target="https://icilux.com/fr/eclairage-urgence-led/3195-bloc-secours-led-400lm-autotest-surface-plafond-ip20-permanent" TargetMode="External"/><Relationship Id="rId1007" Type="http://schemas.openxmlformats.org/officeDocument/2006/relationships/hyperlink" Target="https://icilux.com/fr/eclairage-atex-atmospheres-explosives/5136-bloc-secours-led-atex-permanent-3w-200lm-ip65" TargetMode="External"/><Relationship Id="rId1008" Type="http://schemas.openxmlformats.org/officeDocument/2006/relationships/hyperlink" Target="https://icilux.com/fr/eclairage-atex-atmospheres-explosives/5137-bloc-secours-led-atex-non-permanent-3w-200lm-ip65" TargetMode="External"/><Relationship Id="rId1009" Type="http://schemas.openxmlformats.org/officeDocument/2006/relationships/hyperlink" Target="https://icilux.com/fr/detecteurs-de-presence-led/1174-detecteur-de-mouvement-en-surface-slim-pour-led-ac220-240v-8400000011716" TargetMode="External"/><Relationship Id="rId1010" Type="http://schemas.openxmlformats.org/officeDocument/2006/relationships/hyperlink" Target="https://icilux.com/fr/detecteurs-de-presence-led/198-detecteur-de-mouvement-radar-micro-ondes-pour-led-300w-ip20-8400000002622" TargetMode="External"/><Relationship Id="rId1011" Type="http://schemas.openxmlformats.org/officeDocument/2006/relationships/hyperlink" Target="https://icilux.com/fr/detecteurs-de-presence-led/5056-detecteur-de-mouvement-infrarouge-encastrable-360-6m-pour-led-8400000002615" TargetMode="External"/><Relationship Id="rId1012" Type="http://schemas.openxmlformats.org/officeDocument/2006/relationships/hyperlink" Target="https://icilux.com/fr/downlight-led-saillie/2051-plafonnier-led-surface-carre-8w-acier-inox-cct-puce-osram-8435612912489" TargetMode="External"/><Relationship Id="rId1013" Type="http://schemas.openxmlformats.org/officeDocument/2006/relationships/hyperlink" Target="https://icilux.com/fr/downlight-led-saillie/1904-2716-plafonnier-led-surface-carre-20w-puce-osram-duris-e2835-8435612907669" TargetMode="External"/><Relationship Id="rId1014" Type="http://schemas.openxmlformats.org/officeDocument/2006/relationships/hyperlink" Target="https://icilux.com/fr/downlight-led-saillie/2391-4110-plafonnier-led-surface-rond-18-24w-cct-capteur-mouvement-puce-osram-8435612911864" TargetMode="External"/><Relationship Id="rId1015" Type="http://schemas.openxmlformats.org/officeDocument/2006/relationships/hyperlink" Target="https://icilux.com/fr/downlight-led-saillie/3116-downlight-led-reglable-carre-24w-3cct-blanc-lumileds" TargetMode="External"/><Relationship Id="rId1016" Type="http://schemas.openxmlformats.org/officeDocument/2006/relationships/hyperlink" Target="https://icilux.com/fr/downlight-led-saillie/3117-downlight-led-reglable-carre-24w-3cct-noir-lumileds" TargetMode="External"/><Relationship Id="rId1017" Type="http://schemas.openxmlformats.org/officeDocument/2006/relationships/hyperlink" Target="https://icilux.com/fr/downlight-led-saillie/3118-downlight-led-reglable-carre-18w-3cct-blanc-lumileds" TargetMode="External"/><Relationship Id="rId1018" Type="http://schemas.openxmlformats.org/officeDocument/2006/relationships/hyperlink" Target="https://icilux.com/fr/downlight-led-saillie/3119-downlight-led-reglable-carre-18w-3cct-noir-lumileds" TargetMode="External"/><Relationship Id="rId1019" Type="http://schemas.openxmlformats.org/officeDocument/2006/relationships/hyperlink" Target="https://icilux.com/fr/downlight-led-saillie/3120-downlight-led-reglable-rond-18w-3cct-blanc-lumileds" TargetMode="External"/><Relationship Id="rId1020" Type="http://schemas.openxmlformats.org/officeDocument/2006/relationships/hyperlink" Target="https://icilux.com/fr/downlight-led-saillie/3121-downlight-led-reglable-rond-18w-3cct-noir-lumileds" TargetMode="External"/><Relationship Id="rId1021" Type="http://schemas.openxmlformats.org/officeDocument/2006/relationships/hyperlink" Target="https://icilux.com/fr/downlight-led-saillie/3122-downlight-led-reglable-rond-6w-3cct-blanc-lumileds" TargetMode="External"/><Relationship Id="rId1022" Type="http://schemas.openxmlformats.org/officeDocument/2006/relationships/hyperlink" Target="https://icilux.com/fr/spot-led-encastrables/2017-downlight-led-encastrable-frameless-24w-3cct-sans-cadre-puce-osram-8435612912625" TargetMode="External"/><Relationship Id="rId1023" Type="http://schemas.openxmlformats.org/officeDocument/2006/relationships/hyperlink" Target="https://icilux.com/fr/spot-led-encastrables/2020-downlight-led-encastrable-frameless-8w-3cct-sans-cadre-puce-osram-8435612912601" TargetMode="External"/><Relationship Id="rId1024" Type="http://schemas.openxmlformats.org/officeDocument/2006/relationships/hyperlink" Target="https://icilux.com/fr/downlight-led-saillie/3069-plafonnier-led-surface-16-24w-3cct-plafond-puce-osram-rond" TargetMode="External"/><Relationship Id="rId1025" Type="http://schemas.openxmlformats.org/officeDocument/2006/relationships/hyperlink" Target="https://icilux.com/fr/downlight-led-saillie/3147-plafonnier-led-surface-16-24w-3cct-capteur-radar-mouvement-puce-osram" TargetMode="External"/><Relationship Id="rId1026" Type="http://schemas.openxmlformats.org/officeDocument/2006/relationships/hyperlink" Target="https://icilux.com/fr/downlight-led-saillie/3181-4443-plafonnier-led-surface-rond-18w-140lmw-puce-osram-duris-e2835" TargetMode="External"/><Relationship Id="rId1027" Type="http://schemas.openxmlformats.org/officeDocument/2006/relationships/hyperlink" Target="https://icilux.com/fr/downlight-led-saillie/4447-plafonnier-led-surface-rond-15w-4cct-ugr19-cri92-driver-gxtronic" TargetMode="External"/><Relationship Id="rId1028" Type="http://schemas.openxmlformats.org/officeDocument/2006/relationships/hyperlink" Target="https://icilux.com/fr/downlight-led-saillie/4453-plafonnier-led-surface-rond-24w-4cct-ugr19-cri92-driver-gxtronic" TargetMode="External"/><Relationship Id="rId1029" Type="http://schemas.openxmlformats.org/officeDocument/2006/relationships/hyperlink" Target="https://icilux.com/fr/downlight-led-saillie/4454-plafonnier-led-surface-rond-30w-4cct-ugr19-cri92-driver-gxtronic" TargetMode="External"/><Relationship Id="rId1030" Type="http://schemas.openxmlformats.org/officeDocument/2006/relationships/hyperlink" Target="https://icilux.com/fr/downlight-led-saillie/4456-plafonnier-led-surface-carre-30w-4cct-ugr19-cri92-driver-gxtronic" TargetMode="External"/><Relationship Id="rId1031" Type="http://schemas.openxmlformats.org/officeDocument/2006/relationships/hyperlink" Target="https://icilux.com/fr/downlight-led-saillie/3805-6386-plafonnier-led-surface-12w-ip65-interieur-exterieur-mur-et-plafond" TargetMode="External"/><Relationship Id="rId1032" Type="http://schemas.openxmlformats.org/officeDocument/2006/relationships/hyperlink" Target="https://icilux.com/fr/downlight-led-saillie/4304-plafonnier-led-surface-10-20w-5cct-capteur-radar-ip44-plafond-rond" TargetMode="External"/><Relationship Id="rId1033" Type="http://schemas.openxmlformats.org/officeDocument/2006/relationships/hyperlink" Target="https://icilux.com/fr/downlight-led-saillie/4455-plafonnier-led-surface-carre-24w-4cct-ugr19-cri92-driver-gxtronic" TargetMode="External"/><Relationship Id="rId1034"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hyperlink" Target="https://www.afdb.fr/" TargetMode="External"/><Relationship Id="rId2" Type="http://schemas.openxmlformats.org/officeDocument/2006/relationships/hyperlink" Target="https://icilux.com/fr/" TargetMode="External"/><Relationship Id="rId3" Type="http://schemas.openxmlformats.org/officeDocument/2006/relationships/hyperlink" Target="https://www.yesss-fr.com/" TargetMode="External"/><Relationship Id="rId4" Type="http://schemas.openxmlformats.org/officeDocument/2006/relationships/hyperlink" Target="https://www.rexel.fr/" TargetMode="External"/><Relationship Id="rId5" Type="http://schemas.openxmlformats.org/officeDocument/2006/relationships/hyperlink" Target="https://www.laplateforme.com/" TargetMode="External"/><Relationship Id="rId6" Type="http://schemas.openxmlformats.org/officeDocument/2006/relationships/hyperlink" Target="https://www.chausson.fr/" TargetMode="External"/><Relationship Id="rId7" Type="http://schemas.openxmlformats.org/officeDocument/2006/relationships/hyperlink" Target="https://www.pointp.fr/" TargetMode="External"/><Relationship Id="rId8" Type="http://schemas.openxmlformats.org/officeDocument/2006/relationships/hyperlink" Target="https://www.prolians.fr/" TargetMode="External"/><Relationship Id="rId9" Type="http://schemas.openxmlformats.org/officeDocument/2006/relationships/hyperlink" Target="https://www.sfic.com/" TargetMode="Externa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hyperlink" Target="https://www.afdb.fr/gewiss-gw90606f-disjoncteur-fixmatic-auto-10-courbe-phase-neutre-gewiss-gw90606f_SKU753206.html" TargetMode="External"/><Relationship Id="rId2" Type="http://schemas.openxmlformats.org/officeDocument/2006/relationships/hyperlink" Target="https://www.rexel.fr/frx/search?text=" TargetMode="External"/><Relationship Id="rId3" Type="http://schemas.openxmlformats.org/officeDocument/2006/relationships/hyperlink" Target="https://www.afdb.fr/gewiss-gw90608-disjoncteur-20-courbe-phase-neutre-gewiss-gw90608_SKU753209.html" TargetMode="External"/><Relationship Id="rId4" Type="http://schemas.openxmlformats.org/officeDocument/2006/relationships/hyperlink" Target="https://www.afdb.fr/gewiss-gw90610-disjoncteur-32-courbe-phase-neutre-gewiss-gw90610_SKU753211.html" TargetMode="External"/><Relationship Id="rId5" Type="http://schemas.openxmlformats.org/officeDocument/2006/relationships/hyperlink" Target="https://www.afdb.fr/schneider-electric-disjoncteur-acti9-ic60n-4p-courbe-32-schneider-electric-a9f77432_SKU610554.html" TargetMode="External"/><Relationship Id="rId6" Type="http://schemas.openxmlformats.org/officeDocument/2006/relationships/hyperlink" Target="https://www.rexel.fr/frx/search?text=" TargetMode="External"/><Relationship Id="rId7" Type="http://schemas.openxmlformats.org/officeDocument/2006/relationships/hyperlink" Target="https://www.afdb.fr/legrand-411676-interrupteur-differentiel-dx3-id-4pg-63-type-30-legrand-411676_SKU513789.html" TargetMode="External"/><Relationship Id="rId8" Type="http://schemas.openxmlformats.org/officeDocument/2006/relationships/hyperlink" Target="https://www.rexel.fr/frx/search?text=" TargetMode="External"/><Relationship Id="rId9" Type="http://schemas.openxmlformats.org/officeDocument/2006/relationships/hyperlink" Target="https://www.rexel.fr/frx/search?text=" TargetMode="External"/><Relationship Id="rId10" Type="http://schemas.openxmlformats.org/officeDocument/2006/relationships/hyperlink" Target="https://www.rexel.fr/frx/search?text=" TargetMode="External"/><Relationship Id="rId11" Type="http://schemas.openxmlformats.org/officeDocument/2006/relationships/hyperlink" Target="https://www.pointp.fr/p/outillage-quincaillerie/telerupteur-unipolaire-16-amperes-bobine-230-volts-ref-92700-A3098938" TargetMode="External"/><Relationship Id="rId12" Type="http://schemas.openxmlformats.org/officeDocument/2006/relationships/hyperlink" Target="https://www.afdb.fr/legrand-412602-minuterie-modulaire-230-v-50-60-hz-sortie-16-250-v-1-module-legrand-412602_SKU513852.html" TargetMode="External"/><Relationship Id="rId13" Type="http://schemas.openxmlformats.org/officeDocument/2006/relationships/hyperlink" Target="https://www.afdb.fr/theben-1800001-horloge-programmable-analogique-sul-180-1-canal-theben-1800001_SKU172476.html" TargetMode="External"/><Relationship Id="rId14" Type="http://schemas.openxmlformats.org/officeDocument/2006/relationships/hyperlink" Target="https://www.afdb.fr/legrand-404926-peigne-alimentation-universel-phase-neutre-hx-vx-horizontale-1-p-13-modules-legrand-404926_SKU514369.html" TargetMode="External"/><Relationship Id="rId15" Type="http://schemas.openxmlformats.org/officeDocument/2006/relationships/hyperlink" Target="https://www.afdb.fr/gewiss-gw40103-coffret-etanche-ip65-400-v-12-modules-gewiss-gw40103_SKU668371.html" TargetMode="External"/><Relationship Id="rId16" Type="http://schemas.openxmlformats.org/officeDocument/2006/relationships/hyperlink" Target="https://www.afdb.fr/legrand-400401-repartiteur-modulaire-barreaux-etages-xl-ik05-bipolaire-100a-6-departs-4-modules-nouveau-modele-legrand-400401_SKU788768.html" TargetMode="External"/><Relationship Id="rId17" Type="http://schemas.openxmlformats.org/officeDocument/2006/relationships/hyperlink" Target="https://www.afdb.fr/legrand-004832-bornier-repartition-isole-8-connexions-1-5-mm-16-mm-terre-legrand-004832_SKU410512.html" TargetMode="External"/><Relationship Id="rId18" Type="http://schemas.openxmlformats.org/officeDocument/2006/relationships/hyperlink" Target="https://www.afdb.fr/fils-cables-cable-rigide-u-1000-r2v-3g1-5-mm-10-noir-fils-cables-20218275c_SKU552674.html" TargetMode="External"/><Relationship Id="rId19" Type="http://schemas.openxmlformats.org/officeDocument/2006/relationships/hyperlink" Target="https://www.afdb.fr/fils-cables-cable-rigide-u-1000-r2v-3g2-5-mm-10-noir-fils-cables-20218285c_SKU552676.html" TargetMode="External"/><Relationship Id="rId20" Type="http://schemas.openxmlformats.org/officeDocument/2006/relationships/hyperlink" Target="https://www.rexel.fr/frx/search?text=" TargetMode="External"/><Relationship Id="rId21" Type="http://schemas.openxmlformats.org/officeDocument/2006/relationships/hyperlink" Target="https://www.rexel.fr/frx/search?text=" TargetMode="External"/><Relationship Id="rId22" Type="http://schemas.openxmlformats.org/officeDocument/2006/relationships/hyperlink" Target="https://www.rexel.fr/frx/search?text=" TargetMode="External"/><Relationship Id="rId23" Type="http://schemas.openxmlformats.org/officeDocument/2006/relationships/hyperlink" Target="https://www.afdb.fr/gewiss-dx20525r-gaine-electrique-icta-tire-fils-gris-fonce-diametre-25-mm-gewiss-dx20525r_SKU761461.html" TargetMode="External"/><Relationship Id="rId24" Type="http://schemas.openxmlformats.org/officeDocument/2006/relationships/hyperlink" Target="https://www.afdb.fr/gewiss-dx27716-tube-irl-tulipe-rigide-lisse-l3-gris-d16-mm-gewiss-dx27716_SKU138163.html" TargetMode="External"/><Relationship Id="rId25" Type="http://schemas.openxmlformats.org/officeDocument/2006/relationships/hyperlink" Target="https://www.afdb.fr/obo-bettermann-goulotte-appareillage-obo-bettermann-rapid-45-2-pvc-h-53-mm-100-6113000_SKUM226742.html" TargetMode="External"/><Relationship Id="rId26" Type="http://schemas.openxmlformats.org/officeDocument/2006/relationships/hyperlink" Target="https://www.afdb.fr/obo-bettermann-goulotte-appareillage-obo-bettermann-rapid-45-2-pvc-h-53-mm-100-6113000_SKUM226742.html" TargetMode="External"/><Relationship Id="rId27" Type="http://schemas.openxmlformats.org/officeDocument/2006/relationships/hyperlink" Target="https://www.pointp.fr/p/outillage-quincaillerie/moul-20x12-5-avec-cloison-lg-098120-od-A3620402" TargetMode="External"/><Relationship Id="rId28" Type="http://schemas.openxmlformats.org/officeDocument/2006/relationships/hyperlink" Target="https://www.afdb.fr/niedax-001005-dalle-chemin-cable-psn-perforee-3-147-x-27-mm-niedax-001005_SKU239618.html" TargetMode="External"/><Relationship Id="rId29" Type="http://schemas.openxmlformats.org/officeDocument/2006/relationships/hyperlink" Target="https://www.pointp.fr/p/outillage-quincaillerie/detrompeur-pour-fiche-prise-2p-t-ref-050299-A1304505" TargetMode="External"/><Relationship Id="rId30" Type="http://schemas.openxmlformats.org/officeDocument/2006/relationships/hyperlink" Target="https://www.afdb.fr/legrand-prise-courant-2p-etanche-plexo-legrand-16-250-v-fixation-saillie-gris-boite-10-069731l_SKUM168912.html" TargetMode="External"/><Relationship Id="rId31" Type="http://schemas.openxmlformats.org/officeDocument/2006/relationships/hyperlink" Target="https://www.afdb.fr/legrand-555218-p17-prise-mobile-32a-3p-415v-ip44-boite-10_SKU801939.html" TargetMode="External"/><Relationship Id="rId32" Type="http://schemas.openxmlformats.org/officeDocument/2006/relationships/hyperlink" Target="https://www.afdb.fr/legrand-069811-interrupteur-va-vient-etanche-plexo-complet-ip55-encastre-gris-legrand-069811_SKU418796.html" TargetMode="External"/><Relationship Id="rId33" Type="http://schemas.openxmlformats.org/officeDocument/2006/relationships/hyperlink" Target="https://www.afdb.fr/legrand-600060a-interrupteur-variateur-dooxie-universel-2-fils-neutre-125-w-led-legrand-600060a_SKU880192.html" TargetMode="External"/><Relationship Id="rId34" Type="http://schemas.openxmlformats.org/officeDocument/2006/relationships/hyperlink" Target="https://www.afdb.fr/theben-1010500-detecteur-mouvement-theluxa-mural-exterieur-s150-wh-blanc-theben-1010500_SKU379021.html" TargetMode="External"/><Relationship Id="rId35" Type="http://schemas.openxmlformats.org/officeDocument/2006/relationships/hyperlink" Target="https://www.afdb.fr/legrand-80041-boite-encastrement-batibox-cloisons-seches-1-poste-legrand-080041_SKU419530.html" TargetMode="External"/><Relationship Id="rId36" Type="http://schemas.openxmlformats.org/officeDocument/2006/relationships/hyperlink" Target="https://www.afdb.fr/miidex-7230-boite-derivation-etanche-450-v-ac-ip68-2-entrees-miidex-lighting-7230_SKU781705.html" TargetMode="External"/><Relationship Id="rId37" Type="http://schemas.openxmlformats.org/officeDocument/2006/relationships/hyperlink" Target="https://www.afdb.fr/wago-773-173-boite-50-bornes-connexion-automatiques-transparentes-3-fils-2-5-6-mm-wago-773-173_SKU407395.html" TargetMode="External"/><Relationship Id="rId38" Type="http://schemas.openxmlformats.org/officeDocument/2006/relationships/hyperlink" Target="https://www.afdb.fr/legrand-034215-barrette-connexion-nylbloc-capacite-assignee-10-mm-noir-legrand-034215_SKU414216.html" TargetMode="External"/><Relationship Id="rId39" Type="http://schemas.openxmlformats.org/officeDocument/2006/relationships/hyperlink" Target="https://www.afdb.fr/legrand-066631-plaque-celiane-finition-blanc-laque-1-poste-legrand-066631_SKU735373.html" TargetMode="External"/><Relationship Id="rId40" Type="http://schemas.openxmlformats.org/officeDocument/2006/relationships/hyperlink" Target="https://www.afdb.fr/schneider-electric-s320476-mecanisme-prise-rj45-ovalis-categorie-6-stp-grade-3-blanc-schneider-electric-s320476_SKU861384.html" TargetMode="External"/><Relationship Id="rId41" Type="http://schemas.openxmlformats.org/officeDocument/2006/relationships/hyperlink" Target="https://www.afdb.fr/forsond-piquet-terre_SKUM14582.html" TargetMode="External"/><Relationship Id="rId42" Type="http://schemas.openxmlformats.org/officeDocument/2006/relationships/hyperlink" Target="https://www.afdb.fr/forsond-bar32-barrette-coupure-socle-plastique-forsond-bar-32_SKU362601.html" TargetMode="External"/><Relationship Id="rId43" Type="http://schemas.openxmlformats.org/officeDocument/2006/relationships/hyperlink" Target="https://www.rexel.fr/frx/search?text=" TargetMode="External"/><Relationship Id="rId44" Type="http://schemas.openxmlformats.org/officeDocument/2006/relationships/hyperlink" Target="https://www.afdb.fr/sewosy-tpnc-temporisation-12-24vdc-1-contact-nf-gaine-thermoretractable-sewosy-tpnc_SKU570351.html" TargetMode="External"/><Relationship Id="rId45"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hyperlink" Target="https://www.afdb.fr/schneider-electric-vdir534810-cable-4-paires-ftp-categorie-6-lexcom-home-bobine-120-blanc-schneider-electric-vdir534810_SKU647541.html" TargetMode="External"/><Relationship Id="rId2" Type="http://schemas.openxmlformats.org/officeDocument/2006/relationships/hyperlink" Target="https://www.afdb.fr/legrand-413218-coffret-multimedia-basique-drivia-brassage-equipe-precable-4-prises-rj45-legrand-413218_SKU579604.html" TargetMode="External"/><Relationship Id="rId3" Type="http://schemas.openxmlformats.org/officeDocument/2006/relationships/hyperlink" Target="https://www.afdb.fr/thomson-512511-camera-exterieure-rheita100-connectee-eclairage-integre-thomson-512511_SKU842395.html" TargetMode="External"/><Relationship Id="rId4" Type="http://schemas.openxmlformats.org/officeDocument/2006/relationships/hyperlink" Target="https://www.afdb.fr/diam-industries-cr90180-25-disque-diamant-dalles-carrelage-dur-180-x-25-4-mm-diam-industries-cr90180-25_SKU745579.html" TargetMode="External"/><Relationship Id="rId5" Type="http://schemas.openxmlformats.org/officeDocument/2006/relationships/hyperlink" Target="https://www.afdb.fr/golmar-uav1407-010-combine-universel-line-golmar-uav1407-010_SKU612024.html" TargetMode="External"/><Relationship Id="rId6" Type="http://schemas.openxmlformats.org/officeDocument/2006/relationships/hyperlink" Target="https://www.afdb.fr/salto-wrdm0s4b-lecteur-mural-xs4-2-0-mifare-carre-noir-salto-wrdm0s4b_SKU857197.html" TargetMode="External"/><Relationship Id="rId7" Type="http://schemas.openxmlformats.org/officeDocument/2006/relationships/hyperlink" Target="https://www.afdb.fr/salto-badge-proximite-salto-mifare-ultralight_SKUM117686.html" TargetMode="External"/><Relationship Id="rId8" Type="http://schemas.openxmlformats.org/officeDocument/2006/relationships/hyperlink" Target="https://www.afdb.fr/fermax-pl030-clavier-aluminium-30-codes-fermax-pl030_SKU390521.html" TargetMode="External"/><Relationship Id="rId9" Type="http://schemas.openxmlformats.org/officeDocument/2006/relationships/hyperlink" Target="https://www.afdb.fr/didheya-bouton-spherique-inox-finition-mate-didheya_SKUM73558.html" TargetMode="External"/><Relationship Id="rId10" Type="http://schemas.openxmlformats.org/officeDocument/2006/relationships/hyperlink" Target="https://www.afdb.fr/heracles-ard-kit-kit-centrale-alarme-heracles-ard-kit_SKU390491.html" TargetMode="External"/><Relationship Id="rId11" Type="http://schemas.openxmlformats.org/officeDocument/2006/relationships/hyperlink" Target="https://www.afdb.fr/avidsen-100723-detecteur-ouverture-porte-alarme-skyda-homesecure-avidsen-100723_SKU842322.html" TargetMode="External"/><Relationship Id="rId12" Type="http://schemas.openxmlformats.org/officeDocument/2006/relationships/hyperlink" Target="https://www.afdb.fr/miidex-100861-detecteur-mouvement-infrarouge-lumos-lite-projecteur-lumos-lite-lumos-pro-miidex-100861_SKU868337.html" TargetMode="External"/><Relationship Id="rId13" Type="http://schemas.openxmlformats.org/officeDocument/2006/relationships/hyperlink" Target="https://www.afdb.fr/avidsen-100728-sirene-exterieure-solaire-alarme-skyda-homesecure-avidsen-100728_SKU842324.html" TargetMode="External"/><Relationship Id="rId14" Type="http://schemas.openxmlformats.org/officeDocument/2006/relationships/hyperlink" Target="https://www.afdb.fr/selection-cable-coaxial-blanc-17vatc-t500-5-60135013e_SKU552641.html" TargetMode="External"/><Relationship Id="rId15" Type="http://schemas.openxmlformats.org/officeDocument/2006/relationships/hyperlink" Target="https://www.afdb.fr/lebenoid-032528-repartiteur-ferrite-tv-4-sorties-lebenoid-032528_SKU145992.html" TargetMode="External"/><Relationship Id="rId16" Type="http://schemas.openxmlformats.org/officeDocument/2006/relationships/hyperlink" Target="https://www.rexel.fr/frx/search?text=" TargetMode="External"/><Relationship Id="rId17" Type="http://schemas.openxmlformats.org/officeDocument/2006/relationships/hyperlink" Target="https://www.rexel.fr/frx/search?text=" TargetMode="External"/><Relationship Id="rId18"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hyperlink" Target="https://www.afdb.fr/sylvania-90012-spot-encastre-led-integre-yourhome-500-lm-blanc-ip44-4000-k-840-sylvania-90012_SKU848958.html" TargetMode="External"/><Relationship Id="rId2" Type="http://schemas.openxmlformats.org/officeDocument/2006/relationships/hyperlink" Target="https://www.afdb.fr/miidex-765482-downlight-led-sirius-basse-lum-blanc-rond-basse-luminance-2000-lm-25-w-4000-k-miidex-lighting-765482_SKU782618.html" TargetMode="External"/><Relationship Id="rId3" Type="http://schemas.openxmlformats.org/officeDocument/2006/relationships/hyperlink" Target="https://www.afdb.fr/miidex-100998-dalle-led-andromede-backlit-25-w-4000-k-prismatique-miidex-100998_SKU879196.html" TargetMode="External"/><Relationship Id="rId4" Type="http://schemas.openxmlformats.org/officeDocument/2006/relationships/hyperlink" Target="https://www.afdb.fr/sylvania-0045159-reglette-led-ip20-batten-4000-k-16-w-simple-l1200-mm-sylvania-0045159_SKU751259.html" TargetMode="External"/><Relationship Id="rId5" Type="http://schemas.openxmlformats.org/officeDocument/2006/relationships/hyperlink" Target="https://www.afdb.fr/miidex-s8358-spot-led-rail-noir-35-w-4000-k-3000-lm-adaptateur-rail-3-allumages-miidex-lighting-s8358_SKU783632.html" TargetMode="External"/><Relationship Id="rId6" Type="http://schemas.openxmlformats.org/officeDocument/2006/relationships/hyperlink" Target="https://www.pointp.fr/p/outillage-quincaillerie/projecteur-exterieur-led-energizer-consommation-10w-flux-lumineux-A7047009" TargetMode="External"/><Relationship Id="rId7" Type="http://schemas.openxmlformats.org/officeDocument/2006/relationships/hyperlink" Target="https://www.afdb.fr/miidex-75371-alimentation-led-ip67-100w-24v-dc-miidex-lighting-75371_SKU782227.html" TargetMode="External"/><Relationship Id="rId8" Type="http://schemas.openxmlformats.org/officeDocument/2006/relationships/hyperlink" Target="https://www.afdb.fr/miidex-76661-ampoule-led-e27-10-w-smd-r80-3000-k-pack-2-miidex-lighting-76661_SKU782643.html" TargetMode="External"/><Relationship Id="rId9" Type="http://schemas.openxmlformats.org/officeDocument/2006/relationships/hyperlink" Target="https://www.afdb.fr/miidex-78401-ampoule-led-gu10-spot-5-w-2700-k-miidex-lighting-78401_SKU782955.html" TargetMode="External"/><Relationship Id="rId10" Type="http://schemas.openxmlformats.org/officeDocument/2006/relationships/hyperlink" Target="https://www.afdb.fr/miidex-75891-boitier-etanche-led-iroise-ballast-p-cote-1-tube-t8-600-mm-miidex-lighting-75891_SKU782384.html" TargetMode="External"/><Relationship Id="rId11" Type="http://schemas.openxmlformats.org/officeDocument/2006/relationships/hyperlink" Target="https://www.pointp.fr/p/electricite-ventilation/projecteur-led-de-chantier-multi-battery-system-4000-ma-rechargeable-40-w-4500-lm-6500-k-ip65-compatible-avec-5-standards-de-batterie-18-v-powertool-ref-1173140400-A4305932" TargetMode="External"/><Relationship Id="rId12" Type="http://schemas.openxmlformats.org/officeDocument/2006/relationships/hyperlink" Target="https://www.afdb.fr/miidex-7790020-hublot-led-rondo-detecteur-infrarouge-crepusculaire-18-w-ip65-3000-k-miidex-lighting-7790020_SKU782883.html" TargetMode="External"/><Relationship Id="rId13" Type="http://schemas.openxmlformats.org/officeDocument/2006/relationships/hyperlink" Target="https://www.afdb.fr/70521-applique-murale-exterieur-led-wallpack-100-w-4000-k-slim_SKU781470.html" TargetMode="External"/><Relationship Id="rId14" Type="http://schemas.openxmlformats.org/officeDocument/2006/relationships/hyperlink" Target="https://www.rexel.fr/frx/search?text=" TargetMode="External"/><Relationship Id="rId15" Type="http://schemas.openxmlformats.org/officeDocument/2006/relationships/hyperlink" Target="https://www.prolians.fr/catalogsearch/result/?q=14492356" TargetMode="External"/><Relationship Id="rId16"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hyperlink" Target="https://www.afdb.fr/garis-3315-16-14-raccord-droit-souder-per-tube-cuivre-16-tc-14-garis-3315-16-14_SKU762106.html" TargetMode="External"/><Relationship Id="rId2" Type="http://schemas.openxmlformats.org/officeDocument/2006/relationships/hyperlink" Target="https://www.afdb.fr/somatherm-1113-20-50s-tube-per-pre-gaine-bleu-50-16-20-somatherm-1113-20-50a_SKU409248.html" TargetMode="External"/><Relationship Id="rId3" Type="http://schemas.openxmlformats.org/officeDocument/2006/relationships/hyperlink" Target="https://www.afdb.fr/comisa-88-20-580-kit-sertissage-tube-multicouche-16x2-1-2-comisa-88-20-580_SKU610221.html" TargetMode="External"/><Relationship Id="rId4" Type="http://schemas.openxmlformats.org/officeDocument/2006/relationships/hyperlink" Target="https://www.afdb.fr/comisa-kit-sertissage-comisa-tube-multicouche-88-20-580_SKUM40372.html" TargetMode="External"/><Relationship Id="rId5" Type="http://schemas.openxmlformats.org/officeDocument/2006/relationships/hyperlink" Target="https://www.afdb.fr/garis-3315-12-14-raccord-droit-souder-per-tube-cuivre-12-tc-14-garis-3315-12-14_SKU762105.html" TargetMode="External"/><Relationship Id="rId6" Type="http://schemas.openxmlformats.org/officeDocument/2006/relationships/hyperlink" Target="https://www.chausson.fr/quincaillerie/renseignerraccord-multicouche-sertir-noyon-thiebault-coude-applique-multi-profils-16mm-laiton-p-724901-1" TargetMode="External"/><Relationship Id="rId7" Type="http://schemas.openxmlformats.org/officeDocument/2006/relationships/hyperlink" Target="https://www.afdb.fr/giacomini-r179x051-raccord-compression-tube-per-16-20-16-collecteur-giacomini-r170x051_SKU166160.html" TargetMode="External"/><Relationship Id="rId8" Type="http://schemas.openxmlformats.org/officeDocument/2006/relationships/hyperlink" Target="https://www.afdb.fr/garis-3312-16-12-manchon-reduit-sertir-tube-per-16-12-garis-3312-16-12_SKU762093.html" TargetMode="External"/><Relationship Id="rId9" Type="http://schemas.openxmlformats.org/officeDocument/2006/relationships/hyperlink" Target="https://www.afdb.fr/garis-3312-16-12-manchon-reduit-sertir-tube-per-16-12-garis-3312-16-12_SKU762093.html" TargetMode="External"/><Relationship Id="rId10" Type="http://schemas.openxmlformats.org/officeDocument/2006/relationships/hyperlink" Target="https://www.afdb.fr/boutte-3417152-raccord-bague-laiton-biconique-male-1-4-6-mm-boutte-3417152_SKU658223.html" TargetMode="External"/><Relationship Id="rId11" Type="http://schemas.openxmlformats.org/officeDocument/2006/relationships/hyperlink" Target="https://www.laplateforme.com/catalogue/produit/2190" TargetMode="External"/><Relationship Id="rId12" Type="http://schemas.openxmlformats.org/officeDocument/2006/relationships/hyperlink" Target="https://www.pointp.fr/p/decoration-interieure/robinet-d-arret-equerre-a-1-4-de-tour-male-femelle-chrome-12x17mm-A1086868" TargetMode="External"/><Relationship Id="rId13" Type="http://schemas.openxmlformats.org/officeDocument/2006/relationships/hyperlink" Target="https://www.chausson.fr/quincaillerie/vanne-boisseau-double-femelle-laiton-spherique-avec-purge-20x27mm-manette-rouge-p-683962-1" TargetMode="External"/><Relationship Id="rId14" Type="http://schemas.openxmlformats.org/officeDocument/2006/relationships/hyperlink" Target="https://www.pointp.fr/p/decoration-interieure/mitigeur-lavabo-primeo-3-c3-avec-vidage-A3309186" TargetMode="External"/><Relationship Id="rId15" Type="http://schemas.openxmlformats.org/officeDocument/2006/relationships/hyperlink" Target="https://www.chausson.fr/quincaillerie/mitigeur-devier-cuisine-pola-bec-bas-douchette-chrome-p-818043-1" TargetMode="External"/><Relationship Id="rId16" Type="http://schemas.openxmlformats.org/officeDocument/2006/relationships/hyperlink" Target="https://www.pointp.fr/p/decoration-interieure/mitigeur-thermostatique-douche-primeo-3-A3309193" TargetMode="External"/><Relationship Id="rId17" Type="http://schemas.openxmlformats.org/officeDocument/2006/relationships/hyperlink" Target="https://www.pointp.fr/p/salle-de-bain-wc-plomberie/robinet-temporise-tempostop-de-lavabo-mural-15-x-21-debit-4-litres-par-minutes-corps-en-laiton-massif-chrome-ref-746000-A1031612" TargetMode="External"/><Relationship Id="rId18" Type="http://schemas.openxmlformats.org/officeDocument/2006/relationships/hyperlink" Target="https://www.afdb.fr/garis-flexibles-sanitaire-acs-femelle-femelle-garis_SKUM1473.html" TargetMode="External"/><Relationship Id="rId19" Type="http://schemas.openxmlformats.org/officeDocument/2006/relationships/hyperlink" Target="https://www.pointp.fr/p/materiaux-bois-gros-oeuvre/tube-evacuation-pvc-gris-nfe-nf-me-diametre-40mm-longueur-2m-ref-sg734430-A6781887" TargetMode="External"/><Relationship Id="rId20" Type="http://schemas.openxmlformats.org/officeDocument/2006/relationships/hyperlink" Target="https://www.pointp.fr/p/materiaux-gros-oeuvre/tube-evacuation-pvc-nfe-nfme-cr4-diametre-100-mm-longueur-2m-ref-37339-A6426559" TargetMode="External"/><Relationship Id="rId21" Type="http://schemas.openxmlformats.org/officeDocument/2006/relationships/hyperlink" Target="https://www.pointp.fr/p/gros-oeuvre-bpe-voirie-tp/coude-d-evacuation-pvc-mf-45-100-mm-A6308889" TargetMode="External"/><Relationship Id="rId22" Type="http://schemas.openxmlformats.org/officeDocument/2006/relationships/hyperlink" Target="https://www.afdb.fr/nicoll-bt16gt-culotte-pvc-simple-male-femelle-100-mm-gris-nicoll-bt16gt_SKU215368.html" TargetMode="External"/><Relationship Id="rId23" Type="http://schemas.openxmlformats.org/officeDocument/2006/relationships/hyperlink" Target="https://www.afdb.fr/nicoll-sc456-siphon-sol-faible-hauteur-15x15-cm-gris-fonce-nicoll-sc456_SKU076653.html" TargetMode="External"/><Relationship Id="rId24" Type="http://schemas.openxmlformats.org/officeDocument/2006/relationships/hyperlink" Target="https://www.afdb.fr/valentin-00-610300-001-00-siphon-lavabo-plastique-blanc-reglable-48-103-mm-d32-valentin-00-610300-001-00_SKU064820.html" TargetMode="External"/><Relationship Id="rId25" Type="http://schemas.openxmlformats.org/officeDocument/2006/relationships/hyperlink" Target="https://www.laplateforme.com/catalogue/produit/30699" TargetMode="External"/><Relationship Id="rId26" Type="http://schemas.openxmlformats.org/officeDocument/2006/relationships/hyperlink" Target="https://www.afdb.fr/selection-2676-colle-raccord-pvc-gel-pot-metal-500-ml-unecol-2676_SKU858356.html" TargetMode="External"/><Relationship Id="rId27" Type="http://schemas.openxmlformats.org/officeDocument/2006/relationships/hyperlink" Target="https://www.pointp.fr/p/salle-de-bain-wc-plomberie/couvre-joint-lateral-lavabo-collectif-lg-40-cm-ceramique-blanc-ref-763000000-A1023234" TargetMode="External"/><Relationship Id="rId28" Type="http://schemas.openxmlformats.org/officeDocument/2006/relationships/hyperlink" Target="https://www.pointp.fr/p/salle-de-bain-wc-sanitaires/vasque-a-poser-lave-mains-mini-alterna-plenitude-blanc-brillant-A4936878" TargetMode="External"/><Relationship Id="rId29" Type="http://schemas.openxmlformats.org/officeDocument/2006/relationships/hyperlink" Target="https://www.afdb.fr/geberit-111-791-00-2-bati-support-duofix-wc-suspendu-geberit-111-791-00-2_SKU869195.html" TargetMode="External"/><Relationship Id="rId30" Type="http://schemas.openxmlformats.org/officeDocument/2006/relationships/hyperlink" Target="https://www.afdb.fr/vitra-8200b003-0075-cuvette-wc-poser-sortie-horizontale-normus-vitra-6858l003-1028_SKU390127.html" TargetMode="External"/><Relationship Id="rId31" Type="http://schemas.openxmlformats.org/officeDocument/2006/relationships/hyperlink" Target="https://www.afdb.fr/olfa-7ma0001-abattant-wc-marine-double-blanc-olfa-7ma0001_SKU430325.html" TargetMode="External"/><Relationship Id="rId32" Type="http://schemas.openxmlformats.org/officeDocument/2006/relationships/hyperlink" Target="https://www.pointp.fr/p/salle-de-bain-wc-sanitaires/receveur-de-douche-carre-alterna-concerto-blanc-90x90-ep-4-5-cm-pn12-classe-a-ref-0-A4955199" TargetMode="External"/><Relationship Id="rId33" Type="http://schemas.openxmlformats.org/officeDocument/2006/relationships/hyperlink" Target="https://www.chausson.fr/materiaux/bande-etanche-marmox-parois-receveur-douche-p-785336-1" TargetMode="External"/><Relationship Id="rId34" Type="http://schemas.openxmlformats.org/officeDocument/2006/relationships/hyperlink" Target="https://www.afdb.fr/franke-013939-evier-monocuve-inox-man711-1000-egouttoir-1000-x-600-cm-poser-franke-013939_SKU379281.html" TargetMode="External"/><Relationship Id="rId35" Type="http://schemas.openxmlformats.org/officeDocument/2006/relationships/hyperlink" Target="https://www.afdb.fr/ariston-3000784-chauffe-eau-electrique-200-initio-xpert-blinde-vertical-socle-d570-mm-ariston-3000784_SKU859859.html" TargetMode="External"/><Relationship Id="rId36" Type="http://schemas.openxmlformats.org/officeDocument/2006/relationships/hyperlink" Target="https://www.afdb.fr/ariston-3010782-chauffe-eau-electrique-100-initio-xpert-blinde-horizontal-mural-d560-mm-ariston-3010782_SKU859873.html" TargetMode="External"/><Relationship Id="rId37" Type="http://schemas.openxmlformats.org/officeDocument/2006/relationships/hyperlink" Target="https://www.laplateforme.com/catalogue/produit/73687" TargetMode="External"/><Relationship Id="rId38" Type="http://schemas.openxmlformats.org/officeDocument/2006/relationships/hyperlink" Target="https://www.afdb.fr/renson-international-u2r-854293-pompe-relevage-eaux-chargees-0-75-kw-inox-12-h-renson-854293_SKU739391.html" TargetMode="External"/><Relationship Id="rId39" Type="http://schemas.openxmlformats.org/officeDocument/2006/relationships/hyperlink" Target="https://www.afdb.fr/actana-multicollecto-broyeur-independant-3-entrees-sanitaire-sfa-multicollecto_SKU760199.html" TargetMode="External"/><Relationship Id="rId40" Type="http://schemas.openxmlformats.org/officeDocument/2006/relationships/hyperlink" Target="https://www.afdb.fr/sirius-104106-assortiment-joint-ptfe-teflon-o-3-8-o-1-1-2-sachet-100-pieces-sirius-104106_SKU087731.html" TargetMode="External"/><Relationship Id="rId41" Type="http://schemas.openxmlformats.org/officeDocument/2006/relationships/hyperlink" Target="https://www.afdb.fr/pont-mousson-pate-lubrifiante-pam-joints-sbr-tuyaux-fonte-ftb01723_SKUM127637.html" TargetMode="External"/><Relationship Id="rId42" Type="http://schemas.openxmlformats.org/officeDocument/2006/relationships/hyperlink" Target="https://www.chausson.fr/quincaillerie/collier-isophonique-simple-tuyauteries-diametre14-mm-acier-zingue-blanc-x20-p-776520-1" TargetMode="External"/><Relationship Id="rId43" Type="http://schemas.openxmlformats.org/officeDocument/2006/relationships/hyperlink" Target="https://www.chausson.fr/materiaux/tube-isolant-fendu-adhesif-encollage-bord-bord-ep32o22mm-p-474207-1" TargetMode="External"/><Relationship Id="rId44" Type="http://schemas.openxmlformats.org/officeDocument/2006/relationships/drawing" Target="../drawings/drawing8.xml"/>
</Relationships>
</file>

<file path=xl/worksheets/_rels/sheet14.xml.rels><?xml version="1.0" encoding="UTF-8"?>
<Relationships xmlns="http://schemas.openxmlformats.org/package/2006/relationships"><Relationship Id="rId1" Type="http://schemas.openxmlformats.org/officeDocument/2006/relationships/hyperlink" Target="https://www.pointp.fr/p/electricite-ventilation/radiateur-electrique-fluide-altech-horizontal-1500w-blanc-A4812110" TargetMode="External"/><Relationship Id="rId2" Type="http://schemas.openxmlformats.org/officeDocument/2006/relationships/hyperlink" Target="https://www.rexel.fr/frx/search?text=" TargetMode="External"/><Relationship Id="rId3" Type="http://schemas.openxmlformats.org/officeDocument/2006/relationships/hyperlink" Target="https://www.pointp.fr/p/decoration-interieure/radiateur-seche-serviettes-electrique-primeo2-944-x-500-mm-blanc-A6841973" TargetMode="External"/><Relationship Id="rId4" Type="http://schemas.openxmlformats.org/officeDocument/2006/relationships/hyperlink" Target="https://www.afdb.fr/atlantic-423535-radiateur-electrique-panneau-rayonnant-horizontal-solius-digital-1000-w-atlantic-423535_SKU786919.html" TargetMode="External"/><Relationship Id="rId5" Type="http://schemas.openxmlformats.org/officeDocument/2006/relationships/hyperlink" Target="https://www.afdb.fr/comap-r809603-robinet-radiateur-thermostatique-droit-3-8-comap-r809603_SKU408425.html" TargetMode="External"/><Relationship Id="rId6" Type="http://schemas.openxmlformats.org/officeDocument/2006/relationships/hyperlink" Target="https://www.afdb.fr/comap-429303-coude-reglage-radiateur-3-fonctions-droit-nickele-3-8-comap-429303_SKU408419.html" TargetMode="External"/><Relationship Id="rId7" Type="http://schemas.openxmlformats.org/officeDocument/2006/relationships/hyperlink" Target="https://www.afdb.fr/giacomini-r200x001-purgeur-air-automatique-radiateurs-r200-giacomini-r200x002_SKU166790.html" TargetMode="External"/><Relationship Id="rId8" Type="http://schemas.openxmlformats.org/officeDocument/2006/relationships/hyperlink" Target="https://www.afdb.fr/thermador-eva24070180-circulateur-electronique-chauffage-evosta-2-entraxe-180-mm-thermador-eva24070180_SKU759652.html" TargetMode="External"/><Relationship Id="rId9" Type="http://schemas.openxmlformats.org/officeDocument/2006/relationships/hyperlink" Target="https://www.pointp.fr/p/outils-equipement-accessoires/gaz-neutre-m414-aerosol-de-360-ml-A6270125" TargetMode="External"/><Relationship Id="rId10" Type="http://schemas.openxmlformats.org/officeDocument/2006/relationships/hyperlink" Target="https://www.chausson.fr/materiaux/thermostat-dambiance-ta2-p-449256-1" TargetMode="External"/><Relationship Id="rId11" Type="http://schemas.openxmlformats.org/officeDocument/2006/relationships/hyperlink" Target="https://www.pointp.fr/p/electricite-plomberie-sanitaire/vmc-simple-flux-autoreglable-deco-2-n-ref-604140-A6862455" TargetMode="External"/><Relationship Id="rId12" Type="http://schemas.openxmlformats.org/officeDocument/2006/relationships/hyperlink" Target="https://www.pointp.fr/p/couverture/bouche-d-extraction-ou-insufflation-pour-cuisine-diametre-125mm-A1747176" TargetMode="External"/><Relationship Id="rId13" Type="http://schemas.openxmlformats.org/officeDocument/2006/relationships/hyperlink" Target="https://www.afdb.fr/autogyre-400640-bouche-extraction-sanitaire-80-mm-autogyre-400640_SKU666110.html" TargetMode="External"/><Relationship Id="rId14" Type="http://schemas.openxmlformats.org/officeDocument/2006/relationships/hyperlink" Target="https://www.afdb.fr/unelvent-813922-gaine-souple-pvc-isolees-serie-gp-125-p-813922_SKU647683.html" TargetMode="External"/><Relationship Id="rId15" Type="http://schemas.openxmlformats.org/officeDocument/2006/relationships/hyperlink" Target="https://www.afdb.fr/ks-tools-150-1330-jeu-6-extracteurs-goujons-goujons-m3-m24-ks-tools-150-1330_SKU806962.html" TargetMode="External"/><Relationship Id="rId16" Type="http://schemas.openxmlformats.org/officeDocument/2006/relationships/hyperlink" Target="https://www.afdb.fr/porcher-d2500aa-mitigeur-bain-douche-olyos-mural-aerateur-integre-porcher-d2500aa_SKU863720.html" TargetMode="External"/><Relationship Id="rId17" Type="http://schemas.openxmlformats.org/officeDocument/2006/relationships/hyperlink" Target="https://www.pointp.fr/p/couverture/habillage-pour-grille-de-ventilation-ref-gvh-55000278-A3051510" TargetMode="External"/><Relationship Id="rId18" Type="http://schemas.openxmlformats.org/officeDocument/2006/relationships/hyperlink" Target="https://www.pointp.fr/p/couverture/chapeau-de-ventilation-ucc10-pvc-ardoise-embase-100-mm-A1734270" TargetMode="External"/><Relationship Id="rId19" Type="http://schemas.openxmlformats.org/officeDocument/2006/relationships/hyperlink" Target="https://www.afdb.fr/bosch-ensemble-mono-split-climate-6000i-bosch-groupe-exterieur-unite-interieure_SKUM216116.html" TargetMode="External"/><Relationship Id="rId20" Type="http://schemas.openxmlformats.org/officeDocument/2006/relationships/hyperlink" Target="https://www.afdb.fr/sfa-sk6-pompe-relevage-condensats-sanicondens-pro-6-2-min-sfa-sk6_SKU390823.html" TargetMode="External"/><Relationship Id="rId21" Type="http://schemas.openxmlformats.org/officeDocument/2006/relationships/hyperlink" Target="https://www.afdb.fr/selection-04-blwc80-sortie-murale-goulotte-80mm-climatisation-mc-distribution-04-blwc80_SKU857861.html" TargetMode="External"/><Relationship Id="rId22" Type="http://schemas.openxmlformats.org/officeDocument/2006/relationships/hyperlink" Target="https://www.afdb.fr/elm-leblanc-7716780358-ser-50-sonde-temperature-exterieure_SKU845383.html" TargetMode="External"/><Relationship Id="rId23" Type="http://schemas.openxmlformats.org/officeDocument/2006/relationships/hyperlink" Target="https://www.afdb.fr/selection-802-02-manometre-radial-8-13-d50-4-bar-802-02_SKU390004.html" TargetMode="External"/><Relationship Id="rId24" Type="http://schemas.openxmlformats.org/officeDocument/2006/relationships/drawing" Target="../drawings/drawing9.xml"/>
</Relationships>
</file>

<file path=xl/worksheets/_rels/sheet15.xml.rels><?xml version="1.0" encoding="UTF-8"?>
<Relationships xmlns="http://schemas.openxmlformats.org/package/2006/relationships"><Relationship Id="rId1" Type="http://schemas.openxmlformats.org/officeDocument/2006/relationships/hyperlink" Target="https://www.prolians.fr/catalogsearch/result/?q=" TargetMode="External"/><Relationship Id="rId2" Type="http://schemas.openxmlformats.org/officeDocument/2006/relationships/hyperlink" Target="https://www.pointp.fr/p/quincaillerie/serrure-applque-pdt-1-2t-140x80-g-1cles-A4931835" TargetMode="External"/><Relationship Id="rId3" Type="http://schemas.openxmlformats.org/officeDocument/2006/relationships/hyperlink" Target="https://www.prolians.fr/catalogsearch/result/?q=" TargetMode="External"/><Relationship Id="rId4" Type="http://schemas.openxmlformats.org/officeDocument/2006/relationships/hyperlink" Target="https://www.chausson.fr/quincaillerie/cylindre-bouton-abus-b5lt-titalium-5goupilles-profil-europeen-30x30mm-p-227003-1" TargetMode="External"/><Relationship Id="rId5" Type="http://schemas.openxmlformats.org/officeDocument/2006/relationships/hyperlink" Target="https://www.chausson.fr/quincaillerie/cylindre-bouton-abus-b5lt-titalium-5goupilles-profil-europeen-30x30mm-p-227003-1" TargetMode="External"/><Relationship Id="rId6" Type="http://schemas.openxmlformats.org/officeDocument/2006/relationships/hyperlink" Target="https://www.prolians.fr/catalogsearch/result/?q=17321757" TargetMode="External"/><Relationship Id="rId7" Type="http://schemas.openxmlformats.org/officeDocument/2006/relationships/hyperlink" Target="https://www.pointp.fr/p/quincaillerie/verrou-eco-trident-avec-simple-bouton-emballage-boite-carton-ref-00802002-A4934544" TargetMode="External"/><Relationship Id="rId8" Type="http://schemas.openxmlformats.org/officeDocument/2006/relationships/hyperlink" Target="https://www.chausson.fr/quincaillerie/serrure-larder-point-pene-dormant-rouleau-cylindre-europeen-gache-electrique-metalux-p-711381-1" TargetMode="External"/><Relationship Id="rId9" Type="http://schemas.openxmlformats.org/officeDocument/2006/relationships/hyperlink" Target="https://www.chausson.fr/quincaillerie/serrure-larder-point-pene-dormant-rouleau-cylindre-europeen-gache-electrique-metalux-p-711381-1" TargetMode="External"/><Relationship Id="rId10" Type="http://schemas.openxmlformats.org/officeDocument/2006/relationships/hyperlink" Target="https://www.afdb.fr/eff-eff-bva300nas-ventouse-electromagnetique-300-kg-24-v-eff-eff-bva300nas_SKU569639.html" TargetMode="External"/><Relationship Id="rId11" Type="http://schemas.openxmlformats.org/officeDocument/2006/relationships/hyperlink" Target="https://www.prolians.fr/catalogsearch/result/?q=" TargetMode="External"/><Relationship Id="rId12" Type="http://schemas.openxmlformats.org/officeDocument/2006/relationships/hyperlink" Target="https://www.afdb.fr/heracles-ferme-porte-10-bras-compas-argent-heracles-first_SKUM96877.html" TargetMode="External"/><Relationship Id="rId13" Type="http://schemas.openxmlformats.org/officeDocument/2006/relationships/hyperlink" Target="https://www.chausson.fr/quincaillerie/plaque-support-din-profil-metallique-groom-ferme-porte-3400-3500-p-667966-1" TargetMode="External"/><Relationship Id="rId14" Type="http://schemas.openxmlformats.org/officeDocument/2006/relationships/hyperlink" Target="https://www.chausson.fr/quincaillerie/barre-anti-panique-1point-longueur-1165mm-aluminium-anodise-p-722048-1" TargetMode="External"/><Relationship Id="rId15" Type="http://schemas.openxmlformats.org/officeDocument/2006/relationships/hyperlink" Target="https://www.chausson.fr/quincaillerie/barre-anti-panique-3points-lateraux-fluid-longueur-1165-mm-aluminium-anodise-p-722054-1" TargetMode="External"/><Relationship Id="rId16" Type="http://schemas.openxmlformats.org/officeDocument/2006/relationships/hyperlink" Target="https://www.chausson.fr/quincaillerie/poignee-porte-interieure-vachette-lc3-bequille-coudee-arrondie-avec-retour-sur-rosace-ronde-inox-brosse-p-811889-1" TargetMode="External"/><Relationship Id="rId17" Type="http://schemas.openxmlformats.org/officeDocument/2006/relationships/hyperlink" Target="https://www.pointp.fr/p/quincaillerie/bequille-double-c8x110mm-1p-noir-ref-00903476-A4651104" TargetMode="External"/><Relationship Id="rId18" Type="http://schemas.openxmlformats.org/officeDocument/2006/relationships/hyperlink" Target="https://www.prolians.fr/catalogsearch/result/?q=" TargetMode="External"/><Relationship Id="rId19" Type="http://schemas.openxmlformats.org/officeDocument/2006/relationships/hyperlink" Target="https://www.afdb.fr/faure-fils-164n120-11l-paumelle-164-120-x-11-mm-gauche-faure-fils-164n120-11l_SKU394340.html" TargetMode="External"/><Relationship Id="rId20" Type="http://schemas.openxmlformats.org/officeDocument/2006/relationships/hyperlink" Target="https://www.chausson.fr/quincaillerie/butoir-porte-caoutchouc-blanc-31x35mm-p-722102-1" TargetMode="External"/><Relationship Id="rId21" Type="http://schemas.openxmlformats.org/officeDocument/2006/relationships/hyperlink" Target="https://www.afdb.fr/heracles-8545_g5-selecteur-fermeture-argent-heracles-f-8535-arg_SKU409914.html" TargetMode="External"/><Relationship Id="rId22" Type="http://schemas.openxmlformats.org/officeDocument/2006/relationships/hyperlink" Target="https://www.chausson.fr/materiaux/ossature-plafonds-porteur-dx24-p-598049-1" TargetMode="External"/><Relationship Id="rId23" Type="http://schemas.openxmlformats.org/officeDocument/2006/relationships/hyperlink" Target="https://www.prolians.fr/catalogsearch/result/?q=" TargetMode="External"/><Relationship Id="rId24" Type="http://schemas.openxmlformats.org/officeDocument/2006/relationships/hyperlink" Target="https://www.afdb.fr/prefer-6221-001z-0000-serrure-rideau-metallique-profil-europeen-prefer-6221-001z-0000_SKU218273.html" TargetMode="External"/><Relationship Id="rId25" Type="http://schemas.openxmlformats.org/officeDocument/2006/relationships/hyperlink" Target="https://www.afdb.fr/cherubini-73117004ach00-treuil-vis-fin-10-1-volet-roulant-modele-c10-6p7-afc-zamak-cherubini-73117004ach00_SKU618589.html" TargetMode="External"/><Relationship Id="rId26" Type="http://schemas.openxmlformats.org/officeDocument/2006/relationships/hyperlink" Target="https://www.chausson.fr/quincaillerie/cadenas-type-corps-laiton-40-mm-grade-anse-acier-cemente-cles-thirard-p-152514-1" TargetMode="External"/><Relationship Id="rId27" Type="http://schemas.openxmlformats.org/officeDocument/2006/relationships/hyperlink" Target="https://www.afdb.fr/heracles-i-cad-l40-cadenas-anse-haute-longo-longueur-40-mm-heracles-i-cad-l40_SKU488441.html" TargetMode="External"/><Relationship Id="rId28" Type="http://schemas.openxmlformats.org/officeDocument/2006/relationships/hyperlink" Target="https://www.afdb.fr/dinac-1306100-corniere-angle-25-x-25-mm-adhesive-acier-blanc-3-dinac-1306100_SKU793735.html" TargetMode="External"/><Relationship Id="rId29" Type="http://schemas.openxmlformats.org/officeDocument/2006/relationships/hyperlink" Target="https://www.afdb.fr/ultima-visser-fixer-coller-afb7981az2965-vis-tole-tete-cylindrique-large-acier-zingue-blanc-din-7981-2-9x6-5-boite-500-ultima-afb7981az2965_SKU617054.html" TargetMode="External"/><Relationship Id="rId30" Type="http://schemas.openxmlformats.org/officeDocument/2006/relationships/hyperlink" Target="https://www.afdb.fr/lincoln-electric-france-sas-saf-c11040-12-1-electrode-rutile-6013-acier-2-5-mm-etui-250-pieces-bester-c11040-12-1_SKU839000.html" TargetMode="External"/><Relationship Id="rId31" Type="http://schemas.openxmlformats.org/officeDocument/2006/relationships/hyperlink" Target="https://www.afdb.fr/bosch-2608619257-disque-tronconner-x-lock-metal-125-x-2-5-mm-tronconner-bosch-2608619257_SKU751555.html" TargetMode="External"/><Relationship Id="rId32" Type="http://schemas.openxmlformats.org/officeDocument/2006/relationships/hyperlink" Target="https://www.afdb.fr/sinto-901222-peinture-antirouille-sintofer-0-75-gris-lumineux-sinto-901222_SKU589351.html" TargetMode="External"/><Relationship Id="rId33" Type="http://schemas.openxmlformats.org/officeDocument/2006/relationships/drawing" Target="../drawings/drawing10.xml"/>
</Relationships>
</file>

<file path=xl/worksheets/_rels/sheet16.xml.rels><?xml version="1.0" encoding="UTF-8"?>
<Relationships xmlns="http://schemas.openxmlformats.org/package/2006/relationships"><Relationship Id="rId1" Type="http://schemas.openxmlformats.org/officeDocument/2006/relationships/hyperlink" Target="https://www.afdb.fr/novap-4120393-panneau-extincteur-330-x-75-mm-novap-4120393_SKU535476.html" TargetMode="External"/><Relationship Id="rId2" Type="http://schemas.openxmlformats.org/officeDocument/2006/relationships/hyperlink" Target="https://www.afdb.fr/selection-16458-09-extincteur-poudre-abc-6-kg-16458-9_SKU477811.html" TargetMode="External"/><Relationship Id="rId3" Type="http://schemas.openxmlformats.org/officeDocument/2006/relationships/hyperlink" Target="https://www.afdb.fr/novap-4120393-panneau-extincteur-330-x-75-mm-novap-4120393_SKU535476.html" TargetMode="External"/><Relationship Id="rId4" Type="http://schemas.openxmlformats.org/officeDocument/2006/relationships/hyperlink" Target="https://www.prolians.fr/catalogsearch/result/?q=" TargetMode="External"/><Relationship Id="rId5" Type="http://schemas.openxmlformats.org/officeDocument/2006/relationships/hyperlink" Target="https://www.afdb.fr/neutronic-4700-capot-protection-polycarbonate-declencheur-manuel-neutronic-4700_SKU570038.html" TargetMode="External"/><Relationship Id="rId6" Type="http://schemas.openxmlformats.org/officeDocument/2006/relationships/hyperlink" Target="https://www.afdb.fr/heracles-ard-kit-kit-centrale-alarme-heracles-ard-kit_SKU390491.html" TargetMode="External"/><Relationship Id="rId7" Type="http://schemas.openxmlformats.org/officeDocument/2006/relationships/hyperlink" Target="https://www.prolians.fr/catalogsearch/result/?q=57811889" TargetMode="External"/><Relationship Id="rId8" Type="http://schemas.openxmlformats.org/officeDocument/2006/relationships/hyperlink" Target="https://www.afdb.fr/soudal-146752-mousse-pu-soudafoam-fr-hy-manuelle-coupe-feu-750-ml-soudal-146752_SKU550367.html" TargetMode="External"/><Relationship Id="rId9" Type="http://schemas.openxmlformats.org/officeDocument/2006/relationships/hyperlink" Target="https://www.pointp.fr/p/outillage-quincaillerie/mastic-d-etancheite-coupe-feu-pour-joint-de-construction-rubson-A3185095" TargetMode="External"/><Relationship Id="rId10" Type="http://schemas.openxmlformats.org/officeDocument/2006/relationships/hyperlink" Target="https://www.rexel.fr/frx/search?text=" TargetMode="External"/><Relationship Id="rId11" Type="http://schemas.openxmlformats.org/officeDocument/2006/relationships/drawing" Target="../drawings/drawing11.xml"/>
</Relationships>
</file>

<file path=xl/worksheets/_rels/sheet17.xml.rels><?xml version="1.0" encoding="UTF-8"?>
<Relationships xmlns="http://schemas.openxmlformats.org/package/2006/relationships"><Relationship Id="rId1" Type="http://schemas.openxmlformats.org/officeDocument/2006/relationships/hyperlink" Target="https://www.pointp.fr/p/platre-isolation-ite/plaque-de-platre-pregydro-ba13-siniat-hydrofuge-2-0x1-2-m-ep-13-mm-A3257627" TargetMode="External"/><Relationship Id="rId2" Type="http://schemas.openxmlformats.org/officeDocument/2006/relationships/hyperlink" Target="https://www.pointp.fr/p/platre-isolation-ite/plaque-de-platre-placoflam-ba-13-2-4x1-2-m-ep-13-mm-A3039149" TargetMode="External"/><Relationship Id="rId3" Type="http://schemas.openxmlformats.org/officeDocument/2006/relationships/hyperlink" Target="https://www.laplateforme.com/catalogue/produit/45734" TargetMode="External"/><Relationship Id="rId4" Type="http://schemas.openxmlformats.org/officeDocument/2006/relationships/hyperlink" Target="https://www.sfic.com/search?q=" TargetMode="External"/><Relationship Id="rId5" Type="http://schemas.openxmlformats.org/officeDocument/2006/relationships/hyperlink" Target="https://www.pointp.fr/p/platre-isolation-ite/montant-metallique-pour-plaque-de-platre-pregymetal-48-35-6-2-A3097973" TargetMode="External"/><Relationship Id="rId6" Type="http://schemas.openxmlformats.org/officeDocument/2006/relationships/hyperlink" Target="https://www.chausson.fr/materiaux/fourrure-placo-stil-f530-plafond-doublage-p-201253-1" TargetMode="External"/><Relationship Id="rId7" Type="http://schemas.openxmlformats.org/officeDocument/2006/relationships/hyperlink" Target="https://www.afdb.fr/pai-sl47nt170-suspente-longue-170-mm-fourrure-17-47-acier-galvanise-epaisseur-0-75-mm-boite-100-pai-sl47nt170_SKU639777.html" TargetMode="External"/><Relationship Id="rId8" Type="http://schemas.openxmlformats.org/officeDocument/2006/relationships/hyperlink" Target="https://www.pointp.fr/p/revetements-sols-et-murs/corniere-egale-pvc-blanc-30x30mm-l-2-6m-A1705220" TargetMode="External"/><Relationship Id="rId9" Type="http://schemas.openxmlformats.org/officeDocument/2006/relationships/hyperlink" Target="https://www.sfic.com/search?q=" TargetMode="External"/><Relationship Id="rId10" Type="http://schemas.openxmlformats.org/officeDocument/2006/relationships/hyperlink" Target="https://www.pointp.fr/p/platre-isolation/panneau-en-laine-de-roche-nu-rockmur-100-1-35x0-6m-r-2-85-m2-k-w-acermi-02-015-021-A7784984" TargetMode="External"/><Relationship Id="rId11" Type="http://schemas.openxmlformats.org/officeDocument/2006/relationships/hyperlink" Target="https://www.pointp.fr/p/platre-isolation-ite/panneau-isolant-pour-ite-therm-itex-th-38-se-pse-blanc-1-2x0-6-m-ep-20-mm-r-0-5-m2-k-w-A3288147" TargetMode="External"/><Relationship Id="rId12" Type="http://schemas.openxmlformats.org/officeDocument/2006/relationships/hyperlink" Target="https://www.pointp.fr/p/platre-isolation-ite/isolant-thermique-airflex-kdb-rouleau-25x1-2-m-ep-10-mm-r-1-48-A1779819" TargetMode="External"/><Relationship Id="rId13" Type="http://schemas.openxmlformats.org/officeDocument/2006/relationships/hyperlink" Target="https://www.afdb.fr/duralex-101100303-enduit-acrylique-lissage-rebouchage-1-kg-duralex-101100303_SKU438515.html" TargetMode="External"/><Relationship Id="rId14" Type="http://schemas.openxmlformats.org/officeDocument/2006/relationships/hyperlink" Target="https://www.afdb.fr/bostik-30604301-enduit-lissage-poudre-sac-2-5-kg-bostik-30604301_SKU738757.html" TargetMode="External"/><Relationship Id="rId15" Type="http://schemas.openxmlformats.org/officeDocument/2006/relationships/hyperlink" Target="https://www.pointp.fr/p/platre-isolation-ite/bande-a-joint-microperforee-et-prepliee-pour-plaque-de-platre-A3178707" TargetMode="External"/><Relationship Id="rId16" Type="http://schemas.openxmlformats.org/officeDocument/2006/relationships/hyperlink" Target="https://www.afdb.fr/pai-ba30-bande-armee-rouleau-30-pai-ba30_SKU740766.html" TargetMode="External"/><Relationship Id="rId17" Type="http://schemas.openxmlformats.org/officeDocument/2006/relationships/hyperlink" Target="https://www.afdb.fr/ultima-visser-fixer-coller-16300001-boite-1000-vis-ttpc-3-5-x-25-mm-fixation-plaques-platre-phillips-ultima-16300001_SKU751496.html" TargetMode="External"/><Relationship Id="rId18" Type="http://schemas.openxmlformats.org/officeDocument/2006/relationships/hyperlink" Target="https://www.pointp.fr/p/quincaillerie/vis-tete-trompette-pointe-clou-25x3-5-boite-de-1000-novipro-A4867819" TargetMode="External"/><Relationship Id="rId19" Type="http://schemas.openxmlformats.org/officeDocument/2006/relationships/hyperlink" Target="https://www.afdb.fr/spit-paslode-spit-050407-cheville-metallique-multi-materiaux-large-expansion-spit-paslode-050407_SKU688871.html" TargetMode="External"/><Relationship Id="rId20" Type="http://schemas.openxmlformats.org/officeDocument/2006/relationships/hyperlink" Target="https://www.afdb.fr/fischer-80188-cheville-bascule-kdh-5-crochet-fischer-80188_SKU591640.html" TargetMode="External"/><Relationship Id="rId21" Type="http://schemas.openxmlformats.org/officeDocument/2006/relationships/hyperlink" Target="https://www.pointp.fr/p/platre-isolation-ite/dalle-de-plafond-minerval-a-blanc-epaisseur-12-mm-600x600-mm-n-A6942791" TargetMode="External"/><Relationship Id="rId22" Type="http://schemas.openxmlformats.org/officeDocument/2006/relationships/hyperlink" Target="https://www.pointp.fr/p/platre-isolation-ite/entretoise-systeme-a-crochet-t24-2854s3001-38x24mm-longueur-1-A6787890" TargetMode="External"/><Relationship Id="rId23" Type="http://schemas.openxmlformats.org/officeDocument/2006/relationships/drawing" Target="../drawings/drawing12.xml"/>
</Relationships>
</file>

<file path=xl/worksheets/_rels/sheet18.xml.rels><?xml version="1.0" encoding="UTF-8"?>
<Relationships xmlns="http://schemas.openxmlformats.org/package/2006/relationships"><Relationship Id="rId1" Type="http://schemas.openxmlformats.org/officeDocument/2006/relationships/hyperlink" Target="https://www.afdb.fr/duralex-111100207-peinture-acrylique-duracryl-satin-dx-61-blanc-imperial-15-duralex-111100207_SKU438670.html" TargetMode="External"/><Relationship Id="rId2" Type="http://schemas.openxmlformats.org/officeDocument/2006/relationships/hyperlink" Target="https://www.afdb.fr/duralex-111100207-peinture-acrylique-duracryl-satin-dx-61-blanc-imperial-15-duralex-111100207_SKU438670.html" TargetMode="External"/><Relationship Id="rId3" Type="http://schemas.openxmlformats.org/officeDocument/2006/relationships/hyperlink" Target="https://www.afdb.fr/duralex-128100122-peinture-alkyde-acrylique-pochee-hydrodiluable-garnissant-velours-dx-g-3-duralex-128100122_SKU778641.html" TargetMode="External"/><Relationship Id="rId4" Type="http://schemas.openxmlformats.org/officeDocument/2006/relationships/hyperlink" Target="https://www.afdb.fr/duralex-108100502-laque-brillante-antirouille-finition-caravelle-blanc-1-duralex-108100502_SKU438554.html" TargetMode="External"/><Relationship Id="rId5" Type="http://schemas.openxmlformats.org/officeDocument/2006/relationships/hyperlink" Target="https://www.afdb.fr/sinto-920415-aerosol-couche-400ml-fer-metal-sinto-920415_SKU849280.html" TargetMode="External"/><Relationship Id="rId6" Type="http://schemas.openxmlformats.org/officeDocument/2006/relationships/hyperlink" Target="https://www.pointp.fr/p/revetements-sols-et-murs/peinture-facade-hydro-pliolite-blanc-base-w05-5l-ref-5358530-A7735562" TargetMode="External"/><Relationship Id="rId7" Type="http://schemas.openxmlformats.org/officeDocument/2006/relationships/hyperlink" Target="https://www.laplateforme.com/catalogue/produit/55996" TargetMode="External"/><Relationship Id="rId8" Type="http://schemas.openxmlformats.org/officeDocument/2006/relationships/hyperlink" Target="https://www.chausson.fr/quincaillerie/peinture-sol-trafic-extreme-satin-gris-fonce-25-p-665099-1" TargetMode="External"/><Relationship Id="rId9" Type="http://schemas.openxmlformats.org/officeDocument/2006/relationships/hyperlink" Target="https://www.chausson.fr/quincaillerie/rouleau-peinture-anti-goutte-extra-murs-plafonds-loutil-parfait-largeur-180mm-p-703815-1" TargetMode="External"/><Relationship Id="rId10" Type="http://schemas.openxmlformats.org/officeDocument/2006/relationships/hyperlink" Target="https://www.chausson.fr/quincaillerie/mini-rouleau-manchon-laqueur-velours-pure-laine-4mm-loutil-parfait-largeur-110mm-p-786837-1" TargetMode="External"/><Relationship Id="rId11" Type="http://schemas.openxmlformats.org/officeDocument/2006/relationships/hyperlink" Target="https://www.pointp.fr/p/outillage/manchon-250mm-mat-12mm-3-etoiles-ref-31255-A4175824" TargetMode="External"/><Relationship Id="rId12" Type="http://schemas.openxmlformats.org/officeDocument/2006/relationships/hyperlink" Target="https://www.chausson.fr/quincaillerie/pinceau-brosse-plate-epaisseur-moyenne-loutil-parfait-taille-50-soies-synthetiques-50-mm-p-703834-1" TargetMode="External"/><Relationship Id="rId13" Type="http://schemas.openxmlformats.org/officeDocument/2006/relationships/hyperlink" Target="https://www.chausson.fr/quincaillerie/grille-metal-bac-camion-peinture-loutil-parfait-acier-galvanise-largeur-180-mm-p-703787-1" TargetMode="External"/><Relationship Id="rId14" Type="http://schemas.openxmlformats.org/officeDocument/2006/relationships/hyperlink" Target="https://www.chausson.fr/quincaillerie/perche-telescopique-reglable-monture-rouleau-peinture-creuse-longueur-metres-p-703822-1" TargetMode="External"/><Relationship Id="rId15" Type="http://schemas.openxmlformats.org/officeDocument/2006/relationships/hyperlink" Target="https://www.afdb.fr/3m-101e18-ruban-adhesif-masquage-101e-50-x-18-mm-3m-101e18_SKU587250.html" TargetMode="External"/><Relationship Id="rId16" Type="http://schemas.openxmlformats.org/officeDocument/2006/relationships/hyperlink" Target="https://www.pointp.fr/p/materiaux-gros-oeuvre/film-de-protection-de-facade-ultibat-epaisseur-50&#181;-1x75m-soit-75m&#178;-A4868686" TargetMode="External"/><Relationship Id="rId17" Type="http://schemas.openxmlformats.org/officeDocument/2006/relationships/hyperlink" Target="https://www.afdb.fr/corderies-tournonaises-nbba0030ct-bache-protection-oeillet-4x5m-corderies-tournonaises-48640405_SKU483044.html" TargetMode="External"/><Relationship Id="rId18" Type="http://schemas.openxmlformats.org/officeDocument/2006/relationships/hyperlink" Target="https://www.chausson.fr/quincaillerie/papier-abrasif-perfore-corindon-ponceuse-vibrante-p-237926-1" TargetMode="External"/><Relationship Id="rId19" Type="http://schemas.openxmlformats.org/officeDocument/2006/relationships/hyperlink" Target="https://www.chausson.fr/quincaillerie/lessive-soude-decapage-decollage-debouchage-mieuxa-1l-p-745288-1" TargetMode="External"/><Relationship Id="rId20" Type="http://schemas.openxmlformats.org/officeDocument/2006/relationships/hyperlink" Target="https://www.laplateforme.com/catalogue/produit/2529" TargetMode="External"/><Relationship Id="rId21" Type="http://schemas.openxmlformats.org/officeDocument/2006/relationships/hyperlink" Target="https://www.afdb.fr/dalep-406001-decolleur-papier-peint-affiches-col-1-dalep-406001_SKU852936.html" TargetMode="External"/><Relationship Id="rId22" Type="http://schemas.openxmlformats.org/officeDocument/2006/relationships/drawing" Target="../drawings/drawing13.xml"/>
</Relationships>
</file>

<file path=xl/worksheets/_rels/sheet19.xml.rels><?xml version="1.0" encoding="UTF-8"?>
<Relationships xmlns="http://schemas.openxmlformats.org/package/2006/relationships"><Relationship Id="rId1" Type="http://schemas.openxmlformats.org/officeDocument/2006/relationships/hyperlink" Target="https://www.pointp.fr/p/carrelage-interieur/gres-cerame-emaille-arte-deco-carioca-blanc-60-x-60-cm-A4788269" TargetMode="External"/><Relationship Id="rId2" Type="http://schemas.openxmlformats.org/officeDocument/2006/relationships/hyperlink" Target="https://www.chausson.fr/materiaux/decor-faience-murale-effet-beton-cintas-20x60-cm-p-59382-2" TargetMode="External"/><Relationship Id="rId3" Type="http://schemas.openxmlformats.org/officeDocument/2006/relationships/hyperlink" Target="https://www.chausson.fr/materiaux/plinthe-carrelage-effet-parquet-new-derby-betulla-p-425230-1" TargetMode="External"/><Relationship Id="rId4" Type="http://schemas.openxmlformats.org/officeDocument/2006/relationships/hyperlink" Target="https://www.laplateforme.com/catalogue/produit/113449" TargetMode="External"/><Relationship Id="rId5" Type="http://schemas.openxmlformats.org/officeDocument/2006/relationships/hyperlink" Target="https://www.afdb.fr/bostik-30121641-joint-carrelage-fin-terrains-blanc-sac-5-kg-bostik-30121641_SKU738747.html" TargetMode="External"/><Relationship Id="rId6" Type="http://schemas.openxmlformats.org/officeDocument/2006/relationships/hyperlink" Target="https://www.afdb.fr/rubi-02901-sachet-300-croisillons-2-mm-joints-rubi-02901_SKU577850.html" TargetMode="External"/><Relationship Id="rId7" Type="http://schemas.openxmlformats.org/officeDocument/2006/relationships/hyperlink" Target="https://www.chausson.fr/materiaux/natte-desolidarisation-sous-carrelage-ditra-30m-p-199244-1" TargetMode="External"/><Relationship Id="rId8" Type="http://schemas.openxmlformats.org/officeDocument/2006/relationships/hyperlink" Target="https://www.chausson.fr/materiaux/systeme-detancheite-liquide-sous-carrelage-proli-imper-parexgroup-seau-kg-p-734731-1" TargetMode="External"/><Relationship Id="rId9" Type="http://schemas.openxmlformats.org/officeDocument/2006/relationships/hyperlink" Target="https://www.afdb.fr/starwax-pro-996-nettoyant-doux-1-parquets-sols-stratifies-starwax-996_SKU477046.html" TargetMode="External"/><Relationship Id="rId10" Type="http://schemas.openxmlformats.org/officeDocument/2006/relationships/hyperlink" Target="https://www.pointp.fr/p/revetements-sols-et-murs/sous-couche-quick-step-silent-walk-2-en-1-rouleau-de-7m2-ref-qsudlsw7-A6139272" TargetMode="External"/><Relationship Id="rId11" Type="http://schemas.openxmlformats.org/officeDocument/2006/relationships/hyperlink" Target="https://www.afdb.fr/selection-rcp1619-profil-bavette-pvc-plinthe-16-19-mm-translucide-2-60-rcp1619_SKU649588.html" TargetMode="External"/><Relationship Id="rId12" Type="http://schemas.openxmlformats.org/officeDocument/2006/relationships/hyperlink" Target="https://www.pointp.fr/p/decoration-interieure/barre-de-seuil-harmony-multiniveau-pin-oslo-41-93-ref-7721480-A6249310" TargetMode="External"/><Relationship Id="rId13" Type="http://schemas.openxmlformats.org/officeDocument/2006/relationships/hyperlink" Target="https://www.laplateforme.com/catalogue/produit/145840" TargetMode="External"/><Relationship Id="rId14" Type="http://schemas.openxmlformats.org/officeDocument/2006/relationships/hyperlink" Target="https://www.afdb.fr/rust-oleum-3302-0-75-primaire-accrochage-combiprimer-750-ml-rust-oleum-3302-0-75_SKU487178.html" TargetMode="External"/><Relationship Id="rId15" Type="http://schemas.openxmlformats.org/officeDocument/2006/relationships/drawing" Target="../drawings/drawing14.xml"/>
</Relationships>
</file>

<file path=xl/worksheets/_rels/sheet20.xml.rels><?xml version="1.0" encoding="UTF-8"?>
<Relationships xmlns="http://schemas.openxmlformats.org/package/2006/relationships"><Relationship Id="rId1" Type="http://schemas.openxmlformats.org/officeDocument/2006/relationships/hyperlink" Target="https://www.pointp.fr/p/menuiseries-interieures/bloc-porte-plane-alveolaire-resineux-prepeint-204x73-cm-poussant-A3495713" TargetMode="External"/><Relationship Id="rId2" Type="http://schemas.openxmlformats.org/officeDocument/2006/relationships/hyperlink" Target="https://www.pointp.fr/p/portes-fenetres-menuiserie/bloc-porte-alveolaire-prepeint-deg-3p110-serrure-pddt-axe-a-50-h-perf-88-54-j3c-e204x93g-A4661731" TargetMode="External"/><Relationship Id="rId3" Type="http://schemas.openxmlformats.org/officeDocument/2006/relationships/hyperlink" Target="https://www.pointp.fr/p/portes-fenetres-menuiserie/bloc-porte-de-service-europro-rev-2-paum-blanc-ral9016-serr-1pt-poign-et-garn-synth-noire-204x83cm-A1971317" TargetMode="External"/><Relationship Id="rId4" Type="http://schemas.openxmlformats.org/officeDocument/2006/relationships/hyperlink" Target="https://www.afdb.fr/bourg-789081-lame-universel-male-huisserie-metallique-droite-35-x-43-mm-acier-zingue-bourg-789081_SKU572453.html" TargetMode="External"/><Relationship Id="rId5" Type="http://schemas.openxmlformats.org/officeDocument/2006/relationships/hyperlink" Target="https://www.chausson.fr/materiaux/tasseau-sapin-nord-bois-traite-classe2-incolore-22mm-45mm-4200mm-p-545946-7" TargetMode="External"/><Relationship Id="rId6" Type="http://schemas.openxmlformats.org/officeDocument/2006/relationships/hyperlink" Target="https://www.chausson.fr/materiaux/panneau-osb-avec-bords-droits-sterlingosb3-zero-1250mm-2500mm-ep18-p-137186-1" TargetMode="External"/><Relationship Id="rId7" Type="http://schemas.openxmlformats.org/officeDocument/2006/relationships/hyperlink" Target="https://www.pointp.fr/p/bois-et-panneaux/mdf-medium-standard-mince-244x122cm-3mm-A6247116" TargetMode="External"/><Relationship Id="rId8" Type="http://schemas.openxmlformats.org/officeDocument/2006/relationships/hyperlink" Target="https://www.chausson.fr/materiaux/plinthe-arrondie-mdf-prepeint-blanc-p-768317-1" TargetMode="External"/><Relationship Id="rId9" Type="http://schemas.openxmlformats.org/officeDocument/2006/relationships/hyperlink" Target="https://www.chausson.fr/materiaux/baguette-arret-pvc-blanc-protection-chants-plaque-ba13-p-90913-1" TargetMode="External"/><Relationship Id="rId10" Type="http://schemas.openxmlformats.org/officeDocument/2006/relationships/hyperlink" Target="https://www.laplateforme.com/catalogue/produit/19700" TargetMode="External"/><Relationship Id="rId11" Type="http://schemas.openxmlformats.org/officeDocument/2006/relationships/hyperlink" Target="https://www.afdb.fr/blum-cou230450bc-coulisse-galets-30-kg-blanc-creme-sortie-simple-450-mm-blum-cou230450bc_SKU393316.html" TargetMode="External"/><Relationship Id="rId12" Type="http://schemas.openxmlformats.org/officeDocument/2006/relationships/hyperlink" Target="https://www.afdb.fr/comtra-verin-oleopneumatique-comtra-azote-finition-noir_SKUM8557.html" TargetMode="External"/><Relationship Id="rId13" Type="http://schemas.openxmlformats.org/officeDocument/2006/relationships/hyperlink" Target="https://www.afdb.fr/selection-155-01-231-poignee-meuble-inox-mat-diametre-10-mm-entraxe-96-mm-155-01-231_SKU761504.html" TargetMode="External"/><Relationship Id="rId14" Type="http://schemas.openxmlformats.org/officeDocument/2006/relationships/hyperlink" Target="https://www.sfic.com/search?q=verre%20feuillete%2044.2" TargetMode="External"/><Relationship Id="rId15" Type="http://schemas.openxmlformats.org/officeDocument/2006/relationships/hyperlink" Target="https://www.chausson.fr/quincaillerie/sikaseal-mensnjf-transp-300ml-p-227213-1" TargetMode="External"/><Relationship Id="rId16" Type="http://schemas.openxmlformats.org/officeDocument/2006/relationships/drawing" Target="../drawings/drawing15.xml"/>
</Relationships>
</file>

<file path=xl/worksheets/_rels/sheet21.xml.rels><?xml version="1.0" encoding="UTF-8"?>
<Relationships xmlns="http://schemas.openxmlformats.org/package/2006/relationships"><Relationship Id="rId1" Type="http://schemas.openxmlformats.org/officeDocument/2006/relationships/hyperlink" Target="https://www.afdb.fr/bostik-30602263-ciment-prompt-vicat-sac-1-kg-bostik-30602263_SKU738752.html" TargetMode="External"/><Relationship Id="rId2" Type="http://schemas.openxmlformats.org/officeDocument/2006/relationships/hyperlink" Target="https://www.chausson.fr/materiaux/mortier-sec-m10-obra-pret-gacher-p-430342-1" TargetMode="External"/><Relationship Id="rId3" Type="http://schemas.openxmlformats.org/officeDocument/2006/relationships/hyperlink" Target="https://www.pointp.fr/p/materiaux-gros-oeuvre/beton-sans-malaxage-pret-a-l-emploi-ultibat-prise-rapide-sac-de-25-kg-A4798471" TargetMode="External"/><Relationship Id="rId4" Type="http://schemas.openxmlformats.org/officeDocument/2006/relationships/hyperlink" Target="https://www.afdb.fr/bostik-30602263-ciment-prompt-vicat-sac-1-kg-bostik-30602263_SKU738752.html" TargetMode="External"/><Relationship Id="rId5" Type="http://schemas.openxmlformats.org/officeDocument/2006/relationships/hyperlink" Target="https://www.laplateforme.com/catalogue/produit/82313" TargetMode="External"/><Relationship Id="rId6" Type="http://schemas.openxmlformats.org/officeDocument/2006/relationships/hyperlink" Target="https://www.laplateforme.com/catalogue/produit/34632" TargetMode="External"/><Relationship Id="rId7" Type="http://schemas.openxmlformats.org/officeDocument/2006/relationships/hyperlink" Target="https://www.chausson.fr/materiaux/agglo-creux-ch-vrt-nf-20x20x45-p-442479-1" TargetMode="External"/><Relationship Id="rId8" Type="http://schemas.openxmlformats.org/officeDocument/2006/relationships/hyperlink" Target="https://www.chausson.fr/materiaux/brique-cloison-platriere-biobric-p-376650-1" TargetMode="External"/><Relationship Id="rId9" Type="http://schemas.openxmlformats.org/officeDocument/2006/relationships/hyperlink" Target="https://www.afdb.fr/lafarge-platres-96337-carreaux-platre-hydrofuge-lafarge-96337_SKU391995.html" TargetMode="External"/><Relationship Id="rId10" Type="http://schemas.openxmlformats.org/officeDocument/2006/relationships/hyperlink" Target="https://www.chausson.fr/materiaux/treillis-soude-structure-p-343388-1" TargetMode="External"/><Relationship Id="rId11" Type="http://schemas.openxmlformats.org/officeDocument/2006/relationships/hyperlink" Target="https://www.chausson.fr/materiaux/barre-fer-beton-torsadee-acier-hle-10mm-6ml-p-156-1" TargetMode="External"/><Relationship Id="rId12" Type="http://schemas.openxmlformats.org/officeDocument/2006/relationships/hyperlink" Target="https://www.afdb.fr/selection-fisttr25k320-film-batiment-polyethylene-etanche-200-3-110-fisttr25k320_SKU746130.html" TargetMode="External"/><Relationship Id="rId13" Type="http://schemas.openxmlformats.org/officeDocument/2006/relationships/hyperlink" Target="https://www.laplateforme.com/catalogue/produit/113467" TargetMode="External"/><Relationship Id="rId14" Type="http://schemas.openxmlformats.org/officeDocument/2006/relationships/hyperlink" Target="https://www.chausson.fr/materiaux/membrane-etancheite-toiture-terrasse-hyrene-25-25-ts-rlx-1m-7ml-p-576414-1" TargetMode="External"/><Relationship Id="rId15" Type="http://schemas.openxmlformats.org/officeDocument/2006/relationships/hyperlink" Target="https://www.chausson.fr/quincaillerie/sac-gravats-baobag-polyethylene-bd-microns-75litres-noir-p-201875-1" TargetMode="External"/><Relationship Id="rId16" Type="http://schemas.openxmlformats.org/officeDocument/2006/relationships/hyperlink" Target="https://www.pointp.fr/p/materiaux-bois-gros-oeuvre/big-bag-point-p-4-faces-oranges-volume-maxi-200l-1-5m3-resistance-A6859160" TargetMode="External"/><Relationship Id="rId17" Type="http://schemas.openxmlformats.org/officeDocument/2006/relationships/hyperlink" Target="https://www.afdb.fr/ultima-visser-fixer-coller-ccaf02-resine-scellement-chimique-hybride-beton-300-ml-ultima-ccaf02_SKU756860.html" TargetMode="External"/><Relationship Id="rId18" Type="http://schemas.openxmlformats.org/officeDocument/2006/relationships/hyperlink" Target="https://www.afdb.fr/ultima-visser-fixer-coller-tige-filetee-inox-a2-din-976-1-m10-ultima-6265010_SKU668479.html" TargetMode="External"/><Relationship Id="rId19" Type="http://schemas.openxmlformats.org/officeDocument/2006/relationships/drawing" Target="../drawings/drawing16.xml"/>
</Relationships>
</file>

<file path=xl/worksheets/_rels/sheet22.xml.rels><?xml version="1.0" encoding="UTF-8"?>
<Relationships xmlns="http://schemas.openxmlformats.org/package/2006/relationships"><Relationship Id="rId1" Type="http://schemas.openxmlformats.org/officeDocument/2006/relationships/hyperlink" Target="https://www.afdb.fr/ultima-visser-fixer-coller-afb112404016b-vis-bois-agglomeres-tete-fraisee-torx-inox-a2-4x40-24-boite-200-ultima-12640040_SKU582042.html" TargetMode="External"/><Relationship Id="rId2" Type="http://schemas.openxmlformats.org/officeDocument/2006/relationships/hyperlink" Target="https://www.afdb.fr/ultima-visser-fixer-coller-afb102503016b-vis-bois-agglomeres-tete-fraisee-pozidriv-inox-a2-5x30-boite-100-ultima-12550030_SKU582008.html" TargetMode="External"/><Relationship Id="rId3" Type="http://schemas.openxmlformats.org/officeDocument/2006/relationships/hyperlink" Target="https://www.afdb.fr/ultima-visser-fixer-coller-afb7504k6325-vis-auto-perceuse-tete-hexagonale-embase-zingue-din-7504-k-6-3x25-boite-250-ultima-15563254_SKU590317.html" TargetMode="External"/><Relationship Id="rId4" Type="http://schemas.openxmlformats.org/officeDocument/2006/relationships/hyperlink" Target="https://www.afdb.fr/acton-621016x40-vis-metaux-tete-hexagonale-inox-a2-classe-8-8-din-933-6x40-boite-200-acton-621016x40_SKU562569.html" TargetMode="External"/><Relationship Id="rId5" Type="http://schemas.openxmlformats.org/officeDocument/2006/relationships/hyperlink" Target="https://www.pointp.fr/p/outillage-quincaillerie/tirefond-8x80-mm-32-pieces-A1588181" TargetMode="External"/><Relationship Id="rId6" Type="http://schemas.openxmlformats.org/officeDocument/2006/relationships/hyperlink" Target="https://www.afdb.fr/scell-it-ds08-cheville-expansion-nylon-collerette-8-x-40-mm-boite-100-scell-it-ds08_SKU439272.html" TargetMode="External"/><Relationship Id="rId7" Type="http://schemas.openxmlformats.org/officeDocument/2006/relationships/hyperlink" Target="https://www.afdb.fr/fischer-50354-chevilles-frapper-ns-nylon-6x40-boite-50-fischer-50354_SKU058189.html" TargetMode="External"/><Relationship Id="rId8" Type="http://schemas.openxmlformats.org/officeDocument/2006/relationships/hyperlink" Target="https://www.afdb.fr/spit-x-trem-058618-goujon-ancrage-fix-z-xtrem-m8x90-40-27-a4-boite-50-spit-058618_SKU787930.html" TargetMode="External"/><Relationship Id="rId9" Type="http://schemas.openxmlformats.org/officeDocument/2006/relationships/hyperlink" Target="https://www.afdb.fr/spit-565012-tamis-plastique-12x45-m6-m8-boite-10-spit-565012_SKU647107.html" TargetMode="External"/><Relationship Id="rId10" Type="http://schemas.openxmlformats.org/officeDocument/2006/relationships/hyperlink" Target="https://www.afdb.fr/ultima-visser-fixer-coller-afb9888060-boulon-tete-hexagonale-acier-zingue-blanc-classe-8-8-din-931-934-8x60-bte100-ultima-afb9888060_SKU590440.html" TargetMode="External"/><Relationship Id="rId11" Type="http://schemas.openxmlformats.org/officeDocument/2006/relationships/hyperlink" Target="https://www.afdb.fr/ultima-visser-fixer-coller-afb9858-ecrou-frein-nylstop-zingue-classe-8-m8-boite-200-ultima-afb9858_SKU582228.html" TargetMode="External"/><Relationship Id="rId12" Type="http://schemas.openxmlformats.org/officeDocument/2006/relationships/hyperlink" Target="https://www.afdb.fr/20427-rondelle-plate-m8x18x1-5-50001174-000_SKU121705.html" TargetMode="External"/><Relationship Id="rId13" Type="http://schemas.openxmlformats.org/officeDocument/2006/relationships/hyperlink" Target="https://www.chausson.fr/quincaillerie/equerre-fixation-nervuree-cqfd-pans-70x70x30-mm-epaisseur-015-mm-acier-zingue-p-722135-1" TargetMode="External"/><Relationship Id="rId14" Type="http://schemas.openxmlformats.org/officeDocument/2006/relationships/hyperlink" Target="https://www.afdb.fr/ing-fixations-a853035-cheville-sabot-charpente-ing-fixations-a853035_SKU409613.html" TargetMode="External"/><Relationship Id="rId15" Type="http://schemas.openxmlformats.org/officeDocument/2006/relationships/hyperlink" Target="https://www.pointp.fr/p/platre-isolation-ite/feuillard-perfore-rouleau-de-100m-fp7-A3378574" TargetMode="External"/><Relationship Id="rId16" Type="http://schemas.openxmlformats.org/officeDocument/2006/relationships/hyperlink" Target="https://www.afdb.fr/bostik-30613629-mastic-acrylique-etancheite-acryl-blanc-cartouche-310-ml-bostik-30613629_SKU794044.html" TargetMode="External"/><Relationship Id="rId17" Type="http://schemas.openxmlformats.org/officeDocument/2006/relationships/hyperlink" Target="https://www.afdb.fr/selection-sanitaire-b-mastic-silicone-sanitaire-blanc-ms305-blanc_SKU515418.html" TargetMode="External"/><Relationship Id="rId18" Type="http://schemas.openxmlformats.org/officeDocument/2006/relationships/hyperlink" Target="https://www.afdb.fr/soudal-110980-mastic-colle-polymere-hybride-fix-all-crystal-cartouche-290-ml-soudal-110980_SKU550384.html" TargetMode="External"/><Relationship Id="rId19" Type="http://schemas.openxmlformats.org/officeDocument/2006/relationships/hyperlink" Target="https://www.afdb.fr/ultima-visser-fixer-coller-127298-mousse-polyurethane-aerosol-manuelle-750-ml-ultima-16090_SKU607913.html" TargetMode="External"/><Relationship Id="rId20" Type="http://schemas.openxmlformats.org/officeDocument/2006/relationships/hyperlink" Target="https://www.afdb.fr/pattex-1419285-colle-neoprene-contact-gel-bidon-4-25-kg-pattex-1419285_SKU576314.html" TargetMode="External"/><Relationship Id="rId21" Type="http://schemas.openxmlformats.org/officeDocument/2006/relationships/drawing" Target="../drawings/drawing17.xml"/>
</Relationships>
</file>

<file path=xl/worksheets/_rels/sheet23.xml.rels><?xml version="1.0" encoding="UTF-8"?>
<Relationships xmlns="http://schemas.openxmlformats.org/package/2006/relationships"><Relationship Id="rId1" Type="http://schemas.openxmlformats.org/officeDocument/2006/relationships/hyperlink" Target="https://www.pointp.fr/p/outillage-quincaillerie/jugulaire-de-casque-cuir-A1362797" TargetMode="External"/><Relationship Id="rId2" Type="http://schemas.openxmlformats.org/officeDocument/2006/relationships/hyperlink" Target="https://www.pointp.fr/p/equipement-de-protection-securite/chaussures-securite-modele-bas-t45-seoul-novipro-A4932483" TargetMode="External"/><Relationship Id="rId3" Type="http://schemas.openxmlformats.org/officeDocument/2006/relationships/hyperlink" Target="https://www.pointp.fr/p/equipement-de-protection-securite/gant-manutention-de-precision-milieu-sec-tous-travaux-taille-8-novipro-A4632558" TargetMode="External"/><Relationship Id="rId4" Type="http://schemas.openxmlformats.org/officeDocument/2006/relationships/hyperlink" Target="https://www.prolians.fr/catalogsearch/result/?q=" TargetMode="External"/><Relationship Id="rId5" Type="http://schemas.openxmlformats.org/officeDocument/2006/relationships/hyperlink" Target="https://www.afdb.fr/selection-boite-20-masques-pliables-jetables-ffp2-nr-valve-bfe-95-masques11_SKU780031.html" TargetMode="External"/><Relationship Id="rId6" Type="http://schemas.openxmlformats.org/officeDocument/2006/relationships/hyperlink" Target="https://www.pointp.fr/p/outils-equipement-accessoires/casque-antibruit-silver-27-ref-28103-A7500890" TargetMode="External"/><Relationship Id="rId7" Type="http://schemas.openxmlformats.org/officeDocument/2006/relationships/hyperlink" Target="https://www.chausson.fr/quincaillerie/kit-harnais-antichute-levac-special-nacelle-avec-longe-retenue-mousquetons-p-744461-1" TargetMode="External"/><Relationship Id="rId8" Type="http://schemas.openxmlformats.org/officeDocument/2006/relationships/hyperlink" Target="https://www.chausson.fr/quincaillerie/gilet-jaune-haute-visibilite-yard-avec-fermeture-centrale-scratchs-taille-xl-p-80563-1" TargetMode="External"/><Relationship Id="rId9" Type="http://schemas.openxmlformats.org/officeDocument/2006/relationships/hyperlink" Target="https://www.pointp.fr/p/outils-equipement-accessoires/disque-diamant-segments-soudes-laser-materiaux-de-construction-novipro-diametre-125-x-22-2-hauteur-segments-10-mm-ref-70184609589-A6008397" TargetMode="External"/><Relationship Id="rId10" Type="http://schemas.openxmlformats.org/officeDocument/2006/relationships/hyperlink" Target="https://www.afdb.fr/hanger-155721-foret-beton-sds-plus-4-taillants-diametre-5-x-110-mm-hanger-thor-155721_SKU749782.html" TargetMode="External"/><Relationship Id="rId11" Type="http://schemas.openxmlformats.org/officeDocument/2006/relationships/hyperlink" Target="https://www.afdb.fr/bosch-1213529-assortiment-3-embouts-vissage-courts-qualite-extra-dure-ph2-pz2-s1x5-5-25-mm-bosch-2607001766_SKU116236.html" TargetMode="External"/><Relationship Id="rId12" Type="http://schemas.openxmlformats.org/officeDocument/2006/relationships/hyperlink" Target="https://www.chausson.fr/quincaillerie/lame-scie-sauteuse-bois-pvc-hcs-11-makita-coupe-fine-grossiere-lot-p-776723-1" TargetMode="External"/><Relationship Id="rId13" Type="http://schemas.openxmlformats.org/officeDocument/2006/relationships/hyperlink" Target="https://www.pointp.fr/p/outils-equipement-accessoires/lame-de-cutter-secable-paquet-de-10-pcs-A3644659" TargetMode="External"/><Relationship Id="rId14" Type="http://schemas.openxmlformats.org/officeDocument/2006/relationships/hyperlink" Target="https://www.afdb.fr/eurocel-031302357-ruban-adhesif-toile-orange-50-mm-x-25-eurocel-031302357_SKU487001.html" TargetMode="External"/><Relationship Id="rId15" Type="http://schemas.openxmlformats.org/officeDocument/2006/relationships/hyperlink" Target="https://www.afdb.fr/proust-b1-chiffon-essuyage-blanc-optique-coton-qualite-10-kg-proust-b1_SKU482489.html" TargetMode="External"/><Relationship Id="rId16" Type="http://schemas.openxmlformats.org/officeDocument/2006/relationships/hyperlink" Target="https://www.afdb.fr/toussac-sac130150-100-sacs-poubelle-noirs-130-pebd-standard-toussac-sac130150_SKU449333.html" TargetMode="External"/><Relationship Id="rId17" Type="http://schemas.openxmlformats.org/officeDocument/2006/relationships/hyperlink" Target="https://www.afdb.fr/taliaplast-540501-ruban-signalisation-rouge-blanc-500-x-50-mm-taliaplast-540501_SKU121858.html" TargetMode="External"/><Relationship Id="rId18" Type="http://schemas.openxmlformats.org/officeDocument/2006/relationships/hyperlink" Target="https://www.afdb.fr/novap-3225341-cone-chantier-pebd-h50-orange-bandes-fluo-novap-3225341_SKU785643.html" TargetMode="External"/><Relationship Id="rId19" Type="http://schemas.openxmlformats.org/officeDocument/2006/relationships/hyperlink" Target="https://www.chausson.fr/quincaillerie/barriere-chantier-sirl-rouge-blanche-acier-p-666816-1" TargetMode="External"/><Relationship Id="rId20" Type="http://schemas.openxmlformats.org/officeDocument/2006/relationships/drawing" Target="../drawings/drawing18.xml"/>
</Relationships>
</file>

<file path=xl/worksheets/_rels/sheet24.xml.rels><?xml version="1.0" encoding="UTF-8"?>
<Relationships xmlns="http://schemas.openxmlformats.org/package/2006/relationships"><Relationship Id="rId1" Type="http://schemas.openxmlformats.org/officeDocument/2006/relationships/hyperlink" Target="https://www.pointp.fr/p/outils-equipement-accessoires/forets-sds-plus-5-pour-perforateur-8x100x165mm-ref-1618596173-A1327839" TargetMode="External"/><Relationship Id="rId2" Type="http://schemas.openxmlformats.org/officeDocument/2006/relationships/hyperlink" Target="https://www.pointp.fr/p/outillage/perceuse-visseuse-a-percussion-bpd-12-volts-sans-batterie-A3996251" TargetMode="External"/><Relationship Id="rId3" Type="http://schemas.openxmlformats.org/officeDocument/2006/relationships/hyperlink" Target="https://www.pointp.fr/p/outillage-quincaillerie/disque-a-tronconner-blue-pro-200-metal-diam-125x1-6mm-A1214128" TargetMode="External"/><Relationship Id="rId4" Type="http://schemas.openxmlformats.org/officeDocument/2006/relationships/hyperlink" Target="https://www.pointp.fr/p/outillage/lame-de-scie-circulaire-diametre-190mm-18-dents-ref-752436-A6692018" TargetMode="External"/><Relationship Id="rId5" Type="http://schemas.openxmlformats.org/officeDocument/2006/relationships/hyperlink" Target="https://www.afdb.fr/milwaukee-4933447480-aspirateur-chantier-1000-w-2-250-elcp-25-boite-carton-milwaukee-4933447480_SKU827658.html" TargetMode="External"/><Relationship Id="rId6" Type="http://schemas.openxmlformats.org/officeDocument/2006/relationships/hyperlink" Target="https://www.chausson.fr/quincaillerie/telemetre-laser-edt40m-edia-635nm-portee-40metres-p-597162-1" TargetMode="External"/><Relationship Id="rId7" Type="http://schemas.openxmlformats.org/officeDocument/2006/relationships/hyperlink" Target="https://www.chausson.fr/quincaillerie/niveau-laser-croix-edia-edcr30m-rouge-pile-filetage-p-597164-1" TargetMode="External"/><Relationship Id="rId8" Type="http://schemas.openxmlformats.org/officeDocument/2006/relationships/hyperlink" Target="https://www.pointp.fr/p/outils-equipement-accessoires/metre-a-ruban-rubiflex-5mx19mm-75901-A3987511" TargetMode="External"/><Relationship Id="rId9" Type="http://schemas.openxmlformats.org/officeDocument/2006/relationships/hyperlink" Target="https://www.afdb.fr/wilmart-522006-niveau-tubulaire-aluminium-100-cm-wilmart-522006_SKU622802.html" TargetMode="External"/><Relationship Id="rId10" Type="http://schemas.openxmlformats.org/officeDocument/2006/relationships/hyperlink" Target="https://www.pointp.fr/p/electricite-ventilation/multimetre-numerique-tt118-A3762420" TargetMode="External"/><Relationship Id="rId11" Type="http://schemas.openxmlformats.org/officeDocument/2006/relationships/hyperlink" Target="https://www.prolians.fr/catalogsearch/result/?q=" TargetMode="External"/><Relationship Id="rId12" Type="http://schemas.openxmlformats.org/officeDocument/2006/relationships/hyperlink" Target="https://www.prolians.fr/catalogsearch/result/?q=" TargetMode="External"/><Relationship Id="rId13" Type="http://schemas.openxmlformats.org/officeDocument/2006/relationships/hyperlink" Target="https://www.prolians.fr/catalogsearch/result/?q=" TargetMode="External"/><Relationship Id="rId14" Type="http://schemas.openxmlformats.org/officeDocument/2006/relationships/hyperlink" Target="https://www.chausson.fr/quincaillerie/tournevis-phillips-softfinish-isole-1000-ph1-80-mm-p-759517-1" TargetMode="External"/><Relationship Id="rId15" Type="http://schemas.openxmlformats.org/officeDocument/2006/relationships/hyperlink" Target="https://www.pointp.fr/p/materiel-de-chantier/escabeau-theard-escadouble-3-marches-ref-29403-A4787987" TargetMode="External"/><Relationship Id="rId16" Type="http://schemas.openxmlformats.org/officeDocument/2006/relationships/hyperlink" Target="https://www.chausson.fr/quincaillerie/echelle-telescopique-xscopic-3m80-p-307798-1" TargetMode="External"/><Relationship Id="rId17" Type="http://schemas.openxmlformats.org/officeDocument/2006/relationships/drawing" Target="../drawings/drawing19.xml"/>
</Relationships>
</file>

<file path=xl/worksheets/_rels/sheet25.xml.rels><?xml version="1.0" encoding="UTF-8"?>
<Relationships xmlns="http://schemas.openxmlformats.org/package/2006/relationships"><Relationship Id="rId1" Type="http://schemas.openxmlformats.org/officeDocument/2006/relationships/hyperlink" Target="https://www.afdb.fr/stihl-4229-120-1800-filtre-air-souffleur-stihl-4229-120-1800_SKU653072.html" TargetMode="External"/><Relationship Id="rId2" Type="http://schemas.openxmlformats.org/officeDocument/2006/relationships/hyperlink" Target="https://www.rexel.fr/frx/search?text=" TargetMode="External"/><Relationship Id="rId3" Type="http://schemas.openxmlformats.org/officeDocument/2006/relationships/hyperlink" Target="https://www.afdb.fr/festool-493062-roulement-billes-butee-d16-festool-493062_SKU823530.html" TargetMode="External"/><Relationship Id="rId4" Type="http://schemas.openxmlformats.org/officeDocument/2006/relationships/hyperlink" Target="https://www.rexel.fr/frx/search?text=" TargetMode="External"/><Relationship Id="rId5" Type="http://schemas.openxmlformats.org/officeDocument/2006/relationships/hyperlink" Target="https://www.afdb.fr/legrand-412523-contacteur-puissance-cx-2p-250-v-25-1-module-legrand-412523_SKU513834.html" TargetMode="External"/><Relationship Id="rId6" Type="http://schemas.openxmlformats.org/officeDocument/2006/relationships/hyperlink" Target="https://www.afdb.fr/kf-6055-degrippant-lubrifiant-haute-performance-bx-112-aerosol-650-ml-400-ml-kf-6055_SKU550887.html" TargetMode="External"/><Relationship Id="rId7" Type="http://schemas.openxmlformats.org/officeDocument/2006/relationships/hyperlink" Target="https://www.afdb.fr/stihl-tube-graisse-multi-usages-stihl-multilub-225-g-0781-120-1110_SKUM90797.html" TargetMode="External"/><Relationship Id="rId8" Type="http://schemas.openxmlformats.org/officeDocument/2006/relationships/hyperlink" Target="https://www.pointp.fr/p/outillage-quincaillerie/wd-40-specialist-nettoyant-contacts-400ml-ref-33368-A3827037" TargetMode="External"/><Relationship Id="rId9" Type="http://schemas.openxmlformats.org/officeDocument/2006/relationships/hyperlink" Target="https://www.afdb.fr/karcher-26377670-kit-debouche-canalisations-15-karcher-26377670_SKU788832.html" TargetMode="External"/><Relationship Id="rId10" Type="http://schemas.openxmlformats.org/officeDocument/2006/relationships/hyperlink" Target="https://www.prolians.fr/catalogsearch/result/?q=63435252" TargetMode="External"/><Relationship Id="rId11" Type="http://schemas.openxmlformats.org/officeDocument/2006/relationships/hyperlink" Target="https://www.afdb.fr/merkur-101183-filtre-anticalcaire-auto-nettoyant-aquanet-3-merkur-101183_SKU432947.html" TargetMode="External"/><Relationship Id="rId12" Type="http://schemas.openxmlformats.org/officeDocument/2006/relationships/hyperlink" Target="https://www.afdb.fr/varta-546597-piles-alcalines-high-energy-lr6-1-5-v-aa-varta-4906121428_SKU767561.html" TargetMode="External"/><Relationship Id="rId13" Type="http://schemas.openxmlformats.org/officeDocument/2006/relationships/hyperlink" Target="https://www.afdb.fr/varta-pile-lithium-cr123-x-1-3-v-1430-mah-varta_SKU789852.html" TargetMode="External"/><Relationship Id="rId14" Type="http://schemas.openxmlformats.org/officeDocument/2006/relationships/hyperlink" Target="https://www.afdb.fr/milwaukee-niveau-laser-2-lignes-4v-milwaukee-l4-cllp-301c-aplomb-batterie-3-ah-4933478099_SKUM123693.html" TargetMode="External"/><Relationship Id="rId15" Type="http://schemas.openxmlformats.org/officeDocument/2006/relationships/drawing" Target="../drawings/drawing20.xml"/>
</Relationships>
</file>

<file path=xl/worksheets/_rels/sheet26.xml.rels><?xml version="1.0" encoding="UTF-8"?>
<Relationships xmlns="http://schemas.openxmlformats.org/package/2006/relationships"><Relationship Id="rId1" Type="http://schemas.openxmlformats.org/officeDocument/2006/relationships/hyperlink" Target="https://icilux.com/fr/dalles-et-panneaux-led/1889-dalle-led-60x60-44w-cadre-lumineux-blanc-cct-selectionnable-8435612906631" TargetMode="External"/><Relationship Id="rId2" Type="http://schemas.openxmlformats.org/officeDocument/2006/relationships/hyperlink" Target="https://icilux.com/fr/dalles-et-panneaux-led/1915-2730-dalle-led-120x60-80w-smd4014-driver-philips-certadrive-8435612908321" TargetMode="External"/><Relationship Id="rId3" Type="http://schemas.openxmlformats.org/officeDocument/2006/relationships/hyperlink" Target="https://icilux.com/fr/dalles-et-panneaux-led/3068-4203-pack-6-dalles-led-120x30-40w-cct-driver-philips-certadrive-8435612962910" TargetMode="External"/><Relationship Id="rId4" Type="http://schemas.openxmlformats.org/officeDocument/2006/relationships/hyperlink" Target="https://icilux.com/fr/dalles-et-panneaux-led/3010-10863-pack-8-dalles-led-60x60-40w-ugr19-driver-philips-enec" TargetMode="External"/><Relationship Id="rId5" Type="http://schemas.openxmlformats.org/officeDocument/2006/relationships/hyperlink" Target="https://icilux.com/fr/accessoires-dalles-led/99-kit-convertisseur-en-encastre-pour-luminaire-de-surface-cadre-adaptateur-8400000002325" TargetMode="External"/><Relationship Id="rId6" Type="http://schemas.openxmlformats.org/officeDocument/2006/relationships/hyperlink" Target="https://icilux.com/fr/accessoires-dalles-led/101-kit-suspension-1-metre-pour-luminaire-led-cable-acier-reglable-8400000002332" TargetMode="External"/><Relationship Id="rId7" Type="http://schemas.openxmlformats.org/officeDocument/2006/relationships/hyperlink" Target="https://icilux.com/fr/dalles-et-panneaux-led/4493-10633-pack-10-dalles-led-60x60-slim-40w-sans-scintillement-philips" TargetMode="External"/><Relationship Id="rId8" Type="http://schemas.openxmlformats.org/officeDocument/2006/relationships/hyperlink" Target="https://icilux.com/fr/dalles-et-panneaux-led/4409-10514-pack-8-dalles-led-60x60-slim-40w-4000lm-ugr19-driver-philips" TargetMode="External"/><Relationship Id="rId9" Type="http://schemas.openxmlformats.org/officeDocument/2006/relationships/hyperlink" Target="https://icilux.com/fr/dalles-et-panneaux-led/5080-10936-pack-10-dalles-led-60x60-40w-cri90-sans-scintillement-philips" TargetMode="External"/><Relationship Id="rId10" Type="http://schemas.openxmlformats.org/officeDocument/2006/relationships/hyperlink" Target="https://icilux.com/fr/downlights-led-encastrables/2142-10706-dalle-led-slim-ronde-20w-encastrable-puce-osram-8435612916470" TargetMode="External"/><Relationship Id="rId11" Type="http://schemas.openxmlformats.org/officeDocument/2006/relationships/hyperlink" Target="https://icilux.com/fr/downlight-led-saillie/2051-plafonnier-led-surface-carre-8w-acier-inox-cct-puce-osram-8435612912489" TargetMode="External"/><Relationship Id="rId12" Type="http://schemas.openxmlformats.org/officeDocument/2006/relationships/hyperlink" Target="https://icilux.com/fr/downlight-led-saillie/1904-2716-plafonnier-led-surface-carre-20w-puce-osram-duris-e2835-8435612907669" TargetMode="External"/><Relationship Id="rId13" Type="http://schemas.openxmlformats.org/officeDocument/2006/relationships/hyperlink" Target="https://icilux.com/fr/downlights-led-encastrables/1896-2692-dalle-led-slim-carree-20w-encastrable-puce-osram-8435612907089" TargetMode="External"/><Relationship Id="rId14" Type="http://schemas.openxmlformats.org/officeDocument/2006/relationships/hyperlink" Target="https://icilux.com/fr/downlights-led-encastrables/1895-2689-dalle-led-slim-carree-8w-encastrable-puce-osram-8435612907324" TargetMode="External"/><Relationship Id="rId15" Type="http://schemas.openxmlformats.org/officeDocument/2006/relationships/hyperlink" Target="https://icilux.com/fr/spot-led-encastrables/1630-spot-downlight-led-encastrable-6w-40-ugr11-cct-puce-bridgelux-blanc-8400000019439" TargetMode="External"/><Relationship Id="rId16" Type="http://schemas.openxmlformats.org/officeDocument/2006/relationships/hyperlink" Target="https://icilux.com/fr/downlights-led-encastrables/1898-2696-dalle-led-slim-ronde-20w-reglable-puce-osram-8435612907423" TargetMode="External"/><Relationship Id="rId17" Type="http://schemas.openxmlformats.org/officeDocument/2006/relationships/hyperlink" Target="https://icilux.com/fr/accessoires-downlight-led/1362-2780-cache-trou-supplementaire-pour-downlight-o255-cm-blanc-8400000014236" TargetMode="External"/><Relationship Id="rId18" Type="http://schemas.openxmlformats.org/officeDocument/2006/relationships/hyperlink" Target="https://icilux.com/fr/downlight-led-saillie/2391-4110-plafonnier-led-surface-rond-18-24w-cct-capteur-mouvement-puce-osram-8435612911864" TargetMode="External"/><Relationship Id="rId19" Type="http://schemas.openxmlformats.org/officeDocument/2006/relationships/hyperlink" Target="https://icilux.com/fr/spot-led-encastrables/2293-downlight-led-40w-circulaire-ip65-cct-ugr13-driver-philips-certadrive" TargetMode="External"/><Relationship Id="rId20" Type="http://schemas.openxmlformats.org/officeDocument/2006/relationships/hyperlink" Target="https://icilux.com/fr/accessoires-eclairages-led/674-kit-anti-scintillement-led-pour-variateurs-triac-elimine-le-flicker-8400000005616" TargetMode="External"/><Relationship Id="rId21" Type="http://schemas.openxmlformats.org/officeDocument/2006/relationships/hyperlink" Target="https://icilux.com/fr/accessoires-downlight-led/3173-anneau-convertisseur-surface-225mm-pour-downlight-encastrable-blanc" TargetMode="External"/><Relationship Id="rId22" Type="http://schemas.openxmlformats.org/officeDocument/2006/relationships/hyperlink" Target="https://icilux.com/fr/spot-led-encastrables/5062-downlight-led-circulaire-40w-3cct-ugr17-cri90-ip54-philips" TargetMode="External"/><Relationship Id="rId23" Type="http://schemas.openxmlformats.org/officeDocument/2006/relationships/hyperlink" Target="https://icilux.com/fr/spot-led-encastrables/5087-downlight-led-circulaire-frameless-16-24w-o80-190mm-4cct-blanc" TargetMode="External"/><Relationship Id="rId24" Type="http://schemas.openxmlformats.org/officeDocument/2006/relationships/hyperlink" Target="https://icilux.com/fr/downlight-led-saillie/3069-plafonnier-led-surface-16-24w-3cct-plafond-puce-osram-rond" TargetMode="External"/><Relationship Id="rId25" Type="http://schemas.openxmlformats.org/officeDocument/2006/relationships/hyperlink" Target="https://icilux.com/fr/spot-led-encastrables/5089-downlight-led-circulaire-frameless-6-12w-o50-100mm-4cct-blanc" TargetMode="External"/><Relationship Id="rId26" Type="http://schemas.openxmlformats.org/officeDocument/2006/relationships/hyperlink" Target="https://icilux.com/fr/downlight-led-saillie/3147-plafonnier-led-surface-16-24w-3cct-capteur-radar-mouvement-puce-osram" TargetMode="External"/><Relationship Id="rId27" Type="http://schemas.openxmlformats.org/officeDocument/2006/relationships/hyperlink" Target="https://icilux.com/fr/downlight-led-saillie/3181-4443-plafonnier-led-surface-rond-18w-140lmw-puce-osram-duris-e2835" TargetMode="External"/><Relationship Id="rId28" Type="http://schemas.openxmlformats.org/officeDocument/2006/relationships/hyperlink" Target="https://icilux.com/fr/downlight-led-saillie/4447-plafonnier-led-surface-rond-15w-4cct-ugr19-cri92-driver-gxtronic" TargetMode="External"/><Relationship Id="rId29" Type="http://schemas.openxmlformats.org/officeDocument/2006/relationships/hyperlink" Target="https://icilux.com/fr/downlight-led-saillie/4453-plafonnier-led-surface-rond-24w-4cct-ugr19-cri92-driver-gxtronic" TargetMode="External"/><Relationship Id="rId30" Type="http://schemas.openxmlformats.org/officeDocument/2006/relationships/hyperlink" Target="https://icilux.com/fr/downlight-led-saillie/4454-plafonnier-led-surface-rond-30w-4cct-ugr19-cri92-driver-gxtronic" TargetMode="External"/><Relationship Id="rId31" Type="http://schemas.openxmlformats.org/officeDocument/2006/relationships/hyperlink" Target="https://icilux.com/fr/downlight-led-saillie/4456-plafonnier-led-surface-carre-30w-4cct-ugr19-cri92-driver-gxtronic" TargetMode="External"/><Relationship Id="rId32" Type="http://schemas.openxmlformats.org/officeDocument/2006/relationships/hyperlink" Target="https://icilux.com/fr/downlight-led-saillie/3805-6386-plafonnier-led-surface-12w-ip65-interieur-exterieur-mur-et-plafond" TargetMode="External"/><Relationship Id="rId33" Type="http://schemas.openxmlformats.org/officeDocument/2006/relationships/hyperlink" Target="https://icilux.com/fr/downlight-led-saillie/4304-plafonnier-led-surface-10-20w-5cct-capteur-radar-ip44-plafond-rond" TargetMode="External"/><Relationship Id="rId34" Type="http://schemas.openxmlformats.org/officeDocument/2006/relationships/hyperlink" Target="https://icilux.com/fr/downlights-led-encastrables/2142-10706-dalle-led-slim-ronde-20w-encastrable-puce-osram-8435612916470" TargetMode="External"/><Relationship Id="rId35" Type="http://schemas.openxmlformats.org/officeDocument/2006/relationships/hyperlink" Target="https://icilux.com/fr/downlights-led-encastrables/1896-2692-dalle-led-slim-carree-20w-encastrable-puce-osram-8435612907089" TargetMode="External"/><Relationship Id="rId36" Type="http://schemas.openxmlformats.org/officeDocument/2006/relationships/hyperlink" Target="https://icilux.com/fr/downlights-led-encastrables/1895-2689-dalle-led-slim-carree-8w-encastrable-puce-osram-8435612907324" TargetMode="External"/><Relationship Id="rId37" Type="http://schemas.openxmlformats.org/officeDocument/2006/relationships/hyperlink" Target="https://icilux.com/fr/downlights-led-encastrables/1898-2696-dalle-led-slim-ronde-20w-reglable-puce-osram-8435612907423" TargetMode="External"/><Relationship Id="rId38" Type="http://schemas.openxmlformats.org/officeDocument/2006/relationships/hyperlink" Target="https://icilux.com/fr/downlights-led-encastrables/2274-downlight-led-encastrable-rond-18-24w-4cct-o225mm-ugr17-puce-osram" TargetMode="External"/><Relationship Id="rId39" Type="http://schemas.openxmlformats.org/officeDocument/2006/relationships/hyperlink" Target="https://icilux.com/fr/downlights-led-encastrables/2275-downlight-led-encastrable-circulaire-16w-3cct-170mm-ugr19-osram" TargetMode="External"/><Relationship Id="rId40" Type="http://schemas.openxmlformats.org/officeDocument/2006/relationships/hyperlink" Target="https://icilux.com/fr/downlights-led-encastrables/2365-4074-dalle-led-slim-ronde-18w-encastrable-puce-osram" TargetMode="External"/><Relationship Id="rId41" Type="http://schemas.openxmlformats.org/officeDocument/2006/relationships/hyperlink" Target="https://icilux.com/fr/downlights-led-encastrables/2394-dalle-led-ronde-18-24w-detecteur-de-mouvement-cct-puce-osram-8435612950146" TargetMode="External"/><Relationship Id="rId42" Type="http://schemas.openxmlformats.org/officeDocument/2006/relationships/hyperlink" Target="https://icilux.com/fr/downlight-led-saillie/3118-downlight-led-reglable-carre-18w-3cct-blanc-lumileds" TargetMode="External"/><Relationship Id="rId43" Type="http://schemas.openxmlformats.org/officeDocument/2006/relationships/hyperlink" Target="https://icilux.com/fr/downlight-led-saillie/3119-downlight-led-reglable-carre-18w-3cct-noir-lumileds" TargetMode="External"/><Relationship Id="rId44" Type="http://schemas.openxmlformats.org/officeDocument/2006/relationships/hyperlink" Target="https://icilux.com/fr/downlight-led-saillie/3120-downlight-led-reglable-rond-18w-3cct-blanc-lumileds" TargetMode="External"/><Relationship Id="rId45" Type="http://schemas.openxmlformats.org/officeDocument/2006/relationships/hyperlink" Target="https://icilux.com/fr/downlight-led-saillie/3121-downlight-led-reglable-rond-18w-3cct-noir-lumileds" TargetMode="External"/><Relationship Id="rId46" Type="http://schemas.openxmlformats.org/officeDocument/2006/relationships/hyperlink" Target="https://icilux.com/fr/downlight-led-saillie/3122-downlight-led-reglable-rond-6w-3cct-blanc-lumileds" TargetMode="External"/><Relationship Id="rId47" Type="http://schemas.openxmlformats.org/officeDocument/2006/relationships/hyperlink" Target="https://icilux.com/fr/spot-led-encastrables/2017-downlight-led-encastrable-frameless-24w-3cct-sans-cadre-puce-osram-8435612912625" TargetMode="External"/><Relationship Id="rId48" Type="http://schemas.openxmlformats.org/officeDocument/2006/relationships/hyperlink" Target="https://icilux.com/fr/spot-led-encastrables/2020-downlight-led-encastrable-frameless-8w-3cct-sans-cadre-puce-osram-8435612912601" TargetMode="External"/><Relationship Id="rId49" Type="http://schemas.openxmlformats.org/officeDocument/2006/relationships/hyperlink" Target="https://icilux.com/fr/downlights-led-encastrables/2375-downlight-led-encastrable-circulaire-6-12w-3cct-ugr19-osram" TargetMode="External"/><Relationship Id="rId50" Type="http://schemas.openxmlformats.org/officeDocument/2006/relationships/hyperlink" Target="https://icilux.com/fr/spot-led-encastrables/2376-downlight-led-encastrable-circulaire-40w-3cct-ugr17-philips-certadrive" TargetMode="External"/><Relationship Id="rId51" Type="http://schemas.openxmlformats.org/officeDocument/2006/relationships/hyperlink" Target="https://icilux.com/fr/spot-led-encastrables/3101-spot-encastrable-led-7w-rond-orientable-3cct-blanc" TargetMode="External"/><Relationship Id="rId52" Type="http://schemas.openxmlformats.org/officeDocument/2006/relationships/hyperlink" Target="https://icilux.com/fr/downlight-led-saillie/3116-downlight-led-reglable-carre-24w-3cct-blanc-lumileds" TargetMode="External"/><Relationship Id="rId53" Type="http://schemas.openxmlformats.org/officeDocument/2006/relationships/hyperlink" Target="https://icilux.com/fr/downlight-led-saillie/3117-downlight-led-reglable-carre-24w-3cct-noir-lumileds" TargetMode="External"/><Relationship Id="rId54" Type="http://schemas.openxmlformats.org/officeDocument/2006/relationships/hyperlink" Target="https://icilux.com/fr/downlights-led-encastrables/3135-dalle-led-slim-ronde-6w-3cct-encastrable-puce-osram" TargetMode="External"/><Relationship Id="rId55" Type="http://schemas.openxmlformats.org/officeDocument/2006/relationships/hyperlink" Target="https://icilux.com/fr/downlights-led-encastrables/3136-dalle-led-slim-ronde-10w-3cct-encastrable-puce-osram" TargetMode="External"/><Relationship Id="rId56" Type="http://schemas.openxmlformats.org/officeDocument/2006/relationships/hyperlink" Target="https://icilux.com/fr/downlights-led-encastrables/3137-dalle-led-slim-ronde-15w-3cct-encastrable-puce-osram" TargetMode="External"/><Relationship Id="rId57" Type="http://schemas.openxmlformats.org/officeDocument/2006/relationships/hyperlink" Target="https://icilux.com/fr/downlights-led-encastrables/3139-dalle-led-slim-ronde-26w-3cct-encastrable-puce-osram" TargetMode="External"/><Relationship Id="rId58" Type="http://schemas.openxmlformats.org/officeDocument/2006/relationships/hyperlink" Target="https://icilux.com/fr/ampoules-led-e27/2221-3893-ampoule-led-standard-e27-a60-15w-180-puce-osram-duris-e2835-8435612925588" TargetMode="External"/><Relationship Id="rId59" Type="http://schemas.openxmlformats.org/officeDocument/2006/relationships/hyperlink" Target="https://icilux.com/fr/ampoules-led-e27/1950-2788-ampoule-led-standard-e27-a60-9w-180-puce-osram-duris-e2835-8435612909380" TargetMode="External"/><Relationship Id="rId60" Type="http://schemas.openxmlformats.org/officeDocument/2006/relationships/hyperlink" Target="https://icilux.com/fr/ampoules-led-e27/1949-2785-ampoule-led-standard-e27-a60-12w-180-puce-osram-duris-e2835-8435612910577" TargetMode="External"/><Relationship Id="rId61" Type="http://schemas.openxmlformats.org/officeDocument/2006/relationships/hyperlink" Target="https://icilux.com/fr/ampoules-led-e27/1885-2662-ampoule-led-spherique-e27-g45-6w-220-puce-osram-duris-e2835-8435612909236" TargetMode="External"/><Relationship Id="rId62" Type="http://schemas.openxmlformats.org/officeDocument/2006/relationships/hyperlink" Target="https://icilux.com/fr/ampoules-led-e27/3124-4296-ampoule-led-e27-45w-haute-luminosite-industrielle-haute-puissance" TargetMode="External"/><Relationship Id="rId63" Type="http://schemas.openxmlformats.org/officeDocument/2006/relationships/hyperlink" Target="https://icilux.com/fr/ampoules-led-e27/2991-4288-ampoule-led-e27-33w-3630lm-haute-puissance-ip20" TargetMode="External"/><Relationship Id="rId64" Type="http://schemas.openxmlformats.org/officeDocument/2006/relationships/hyperlink" Target="https://icilux.com/fr/ampoules-led-e27/2998-10866-ampoule-led-filament-e27-6w-g80-gold-dimmable-vintage" TargetMode="External"/><Relationship Id="rId65" Type="http://schemas.openxmlformats.org/officeDocument/2006/relationships/hyperlink" Target="https://icilux.com/fr/ampoules-led-e27/3076-10679-ampoule-led-e27-40w-haute-puissance-haute-resistance-industrielle" TargetMode="External"/><Relationship Id="rId66" Type="http://schemas.openxmlformats.org/officeDocument/2006/relationships/hyperlink" Target="https://icilux.com/fr/ampoules-led-e27/3223-10809-ampoule-led-globe-e27-15w-g95-300-haute-efficacite-puce-osram" TargetMode="External"/><Relationship Id="rId67" Type="http://schemas.openxmlformats.org/officeDocument/2006/relationships/hyperlink" Target="https://icilux.com/fr/ampoules-led-e27/5065-10934-ampoule-led-filament-a60-e27-8w-100-lmw-dimmable" TargetMode="External"/><Relationship Id="rId68" Type="http://schemas.openxmlformats.org/officeDocument/2006/relationships/hyperlink" Target="https://icilux.com/fr/ampoules-led-gu10-g4/1881-2650-dichroique-led-gu10-6w-38-puce-osram-duris-e2835-8435612909106" TargetMode="External"/><Relationship Id="rId69" Type="http://schemas.openxmlformats.org/officeDocument/2006/relationships/hyperlink" Target="https://icilux.com/fr/ampoules-led-gu10-g4/1880-2647-dichroique-led-gu10-6w-100-puce-osram-duris-e2835-8435612909069" TargetMode="External"/><Relationship Id="rId70" Type="http://schemas.openxmlformats.org/officeDocument/2006/relationships/hyperlink" Target="https://icilux.com/fr/ampoules-led-gu10-g4/2111-2964-dichroique-led-gu10-6w-verre-puce-samsung-8435612913547" TargetMode="External"/><Relationship Id="rId71" Type="http://schemas.openxmlformats.org/officeDocument/2006/relationships/hyperlink" Target="https://icilux.com/fr/ampoules-led-gu10-g4/3015-4149-dichroique-led-gu10-10w-100-1200lm-puce-osram-duris-e2835" TargetMode="External"/><Relationship Id="rId72" Type="http://schemas.openxmlformats.org/officeDocument/2006/relationships/hyperlink" Target="https://icilux.com/fr/ampoules-led-gu10-g4/3027-4155-ampoule-led-gu10-8w-dichroique-24-cri98-dimmable-no-flick" TargetMode="External"/><Relationship Id="rId73" Type="http://schemas.openxmlformats.org/officeDocument/2006/relationships/hyperlink" Target="https://icilux.com/fr/accessoires-eclairages-led/2286-4015-anneau-encastrable-orientable-rond-o90mm-gu10-mr16-acier-blanc" TargetMode="External"/><Relationship Id="rId74" Type="http://schemas.openxmlformats.org/officeDocument/2006/relationships/hyperlink" Target="https://icilux.com/fr/ampoules-led-gu10-g4/3066-4197-ampoule-led-gu10-8w-dichroique-24-haute-luminosite-verre" TargetMode="External"/><Relationship Id="rId75" Type="http://schemas.openxmlformats.org/officeDocument/2006/relationships/hyperlink" Target="https://icilux.com/fr/ampoules-led-e14/1884-2657-ampoule-led-spherique-e14-g45-6w-220-puce-osram-duris-e2835-8435612909205" TargetMode="External"/><Relationship Id="rId76" Type="http://schemas.openxmlformats.org/officeDocument/2006/relationships/hyperlink" Target="https://icilux.com/fr/ampoules-led-e14/1882-2653-ampoule-led-flamme-e14-c37-6w-180-puce-osram-duris-e2835-8435612909168" TargetMode="External"/><Relationship Id="rId77" Type="http://schemas.openxmlformats.org/officeDocument/2006/relationships/hyperlink" Target="https://icilux.com/fr/ampoules-led-e14/3080-4214-ampoule-led-filament-flamme-e14-4w-c35-verre-dore-vintage" TargetMode="External"/><Relationship Id="rId78" Type="http://schemas.openxmlformats.org/officeDocument/2006/relationships/hyperlink" Target="https://icilux.com/fr/lineaires-led/2239-platine-de-jonction-en-aluminium-pour-luminaire-lineaire-led-8435612926349" TargetMode="External"/><Relationship Id="rId79" Type="http://schemas.openxmlformats.org/officeDocument/2006/relationships/hyperlink" Target="https://icilux.com/fr/lineaires-led/2193-3637-reglette-lineaire-led-60cm-18w-dali-blanche-en-surface" TargetMode="External"/><Relationship Id="rId80" Type="http://schemas.openxmlformats.org/officeDocument/2006/relationships/hyperlink" Target="https://icilux.com/fr/lineaires-led/3178-4437-reglette-lineaire-led-120cm-36w-dali-en-surface-aluminium" TargetMode="External"/><Relationship Id="rId81" Type="http://schemas.openxmlformats.org/officeDocument/2006/relationships/hyperlink" Target="https://icilux.com/fr/lineaires-led/2311-4270-barre-lineaire-led-40w-120cm-interconnectable-puce-osram-personnalisable" TargetMode="External"/><Relationship Id="rId82" Type="http://schemas.openxmlformats.org/officeDocument/2006/relationships/hyperlink" Target="https://icilux.com/fr/lineaires-led/3107-4272-barre-lineaire-led-50w-150cm-suspendue-3cct-puce-osram-personnalisable" TargetMode="External"/><Relationship Id="rId83" Type="http://schemas.openxmlformats.org/officeDocument/2006/relationships/hyperlink" Target="https://icilux.com/fr/lineaires-led/3177-10823-barre-lineaire-led-12w-60cm-interconnectable-puce-osram-personnalisable" TargetMode="External"/><Relationship Id="rId84" Type="http://schemas.openxmlformats.org/officeDocument/2006/relationships/hyperlink" Target="https://icilux.com/fr/rails-et-accessoires-led/1540-spot-rail-monophase-douille-gu10-orientable-noir-8400000017763" TargetMode="External"/><Relationship Id="rId85" Type="http://schemas.openxmlformats.org/officeDocument/2006/relationships/hyperlink" Target="https://icilux.com/fr/rails-et-accessoires-led/1539-spot-rail-monophase-douille-gu10-orientable-blanc-8400000017756" TargetMode="External"/><Relationship Id="rId86" Type="http://schemas.openxmlformats.org/officeDocument/2006/relationships/hyperlink" Target="https://icilux.com/fr/rails-et-accessoires-led/707-1014-rail-monophase-1-metre-renforce-pour-spots-led-aluminium-8940213011436" TargetMode="External"/><Relationship Id="rId87" Type="http://schemas.openxmlformats.org/officeDocument/2006/relationships/hyperlink" Target="https://icilux.com/fr/rails-et-accessoires-led/692-1006-connecteur-type-l-pour-rail-monophase-renforce-union-90-8940213009181" TargetMode="External"/><Relationship Id="rId88" Type="http://schemas.openxmlformats.org/officeDocument/2006/relationships/hyperlink" Target="https://icilux.com/fr/rails-et-accessoires-led/580-1010-connecteur-type-t-pour-rail-monophase-renforce-union-3-voies-8940213012051" TargetMode="External"/><Relationship Id="rId89" Type="http://schemas.openxmlformats.org/officeDocument/2006/relationships/hyperlink" Target="https://icilux.com/fr/rails-et-accessoires-led/579-1008-connecteur-type-i-pour-rail-monophase-renforce-union-lineaire-8940213009174" TargetMode="External"/><Relationship Id="rId90" Type="http://schemas.openxmlformats.org/officeDocument/2006/relationships/hyperlink" Target="https://icilux.com/fr/rails-et-accessoires-led/578-1016-rail-monophase-2-metres-renforce-pour-spots-led-aluminium-8940213009167" TargetMode="External"/><Relationship Id="rId91" Type="http://schemas.openxmlformats.org/officeDocument/2006/relationships/hyperlink" Target="https://icilux.com/fr/rails-et-accessoires-led/1577-2106-kit-suspension-pour-rail-led-monophase-cable-acier-8400000018524" TargetMode="External"/><Relationship Id="rId92" Type="http://schemas.openxmlformats.org/officeDocument/2006/relationships/hyperlink" Target="https://icilux.com/fr/accessoires-eclairages-led/674-kit-anti-scintillement-led-pour-variateurs-triac-elimine-le-flicker-8400000005616" TargetMode="External"/><Relationship Id="rId93" Type="http://schemas.openxmlformats.org/officeDocument/2006/relationships/hyperlink" Target="https://icilux.com/fr/accessoires-led-rail-triphase/1410-rail-triphase-de-1-metre-noir-led-a-3-circuits-8400000008686" TargetMode="External"/><Relationship Id="rId94" Type="http://schemas.openxmlformats.org/officeDocument/2006/relationships/hyperlink" Target="https://icilux.com/fr/accessoires-led-rail-triphase/1411-rail-triphase-de-2-metres-noir-led-a-3-circuits-8400000010283" TargetMode="External"/><Relationship Id="rId95" Type="http://schemas.openxmlformats.org/officeDocument/2006/relationships/hyperlink" Target="https://icilux.com/fr/rails-et-accessoires-led/3425-kit-suspension-rail-led-monophase-1m-cable-acier-orientable" TargetMode="External"/><Relationship Id="rId96" Type="http://schemas.openxmlformats.org/officeDocument/2006/relationships/hyperlink" Target="https://icilux.com/fr/cloches-pro-led-ufo/4431-10770-cloche-led-industrielle-ufo-120-200w-3cct-reglable-1-10v-driver-philips" TargetMode="External"/><Relationship Id="rId97" Type="http://schemas.openxmlformats.org/officeDocument/2006/relationships/hyperlink" Target="https://icilux.com/fr/cloches-pro-led-ufo/4506-10829-cloche-led-industrielle-ufo-120-200w-3cct-reglable-1-10v-driver-philips" TargetMode="External"/><Relationship Id="rId98" Type="http://schemas.openxmlformats.org/officeDocument/2006/relationships/hyperlink" Target="https://icilux.com/fr/cloches-pro-led-ufo/3171-10825-cloche-led-industrielle-ufo-150w-170lmw-reglable-1-10v-driver-philips" TargetMode="External"/><Relationship Id="rId99" Type="http://schemas.openxmlformats.org/officeDocument/2006/relationships/hyperlink" Target="https://icilux.com/fr/cloches-pro-led-ufo/5079-10941-cloche-industrielle-led-ufo-suspension-120-200w-3cct-philips" TargetMode="External"/><Relationship Id="rId100" Type="http://schemas.openxmlformats.org/officeDocument/2006/relationships/hyperlink" Target="https://icilux.com/fr/eclairage-atex-atmospheres-explosives/5132-cloche-industrielle-led-ufo-atex-200w-ip66-ik10-lumileds" TargetMode="External"/><Relationship Id="rId101" Type="http://schemas.openxmlformats.org/officeDocument/2006/relationships/hyperlink" Target="https://icilux.com/fr/cloches-pro-led-ufo/2980-4486-cloche-led-industrielle-ufo-80-200w-selectionnable-ip65-puce-lumileds-luxeon" TargetMode="External"/><Relationship Id="rId102" Type="http://schemas.openxmlformats.org/officeDocument/2006/relationships/hyperlink" Target="https://icilux.com/fr/accessoires-eclairages-led/674-kit-anti-scintillement-led-pour-variateurs-triac-elimine-le-flicker-8400000005616" TargetMode="External"/><Relationship Id="rId103" Type="http://schemas.openxmlformats.org/officeDocument/2006/relationships/hyperlink" Target="https://icilux.com/fr/accessoires-projecteur-led/991-connecteur-etanche-en-x-ip68-pour-raccordement-4-voies-en-exterieur-8400000009300" TargetMode="External"/><Relationship Id="rId104" Type="http://schemas.openxmlformats.org/officeDocument/2006/relationships/hyperlink" Target="https://icilux.com/fr/variateur-detecteur-led-ac/2198-convertisseur-de-signal-1-10v-vers-dali-pour-eclairage-led-professionnel-8435612922495" TargetMode="External"/><Relationship Id="rId105" Type="http://schemas.openxmlformats.org/officeDocument/2006/relationships/hyperlink" Target="https://icilux.com/fr/accessoires-lampadaires-led/2374-protecteur-de-surtensions-transitoires-pour-led-jusqu-a-10kv-843561291783" TargetMode="External"/><Relationship Id="rId106" Type="http://schemas.openxmlformats.org/officeDocument/2006/relationships/hyperlink" Target="https://icilux.com/fr/cloches-pro-led-ufo/3153-4406-cloche-led-industrielle-ufo-100-200w-selectionnable-ip65-puce-osram" TargetMode="External"/><Relationship Id="rId107" Type="http://schemas.openxmlformats.org/officeDocument/2006/relationships/hyperlink" Target="https://icilux.com/fr/cloches-pro-led-ufo/3154-4407-cloche-led-industrielle-ufo-80-150w-selectionnable-ip65-puce-osram" TargetMode="External"/><Relationship Id="rId108" Type="http://schemas.openxmlformats.org/officeDocument/2006/relationships/hyperlink" Target="https://icilux.com/fr/cloches-pro-led-ufo/3161-4424-cloche-led-industrielle-ufo-80-200w-selectionnable-ip65-puce-lumileds" TargetMode="External"/><Relationship Id="rId109" Type="http://schemas.openxmlformats.org/officeDocument/2006/relationships/hyperlink" Target="https://icilux.com/fr/cloches-pro-led-ufo/4382-10784-cloche-led-industrielle-ufo-200w-3cct-130lmw-ip65-puce-lumileds" TargetMode="External"/><Relationship Id="rId110" Type="http://schemas.openxmlformats.org/officeDocument/2006/relationships/hyperlink" Target="https://icilux.com/fr/cloches-pro-led-ufo/4381-10498-cloche-led-industrielle-ufo-150w-3cct-130lmw-ip65-puce-lumileds" TargetMode="External"/><Relationship Id="rId111" Type="http://schemas.openxmlformats.org/officeDocument/2006/relationships/hyperlink" Target="https://icilux.com/fr/cloches-pro-led-ufo/3749-10795-cloche-led-industrielle-ufo-200w-170lmw-reglable-1-10v-driver-philips" TargetMode="External"/><Relationship Id="rId112" Type="http://schemas.openxmlformats.org/officeDocument/2006/relationships/hyperlink" Target="https://icilux.com/fr/cloches-pro-led-ufo/4380-10496-cloche-led-industrielle-ufo-100w-3cct-130lmw-ip65-puce-lumileds" TargetMode="External"/><Relationship Id="rId113" Type="http://schemas.openxmlformats.org/officeDocument/2006/relationships/hyperlink" Target="https://icilux.com/fr/cloches-pro-led-ufo/4430-10541-cloche-led-industrielle-ufo-80-120w-3cct-reglable-1-10v-driver-philips" TargetMode="External"/><Relationship Id="rId114" Type="http://schemas.openxmlformats.org/officeDocument/2006/relationships/hyperlink" Target="https://icilux.com/fr/accessoires-pour-cloche-led/5081-lentille-120-pour-cloche-led" TargetMode="External"/><Relationship Id="rId115" Type="http://schemas.openxmlformats.org/officeDocument/2006/relationships/hyperlink" Target="https://icilux.com/fr/appliques-murales-led/1943-applique-murale-e27-exterieur-ip44-en-aluminium-8435612908949" TargetMode="External"/><Relationship Id="rId116" Type="http://schemas.openxmlformats.org/officeDocument/2006/relationships/hyperlink" Target="https://icilux.com/fr/appliques-murales-led/1942-applique-murale-e27-exterieur-ip44-en-acier-inoxydable-8435612908932" TargetMode="External"/><Relationship Id="rId117" Type="http://schemas.openxmlformats.org/officeDocument/2006/relationships/hyperlink" Target="https://icilux.com/fr/appliques-murales-led/1328-1693-applique-murale-led-12w-double-lumiere-exterieur-ip54-decorative-8400000013437" TargetMode="External"/><Relationship Id="rId118" Type="http://schemas.openxmlformats.org/officeDocument/2006/relationships/hyperlink" Target="https://icilux.com/fr/appliques-murales-led/2280-applique-murale-led-2-gu10-ip65-bidirectionnelle-int-ext" TargetMode="External"/><Relationship Id="rId119" Type="http://schemas.openxmlformats.org/officeDocument/2006/relationships/hyperlink" Target="https://icilux.com/fr/appliques-murales-led/3804-6384-applique-led-murale-12w-ip65-interieur-exterieur-blanc-integre" TargetMode="External"/><Relationship Id="rId120" Type="http://schemas.openxmlformats.org/officeDocument/2006/relationships/hyperlink" Target="https://icilux.com/fr/eclairage-urgence-led/1469-kit-de-conversion-secours-pour-luminaire-led-autonomie-3h-8400000016735" TargetMode="External"/><Relationship Id="rId121" Type="http://schemas.openxmlformats.org/officeDocument/2006/relationships/hyperlink" Target="https://icilux.com/fr/eclairage-urgence-led/1090-1432-bloc-de-secours-led-4w-ip65-permanent-avec-kit-plafond-8940213013393" TargetMode="External"/><Relationship Id="rId122" Type="http://schemas.openxmlformats.org/officeDocument/2006/relationships/hyperlink" Target="https://icilux.com/fr/eclairage-urgence-led/3055-bloc-secours-led-4w-surface-plafond-ip20-permanent-non-permanent" TargetMode="External"/><Relationship Id="rId123" Type="http://schemas.openxmlformats.org/officeDocument/2006/relationships/hyperlink" Target="https://icilux.com/fr/eclairage-urgence-led/3195-bloc-secours-led-400lm-autotest-surface-plafond-ip20-permanent" TargetMode="External"/><Relationship Id="rId124" Type="http://schemas.openxmlformats.org/officeDocument/2006/relationships/hyperlink" Target="https://icilux.com/fr/eclairage-atex-atmospheres-explosives/5136-bloc-secours-led-atex-permanent-3w-200lm-ip65" TargetMode="External"/><Relationship Id="rId125" Type="http://schemas.openxmlformats.org/officeDocument/2006/relationships/hyperlink" Target="https://icilux.com/fr/eclairage-atex-atmospheres-explosives/5137-bloc-secours-led-atex-non-permanent-3w-200lm-ip65" TargetMode="External"/><Relationship Id="rId126" Type="http://schemas.openxmlformats.org/officeDocument/2006/relationships/hyperlink" Target="https://icilux.com/fr/detecteurs-de-presence-led/1174-detecteur-de-mouvement-en-surface-slim-pour-led-ac220-240v-8400000011716" TargetMode="External"/><Relationship Id="rId127" Type="http://schemas.openxmlformats.org/officeDocument/2006/relationships/hyperlink" Target="https://icilux.com/fr/detecteurs-de-presence-led/198-detecteur-de-mouvement-radar-micro-ondes-pour-led-300w-ip20-8400000002622" TargetMode="External"/><Relationship Id="rId128" Type="http://schemas.openxmlformats.org/officeDocument/2006/relationships/hyperlink" Target="https://icilux.com/fr/detecteurs-de-presence-led/5056-detecteur-de-mouvement-infrarouge-encastrable-360-6m-pour-led-8400000002615" TargetMode="External"/><Relationship Id="rId129" Type="http://schemas.openxmlformats.org/officeDocument/2006/relationships/hyperlink" Target="https://icilux.com/fr/downlight-led-saillie/2051-plafonnier-led-surface-carre-8w-acier-inox-cct-puce-osram-8435612912489" TargetMode="External"/><Relationship Id="rId130" Type="http://schemas.openxmlformats.org/officeDocument/2006/relationships/hyperlink" Target="https://icilux.com/fr/downlight-led-saillie/1904-2716-plafonnier-led-surface-carre-20w-puce-osram-duris-e2835-8435612907669" TargetMode="External"/><Relationship Id="rId131" Type="http://schemas.openxmlformats.org/officeDocument/2006/relationships/hyperlink" Target="https://icilux.com/fr/downlight-led-saillie/2391-4110-plafonnier-led-surface-rond-18-24w-cct-capteur-mouvement-puce-osram-8435612911864" TargetMode="External"/><Relationship Id="rId132" Type="http://schemas.openxmlformats.org/officeDocument/2006/relationships/hyperlink" Target="https://icilux.com/fr/downlight-led-saillie/3116-downlight-led-reglable-carre-24w-3cct-blanc-lumileds" TargetMode="External"/><Relationship Id="rId133" Type="http://schemas.openxmlformats.org/officeDocument/2006/relationships/hyperlink" Target="https://icilux.com/fr/downlight-led-saillie/3117-downlight-led-reglable-carre-24w-3cct-noir-lumileds" TargetMode="External"/><Relationship Id="rId134" Type="http://schemas.openxmlformats.org/officeDocument/2006/relationships/hyperlink" Target="https://icilux.com/fr/downlight-led-saillie/3118-downlight-led-reglable-carre-18w-3cct-blanc-lumileds" TargetMode="External"/><Relationship Id="rId135" Type="http://schemas.openxmlformats.org/officeDocument/2006/relationships/hyperlink" Target="https://icilux.com/fr/downlight-led-saillie/3119-downlight-led-reglable-carre-18w-3cct-noir-lumileds" TargetMode="External"/><Relationship Id="rId136" Type="http://schemas.openxmlformats.org/officeDocument/2006/relationships/hyperlink" Target="https://icilux.com/fr/downlight-led-saillie/3120-downlight-led-reglable-rond-18w-3cct-blanc-lumileds" TargetMode="External"/><Relationship Id="rId137" Type="http://schemas.openxmlformats.org/officeDocument/2006/relationships/hyperlink" Target="https://icilux.com/fr/downlight-led-saillie/3121-downlight-led-reglable-rond-18w-3cct-noir-lumileds" TargetMode="External"/><Relationship Id="rId138" Type="http://schemas.openxmlformats.org/officeDocument/2006/relationships/hyperlink" Target="https://icilux.com/fr/downlight-led-saillie/3122-downlight-led-reglable-rond-6w-3cct-blanc-lumileds" TargetMode="External"/><Relationship Id="rId139" Type="http://schemas.openxmlformats.org/officeDocument/2006/relationships/hyperlink" Target="https://icilux.com/fr/spot-led-encastrables/2017-downlight-led-encastrable-frameless-24w-3cct-sans-cadre-puce-osram-8435612912625" TargetMode="External"/><Relationship Id="rId140" Type="http://schemas.openxmlformats.org/officeDocument/2006/relationships/hyperlink" Target="https://icilux.com/fr/spot-led-encastrables/2020-downlight-led-encastrable-frameless-8w-3cct-sans-cadre-puce-osram-8435612912601" TargetMode="External"/><Relationship Id="rId141" Type="http://schemas.openxmlformats.org/officeDocument/2006/relationships/hyperlink" Target="https://icilux.com/fr/downlight-led-saillie/3069-plafonnier-led-surface-16-24w-3cct-plafond-puce-osram-rond" TargetMode="External"/><Relationship Id="rId142" Type="http://schemas.openxmlformats.org/officeDocument/2006/relationships/hyperlink" Target="https://icilux.com/fr/downlight-led-saillie/3147-plafonnier-led-surface-16-24w-3cct-capteur-radar-mouvement-puce-osram" TargetMode="External"/><Relationship Id="rId143" Type="http://schemas.openxmlformats.org/officeDocument/2006/relationships/hyperlink" Target="https://icilux.com/fr/downlight-led-saillie/3181-4443-plafonnier-led-surface-rond-18w-140lmw-puce-osram-duris-e2835" TargetMode="External"/><Relationship Id="rId144" Type="http://schemas.openxmlformats.org/officeDocument/2006/relationships/hyperlink" Target="https://icilux.com/fr/downlight-led-saillie/4447-plafonnier-led-surface-rond-15w-4cct-ugr19-cri92-driver-gxtronic" TargetMode="External"/><Relationship Id="rId145" Type="http://schemas.openxmlformats.org/officeDocument/2006/relationships/hyperlink" Target="https://icilux.com/fr/downlight-led-saillie/4453-plafonnier-led-surface-rond-24w-4cct-ugr19-cri92-driver-gxtronic" TargetMode="External"/><Relationship Id="rId146" Type="http://schemas.openxmlformats.org/officeDocument/2006/relationships/hyperlink" Target="https://icilux.com/fr/downlight-led-saillie/4454-plafonnier-led-surface-rond-30w-4cct-ugr19-cri92-driver-gxtronic" TargetMode="External"/><Relationship Id="rId147" Type="http://schemas.openxmlformats.org/officeDocument/2006/relationships/hyperlink" Target="https://icilux.com/fr/downlight-led-saillie/4456-plafonnier-led-surface-carre-30w-4cct-ugr19-cri92-driver-gxtronic" TargetMode="External"/><Relationship Id="rId148" Type="http://schemas.openxmlformats.org/officeDocument/2006/relationships/hyperlink" Target="https://icilux.com/fr/downlight-led-saillie/3805-6386-plafonnier-led-surface-12w-ip65-interieur-exterieur-mur-et-plafond" TargetMode="External"/><Relationship Id="rId149" Type="http://schemas.openxmlformats.org/officeDocument/2006/relationships/hyperlink" Target="https://icilux.com/fr/downlight-led-saillie/4304-plafonnier-led-surface-10-20w-5cct-capteur-radar-ip44-plafond-rond" TargetMode="External"/><Relationship Id="rId150" Type="http://schemas.openxmlformats.org/officeDocument/2006/relationships/hyperlink" Target="https://icilux.com/fr/downlight-led-saillie/4455-plafonnier-led-surface-carre-24w-4cct-ugr19-cri92-driver-gxtronic" TargetMode="External"/><Relationship Id="rId151" Type="http://schemas.openxmlformats.org/officeDocument/2006/relationships/drawing" Target="../drawings/drawing21.xml"/>
</Relationships>
</file>

<file path=xl/worksheets/_rels/sheet27.xml.rels><?xml version="1.0" encoding="UTF-8"?>
<Relationships xmlns="http://schemas.openxmlformats.org/package/2006/relationships"><Relationship Id="rId1" Type="http://schemas.openxmlformats.org/officeDocument/2006/relationships/drawing" Target="../drawings/drawing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294B"/>
    <pageSetUpPr fitToPage="true"/>
  </sheetPr>
  <dimension ref="A1:F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5" min="2" style="0" width="30"/>
    <col collapsed="false" customWidth="true" hidden="false" outlineLevel="0" max="6" min="6" style="0" width="3"/>
  </cols>
  <sheetData>
    <row r="1" customFormat="false" ht="6" hidden="false" customHeight="true" outlineLevel="0" collapsed="false">
      <c r="A1" s="1"/>
      <c r="B1" s="1"/>
      <c r="C1" s="1"/>
      <c r="D1" s="1"/>
      <c r="E1" s="1"/>
      <c r="F1" s="1"/>
    </row>
    <row r="3" customFormat="false" ht="31.5" hidden="false" customHeight="true" outlineLevel="0" collapsed="false">
      <c r="B3" s="2" t="s">
        <v>0</v>
      </c>
      <c r="C3" s="2"/>
      <c r="D3" s="2"/>
      <c r="E3" s="2"/>
    </row>
    <row r="4" customFormat="false" ht="25.5" hidden="false" customHeight="true" outlineLevel="0" collapsed="false">
      <c r="B4" s="3" t="s">
        <v>1</v>
      </c>
      <c r="C4" s="3"/>
      <c r="D4" s="3"/>
      <c r="E4" s="3"/>
    </row>
    <row r="6" customFormat="false" ht="31.5" hidden="false" customHeight="true" outlineLevel="0" collapsed="false">
      <c r="B6" s="4" t="n">
        <v>547</v>
      </c>
      <c r="C6" s="4" t="n">
        <v>526</v>
      </c>
      <c r="D6" s="4" t="n">
        <v>289</v>
      </c>
      <c r="E6" s="4" t="n">
        <v>21</v>
      </c>
    </row>
    <row r="7" customFormat="false" ht="15" hidden="false" customHeight="false" outlineLevel="0" collapsed="false">
      <c r="B7" s="5" t="s">
        <v>2</v>
      </c>
      <c r="C7" s="5" t="s">
        <v>3</v>
      </c>
      <c r="D7" s="5" t="s">
        <v>4</v>
      </c>
      <c r="E7" s="5" t="s">
        <v>5</v>
      </c>
    </row>
    <row r="9" customFormat="false" ht="45.75" hidden="false" customHeight="true" outlineLevel="0" collapsed="false">
      <c r="B9" s="6" t="s">
        <v>6</v>
      </c>
      <c r="C9" s="7" t="s">
        <v>7</v>
      </c>
      <c r="D9" s="7"/>
      <c r="E9" s="7"/>
    </row>
    <row r="10" customFormat="false" ht="45.75" hidden="false" customHeight="true" outlineLevel="0" collapsed="false">
      <c r="B10" s="6" t="s">
        <v>8</v>
      </c>
      <c r="C10" s="7" t="s">
        <v>9</v>
      </c>
      <c r="D10" s="7"/>
      <c r="E10" s="7"/>
    </row>
    <row r="11" customFormat="false" ht="75" hidden="false" customHeight="true" outlineLevel="0" collapsed="false">
      <c r="B11" s="6" t="s">
        <v>10</v>
      </c>
      <c r="C11" s="7" t="s">
        <v>11</v>
      </c>
      <c r="D11" s="7"/>
      <c r="E11" s="7"/>
    </row>
    <row r="12" customFormat="false" ht="45.75" hidden="false" customHeight="true" outlineLevel="0" collapsed="false">
      <c r="B12" s="6" t="s">
        <v>12</v>
      </c>
      <c r="C12" s="7" t="s">
        <v>13</v>
      </c>
      <c r="D12" s="7"/>
      <c r="E12" s="7"/>
    </row>
    <row r="13" customFormat="false" ht="45.75" hidden="false" customHeight="true" outlineLevel="0" collapsed="false">
      <c r="B13" s="6" t="s">
        <v>14</v>
      </c>
      <c r="C13" s="7" t="s">
        <v>15</v>
      </c>
      <c r="D13" s="7"/>
      <c r="E13" s="7"/>
    </row>
    <row r="14" customFormat="false" ht="45.75" hidden="false" customHeight="true" outlineLevel="0" collapsed="false">
      <c r="B14" s="6" t="s">
        <v>16</v>
      </c>
      <c r="C14" s="7" t="s">
        <v>17</v>
      </c>
      <c r="D14" s="7"/>
      <c r="E14" s="7"/>
    </row>
    <row r="15" customFormat="false" ht="45.75" hidden="false" customHeight="true" outlineLevel="0" collapsed="false">
      <c r="B15" s="6" t="s">
        <v>18</v>
      </c>
      <c r="C15" s="7" t="s">
        <v>19</v>
      </c>
      <c r="D15" s="7"/>
      <c r="E15" s="7"/>
    </row>
    <row r="16" customFormat="false" ht="45.75" hidden="false" customHeight="true" outlineLevel="0" collapsed="false">
      <c r="B16" s="6" t="s">
        <v>20</v>
      </c>
      <c r="C16" s="7" t="s">
        <v>21</v>
      </c>
      <c r="D16" s="7"/>
      <c r="E16" s="7"/>
    </row>
    <row r="18" customFormat="false" ht="15" hidden="false" customHeight="false" outlineLevel="0" collapsed="false">
      <c r="B18" s="8" t="s">
        <v>22</v>
      </c>
    </row>
    <row r="19" customFormat="false" ht="30" hidden="false" customHeight="true" outlineLevel="0" collapsed="false">
      <c r="B19" s="9" t="s">
        <v>23</v>
      </c>
      <c r="C19" s="10" t="s">
        <v>24</v>
      </c>
      <c r="D19" s="10"/>
      <c r="E19" s="10"/>
    </row>
    <row r="20" customFormat="false" ht="30" hidden="false" customHeight="true" outlineLevel="0" collapsed="false">
      <c r="B20" s="11" t="s">
        <v>25</v>
      </c>
      <c r="C20" s="10" t="s">
        <v>26</v>
      </c>
      <c r="D20" s="10"/>
      <c r="E20" s="10"/>
    </row>
    <row r="21" customFormat="false" ht="30" hidden="false" customHeight="true" outlineLevel="0" collapsed="false">
      <c r="B21" s="12" t="s">
        <v>27</v>
      </c>
      <c r="C21" s="10" t="s">
        <v>28</v>
      </c>
      <c r="D21" s="10"/>
      <c r="E21" s="10"/>
    </row>
    <row r="22" customFormat="false" ht="30" hidden="false" customHeight="true" outlineLevel="0" collapsed="false">
      <c r="B22" s="13" t="s">
        <v>29</v>
      </c>
      <c r="C22" s="10" t="s">
        <v>30</v>
      </c>
      <c r="D22" s="10"/>
      <c r="E22" s="10"/>
    </row>
  </sheetData>
  <mergeCells count="14">
    <mergeCell ref="B3:E3"/>
    <mergeCell ref="B4:E4"/>
    <mergeCell ref="C9:E9"/>
    <mergeCell ref="C10:E10"/>
    <mergeCell ref="C11:E11"/>
    <mergeCell ref="C12:E12"/>
    <mergeCell ref="C13:E13"/>
    <mergeCell ref="C14:E14"/>
    <mergeCell ref="C15:E15"/>
    <mergeCell ref="C16:E16"/>
    <mergeCell ref="C19:E19"/>
    <mergeCell ref="C20:E20"/>
    <mergeCell ref="C21:E21"/>
    <mergeCell ref="C22:E22"/>
  </mergeCells>
  <printOptions headings="false" gridLines="false" gridLinesSet="true" horizontalCentered="false" verticalCentered="false"/>
  <pageMargins left="0.25" right="0.25" top="0.4" bottom="0.4"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&amp;L&amp;8 Catalogue TCE ANELEC — 09/09/2026 — document interne&amp;R&amp;8 Page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E7A3E"/>
    <pageSetUpPr fitToPage="true"/>
  </sheetPr>
  <dimension ref="A1:J8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11"/>
    <col collapsed="false" customWidth="true" hidden="false" outlineLevel="0" max="4" min="4" style="0" width="20"/>
    <col collapsed="false" customWidth="true" hidden="false" outlineLevel="0" max="5" min="5" style="0" width="48"/>
    <col collapsed="false" customWidth="true" hidden="false" outlineLevel="0" max="6" min="6" style="0" width="14"/>
    <col collapsed="false" customWidth="true" hidden="false" outlineLevel="0" max="7" min="7" style="0" width="13"/>
    <col collapsed="false" customWidth="true" hidden="false" outlineLevel="0" max="8" min="8" style="0" width="34"/>
    <col collapsed="false" customWidth="true" hidden="false" outlineLevel="0" max="10" min="9" style="0" width="22"/>
  </cols>
  <sheetData>
    <row r="1" customFormat="false" ht="30" hidden="false" customHeight="true" outlineLevel="0" collapsed="false">
      <c r="A1" s="14" t="s">
        <v>31</v>
      </c>
      <c r="B1" s="14"/>
      <c r="C1" s="14"/>
      <c r="D1" s="14"/>
      <c r="E1" s="14"/>
      <c r="F1" s="14"/>
      <c r="G1" s="14"/>
      <c r="H1" s="14"/>
      <c r="I1" s="14"/>
    </row>
    <row r="2" customFormat="false" ht="30" hidden="false" customHeight="true" outlineLevel="0" collapsed="false">
      <c r="A2" s="3" t="s">
        <v>32</v>
      </c>
      <c r="B2" s="3"/>
      <c r="C2" s="3"/>
      <c r="D2" s="3"/>
      <c r="E2" s="3"/>
      <c r="F2" s="3"/>
      <c r="G2" s="3"/>
      <c r="H2" s="3"/>
      <c r="I2" s="3"/>
      <c r="J2" s="3"/>
    </row>
    <row r="4" customFormat="false" ht="25.5" hidden="false" customHeight="true" outlineLevel="0" collapsed="false">
      <c r="A4" s="15" t="s">
        <v>33</v>
      </c>
      <c r="B4" s="16" t="s">
        <v>34</v>
      </c>
      <c r="C4" s="16"/>
      <c r="D4" s="16"/>
      <c r="E4" s="17" t="s">
        <v>35</v>
      </c>
    </row>
    <row r="6" customFormat="false" ht="31.5" hidden="false" customHeight="true" outlineLevel="0" collapsed="false">
      <c r="A6" s="18" t="s">
        <v>36</v>
      </c>
      <c r="B6" s="18" t="s">
        <v>37</v>
      </c>
      <c r="C6" s="18" t="s">
        <v>38</v>
      </c>
      <c r="D6" s="18" t="s">
        <v>39</v>
      </c>
      <c r="E6" s="18" t="s">
        <v>40</v>
      </c>
      <c r="F6" s="18" t="s">
        <v>41</v>
      </c>
      <c r="G6" s="18" t="s">
        <v>42</v>
      </c>
      <c r="H6" s="18" t="s">
        <v>43</v>
      </c>
      <c r="I6" s="18" t="s">
        <v>44</v>
      </c>
      <c r="J6" s="18" t="s">
        <v>45</v>
      </c>
    </row>
    <row r="7" customFormat="false" ht="27.75" hidden="false" customHeight="true" outlineLevel="0" collapsed="false">
      <c r="A7" s="19" t="str">
        <f aca="false">IFERROR(IF(INDEX('Base articles'!$D$2:$D$1153,MATCH(1,'Base articles'!$T$2:$T$1153,0))="","",INDEX('Base articles'!$D$2:$D$1153,MATCH(1,'Base articles'!$T$2:$T$1153,0))),"")</f>
        <v>Disjoncteur ph+N 10 A courbe C</v>
      </c>
      <c r="B7" s="20" t="str">
        <f aca="false">IFERROR(IF(INDEX('Base articles'!$F$2:$F$1153,MATCH(1,'Base articles'!$T$2:$T$1153,0))="","",INDEX('Base articles'!$F$2:$F$1153,MATCH(1,'Base articles'!$T$2:$T$1153,0))),"")</f>
        <v>Au Forum du Bâtiment</v>
      </c>
      <c r="C7" s="21" t="n">
        <f aca="false">IFERROR(INDEX('Base articles'!$H$2:$H$1153,MATCH(1,'Base articles'!$T$2:$T$1153,0)),"")</f>
        <v>8.46</v>
      </c>
      <c r="D7" s="20" t="str">
        <f aca="false">IFERROR(IF(INDEX('Base articles'!$G$2:$G$1153,MATCH(1,'Base articles'!$T$2:$T$1153,0))="","",INDEX('Base articles'!$G$2:$G$1153,MATCH(1,'Base articles'!$T$2:$T$1153,0))),"")</f>
        <v>Prix public HT</v>
      </c>
      <c r="E7" s="19" t="str">
        <f aca="false">IFERROR(IF(INDEX('Base articles'!$K$2:$K$1153,MATCH(1,'Base articles'!$T$2:$T$1153,0))="","",INDEX('Base articles'!$K$2:$K$1153,MATCH(1,'Base articles'!$T$2:$T$1153,0))),"")</f>
        <v>Disjoncteur FIXMATIC AUTO 10 A courbe C Phase + Neutre GEWISS GW90606F</v>
      </c>
      <c r="F7" s="20" t="str">
        <f aca="false">IFERROR(IF(INDEX('Base articles'!$M$2:$M$1153,MATCH(1,'Base articles'!$T$2:$T$1153,0))="","",INDEX('Base articles'!$M$2:$M$1153,MATCH(1,'Base articles'!$T$2:$T$1153,0))),"")</f>
        <v>753206</v>
      </c>
      <c r="G7" s="22" t="str">
        <f aca="false">IFERROR(IF(INDEX('Base articles'!$N$2:$N$1153,MATCH(1,'Base articles'!$T$2:$T$1153,0))="","",INDEX('Base articles'!$N$2:$N$1153,MATCH(1,'Base articles'!$T$2:$T$1153,0))),"")</f>
        <v>u</v>
      </c>
      <c r="H7" s="19" t="str">
        <f aca="false">IFERROR(IF(INDEX('Base articles'!$P$2:$P$1153,MATCH(1,'Base articles'!$T$2:$T$1153,0))="","",INDEX('Base articles'!$P$2:$P$1153,MATCH(1,'Base articles'!$T$2:$T$1153,0))),"")</f>
        <v>Retrait agence · Livraison selon agence</v>
      </c>
      <c r="I7" s="19" t="str">
        <f aca="false">IFERROR(IF(INDEX('Base articles'!$Q$2:$Q$1153,MATCH(1,'Base articles'!$T$2:$T$1153,0))="","",INDEX('Base articles'!$Q$2:$Q$1153,MATCH(1,'Base articles'!$T$2:$T$1153,0))),"")</f>
        <v>Élevée</v>
      </c>
      <c r="J7" s="20" t="str">
        <f aca="false">IFERROR(IF(INDEX('Base articles'!$B$2:$B$1153,MATCH(1,'Base articles'!$T$2:$T$1153,0))="","",INDEX('Base articles'!$B$2:$B$1153,MATCH(1,'Base articles'!$T$2:$T$1153,0))),"")</f>
        <v>01 · Électricité CFO</v>
      </c>
    </row>
    <row r="8" customFormat="false" ht="27.75" hidden="false" customHeight="true" outlineLevel="0" collapsed="false">
      <c r="A8" s="23" t="str">
        <f aca="false">IFERROR(IF(INDEX('Base articles'!$D$2:$D$1153,MATCH(2,'Base articles'!$T$2:$T$1153,0))="","",INDEX('Base articles'!$D$2:$D$1153,MATCH(2,'Base articles'!$T$2:$T$1153,0))),"")</f>
        <v>Disjoncteur ph+N 10 A courbe C</v>
      </c>
      <c r="B8" s="24" t="str">
        <f aca="false">IFERROR(IF(INDEX('Base articles'!$F$2:$F$1153,MATCH(2,'Base articles'!$T$2:$T$1153,0))="","",INDEX('Base articles'!$F$2:$F$1153,MATCH(2,'Base articles'!$T$2:$T$1153,0))),"")</f>
        <v>Rexel</v>
      </c>
      <c r="C8" s="25" t="n">
        <f aca="false">IFERROR(INDEX('Base articles'!$H$2:$H$1153,MATCH(2,'Base articles'!$T$2:$T$1153,0)),"")</f>
        <v>8.78</v>
      </c>
      <c r="D8" s="24" t="str">
        <f aca="false">IFERROR(IF(INDEX('Base articles'!$G$2:$G$1153,MATCH(2,'Base articles'!$T$2:$T$1153,0))="","",INDEX('Base articles'!$G$2:$G$1153,MATCH(2,'Base articles'!$T$2:$T$1153,0))),"")</f>
        <v>Votre tarif client</v>
      </c>
      <c r="E8" s="23" t="str">
        <f aca="false">IFERROR(IF(INDEX('Base articles'!$K$2:$K$1153,MATCH(2,'Base articles'!$T$2:$T$1153,0))="","",INDEX('Base articles'!$K$2:$K$1153,MATCH(2,'Base articles'!$T$2:$T$1153,0))),"")</f>
        <v>HAGER Disjoncteur Phase + Neutre 10A 3kA Courbe C bornes à vis 1 Module</v>
      </c>
      <c r="F8" s="24" t="str">
        <f aca="false">IFERROR(IF(INDEX('Base articles'!$M$2:$M$1153,MATCH(2,'Base articles'!$T$2:$T$1153,0))="","",INDEX('Base articles'!$M$2:$M$1153,MATCH(2,'Base articles'!$T$2:$T$1153,0))),"")</f>
        <v>HAGMFN710</v>
      </c>
      <c r="G8" s="26" t="str">
        <f aca="false">IFERROR(IF(INDEX('Base articles'!$N$2:$N$1153,MATCH(2,'Base articles'!$T$2:$T$1153,0))="","",INDEX('Base articles'!$N$2:$N$1153,MATCH(2,'Base articles'!$T$2:$T$1153,0))),"")</f>
        <v/>
      </c>
      <c r="H8" s="23" t="str">
        <f aca="false">IFERROR(IF(INDEX('Base articles'!$P$2:$P$1153,MATCH(2,'Base articles'!$T$2:$T$1153,0))="","",INDEX('Base articles'!$P$2:$P$1153,MATCH(2,'Base articles'!$T$2:$T$1153,0))),"")</f>
        <v>Retrait agence · Livraison selon agence</v>
      </c>
      <c r="I8" s="23" t="str">
        <f aca="false">IFERROR(IF(INDEX('Base articles'!$Q$2:$Q$1153,MATCH(2,'Base articles'!$T$2:$T$1153,0))="","",INDEX('Base articles'!$Q$2:$Q$1153,MATCH(2,'Base articles'!$T$2:$T$1153,0))),"")</f>
        <v>Votre tarif — Rexel</v>
      </c>
      <c r="J8" s="24" t="str">
        <f aca="false">IFERROR(IF(INDEX('Base articles'!$B$2:$B$1153,MATCH(2,'Base articles'!$T$2:$T$1153,0))="","",INDEX('Base articles'!$B$2:$B$1153,MATCH(2,'Base articles'!$T$2:$T$1153,0))),"")</f>
        <v>01 · Électricité CFO</v>
      </c>
    </row>
    <row r="9" customFormat="false" ht="27.75" hidden="false" customHeight="true" outlineLevel="0" collapsed="false">
      <c r="A9" s="19" t="str">
        <f aca="false">IFERROR(IF(INDEX('Base articles'!$D$2:$D$1153,MATCH(3,'Base articles'!$T$2:$T$1153,0))="","",INDEX('Base articles'!$D$2:$D$1153,MATCH(3,'Base articles'!$T$2:$T$1153,0))),"")</f>
        <v>Disjoncteur ph+N 16 A courbe C</v>
      </c>
      <c r="B9" s="20" t="str">
        <f aca="false">IFERROR(IF(INDEX('Base articles'!$F$2:$F$1153,MATCH(3,'Base articles'!$T$2:$T$1153,0))="","",INDEX('Base articles'!$F$2:$F$1153,MATCH(3,'Base articles'!$T$2:$T$1153,0))),"")</f>
        <v>Rexel</v>
      </c>
      <c r="C9" s="21" t="n">
        <f aca="false">IFERROR(INDEX('Base articles'!$H$2:$H$1153,MATCH(3,'Base articles'!$T$2:$T$1153,0)),"")</f>
        <v>6.89</v>
      </c>
      <c r="D9" s="20" t="str">
        <f aca="false">IFERROR(IF(INDEX('Base articles'!$G$2:$G$1153,MATCH(3,'Base articles'!$T$2:$T$1153,0))="","",INDEX('Base articles'!$G$2:$G$1153,MATCH(3,'Base articles'!$T$2:$T$1153,0))),"")</f>
        <v>Votre tarif client</v>
      </c>
      <c r="E9" s="19" t="str">
        <f aca="false">IFERROR(IF(INDEX('Base articles'!$K$2:$K$1153,MATCH(3,'Base articles'!$T$2:$T$1153,0))="","",INDEX('Base articles'!$K$2:$K$1153,MATCH(3,'Base articles'!$T$2:$T$1153,0))),"")</f>
        <v>ABB SN201L Disjoncteur modulaire - 1P+N - 16A - courbe C - 4500A/6kA - peignable</v>
      </c>
      <c r="F9" s="20" t="str">
        <f aca="false">IFERROR(IF(INDEX('Base articles'!$M$2:$M$1153,MATCH(3,'Base articles'!$T$2:$T$1153,0))="","",INDEX('Base articles'!$M$2:$M$1153,MATCH(3,'Base articles'!$T$2:$T$1153,0))),"")</f>
        <v>ABB470238</v>
      </c>
      <c r="G9" s="22" t="str">
        <f aca="false">IFERROR(IF(INDEX('Base articles'!$N$2:$N$1153,MATCH(3,'Base articles'!$T$2:$T$1153,0))="","",INDEX('Base articles'!$N$2:$N$1153,MATCH(3,'Base articles'!$T$2:$T$1153,0))),"")</f>
        <v>u</v>
      </c>
      <c r="H9" s="19" t="str">
        <f aca="false">IFERROR(IF(INDEX('Base articles'!$P$2:$P$1153,MATCH(3,'Base articles'!$T$2:$T$1153,0))="","",INDEX('Base articles'!$P$2:$P$1153,MATCH(3,'Base articles'!$T$2:$T$1153,0))),"")</f>
        <v>Retrait agence · Livraison selon agence</v>
      </c>
      <c r="I9" s="19" t="str">
        <f aca="false">IFERROR(IF(INDEX('Base articles'!$Q$2:$Q$1153,MATCH(3,'Base articles'!$T$2:$T$1153,0))="","",INDEX('Base articles'!$Q$2:$Q$1153,MATCH(3,'Base articles'!$T$2:$T$1153,0))),"")</f>
        <v>Votre tarif — Rexel</v>
      </c>
      <c r="J9" s="20" t="str">
        <f aca="false">IFERROR(IF(INDEX('Base articles'!$B$2:$B$1153,MATCH(3,'Base articles'!$T$2:$T$1153,0))="","",INDEX('Base articles'!$B$2:$B$1153,MATCH(3,'Base articles'!$T$2:$T$1153,0))),"")</f>
        <v>01 · Électricité CFO</v>
      </c>
    </row>
    <row r="10" customFormat="false" ht="27.75" hidden="false" customHeight="true" outlineLevel="0" collapsed="false">
      <c r="A10" s="23" t="str">
        <f aca="false">IFERROR(IF(INDEX('Base articles'!$D$2:$D$1153,MATCH(4,'Base articles'!$T$2:$T$1153,0))="","",INDEX('Base articles'!$D$2:$D$1153,MATCH(4,'Base articles'!$T$2:$T$1153,0))),"")</f>
        <v>Disjoncteur ph+N 16 A courbe C</v>
      </c>
      <c r="B10" s="24" t="str">
        <f aca="false">IFERROR(IF(INDEX('Base articles'!$F$2:$F$1153,MATCH(4,'Base articles'!$T$2:$T$1153,0))="","",INDEX('Base articles'!$F$2:$F$1153,MATCH(4,'Base articles'!$T$2:$T$1153,0))),"")</f>
        <v>Au Forum du Bâtiment</v>
      </c>
      <c r="C10" s="25" t="n">
        <f aca="false">IFERROR(INDEX('Base articles'!$H$2:$H$1153,MATCH(4,'Base articles'!$T$2:$T$1153,0)),"")</f>
        <v>8.09</v>
      </c>
      <c r="D10" s="24" t="str">
        <f aca="false">IFERROR(IF(INDEX('Base articles'!$G$2:$G$1153,MATCH(4,'Base articles'!$T$2:$T$1153,0))="","",INDEX('Base articles'!$G$2:$G$1153,MATCH(4,'Base articles'!$T$2:$T$1153,0))),"")</f>
        <v>Prix public HT</v>
      </c>
      <c r="E10" s="23" t="str">
        <f aca="false">IFERROR(IF(INDEX('Base articles'!$K$2:$K$1153,MATCH(4,'Base articles'!$T$2:$T$1153,0))="","",INDEX('Base articles'!$K$2:$K$1153,MATCH(4,'Base articles'!$T$2:$T$1153,0))),"")</f>
        <v>Disjoncteur 16 A courbe C Phase + neutre GEWISS GW90607</v>
      </c>
      <c r="F10" s="24" t="str">
        <f aca="false">IFERROR(IF(INDEX('Base articles'!$M$2:$M$1153,MATCH(4,'Base articles'!$T$2:$T$1153,0))="","",INDEX('Base articles'!$M$2:$M$1153,MATCH(4,'Base articles'!$T$2:$T$1153,0))),"")</f>
        <v>753207</v>
      </c>
      <c r="G10" s="26" t="str">
        <f aca="false">IFERROR(IF(INDEX('Base articles'!$N$2:$N$1153,MATCH(4,'Base articles'!$T$2:$T$1153,0))="","",INDEX('Base articles'!$N$2:$N$1153,MATCH(4,'Base articles'!$T$2:$T$1153,0))),"")</f>
        <v>u</v>
      </c>
      <c r="H10" s="23" t="str">
        <f aca="false">IFERROR(IF(INDEX('Base articles'!$P$2:$P$1153,MATCH(4,'Base articles'!$T$2:$T$1153,0))="","",INDEX('Base articles'!$P$2:$P$1153,MATCH(4,'Base articles'!$T$2:$T$1153,0))),"")</f>
        <v>Retrait agence · Livraison selon agence</v>
      </c>
      <c r="I10" s="23" t="str">
        <f aca="false">IFERROR(IF(INDEX('Base articles'!$Q$2:$Q$1153,MATCH(4,'Base articles'!$T$2:$T$1153,0))="","",INDEX('Base articles'!$Q$2:$Q$1153,MATCH(4,'Base articles'!$T$2:$T$1153,0))),"")</f>
        <v>Élevée</v>
      </c>
      <c r="J10" s="24" t="str">
        <f aca="false">IFERROR(IF(INDEX('Base articles'!$B$2:$B$1153,MATCH(4,'Base articles'!$T$2:$T$1153,0))="","",INDEX('Base articles'!$B$2:$B$1153,MATCH(4,'Base articles'!$T$2:$T$1153,0))),"")</f>
        <v>01 · Électricité CFO</v>
      </c>
    </row>
    <row r="11" customFormat="false" ht="27.75" hidden="false" customHeight="true" outlineLevel="0" collapsed="false">
      <c r="A11" s="19" t="str">
        <f aca="false">IFERROR(IF(INDEX('Base articles'!$D$2:$D$1153,MATCH(5,'Base articles'!$T$2:$T$1153,0))="","",INDEX('Base articles'!$D$2:$D$1153,MATCH(5,'Base articles'!$T$2:$T$1153,0))),"")</f>
        <v>Disjoncteur ph+N 20 A courbe C</v>
      </c>
      <c r="B11" s="20" t="str">
        <f aca="false">IFERROR(IF(INDEX('Base articles'!$F$2:$F$1153,MATCH(5,'Base articles'!$T$2:$T$1153,0))="","",INDEX('Base articles'!$F$2:$F$1153,MATCH(5,'Base articles'!$T$2:$T$1153,0))),"")</f>
        <v>Au Forum du Bâtiment</v>
      </c>
      <c r="C11" s="21" t="n">
        <f aca="false">IFERROR(INDEX('Base articles'!$H$2:$H$1153,MATCH(5,'Base articles'!$T$2:$T$1153,0)),"")</f>
        <v>5.9</v>
      </c>
      <c r="D11" s="20" t="str">
        <f aca="false">IFERROR(IF(INDEX('Base articles'!$G$2:$G$1153,MATCH(5,'Base articles'!$T$2:$T$1153,0))="","",INDEX('Base articles'!$G$2:$G$1153,MATCH(5,'Base articles'!$T$2:$T$1153,0))),"")</f>
        <v>Prix public HT</v>
      </c>
      <c r="E11" s="19" t="str">
        <f aca="false">IFERROR(IF(INDEX('Base articles'!$K$2:$K$1153,MATCH(5,'Base articles'!$T$2:$T$1153,0))="","",INDEX('Base articles'!$K$2:$K$1153,MATCH(5,'Base articles'!$T$2:$T$1153,0))),"")</f>
        <v>Disjoncteur 20 A courbe C Phase + neutre GEWISS GW90608</v>
      </c>
      <c r="F11" s="20" t="str">
        <f aca="false">IFERROR(IF(INDEX('Base articles'!$M$2:$M$1153,MATCH(5,'Base articles'!$T$2:$T$1153,0))="","",INDEX('Base articles'!$M$2:$M$1153,MATCH(5,'Base articles'!$T$2:$T$1153,0))),"")</f>
        <v>753209</v>
      </c>
      <c r="G11" s="22" t="str">
        <f aca="false">IFERROR(IF(INDEX('Base articles'!$N$2:$N$1153,MATCH(5,'Base articles'!$T$2:$T$1153,0))="","",INDEX('Base articles'!$N$2:$N$1153,MATCH(5,'Base articles'!$T$2:$T$1153,0))),"")</f>
        <v>u</v>
      </c>
      <c r="H11" s="19" t="str">
        <f aca="false">IFERROR(IF(INDEX('Base articles'!$P$2:$P$1153,MATCH(5,'Base articles'!$T$2:$T$1153,0))="","",INDEX('Base articles'!$P$2:$P$1153,MATCH(5,'Base articles'!$T$2:$T$1153,0))),"")</f>
        <v>Retrait agence · Livraison selon agence</v>
      </c>
      <c r="I11" s="19" t="str">
        <f aca="false">IFERROR(IF(INDEX('Base articles'!$Q$2:$Q$1153,MATCH(5,'Base articles'!$T$2:$T$1153,0))="","",INDEX('Base articles'!$Q$2:$Q$1153,MATCH(5,'Base articles'!$T$2:$T$1153,0))),"")</f>
        <v>Élevée</v>
      </c>
      <c r="J11" s="20" t="str">
        <f aca="false">IFERROR(IF(INDEX('Base articles'!$B$2:$B$1153,MATCH(5,'Base articles'!$T$2:$T$1153,0))="","",INDEX('Base articles'!$B$2:$B$1153,MATCH(5,'Base articles'!$T$2:$T$1153,0))),"")</f>
        <v>01 · Électricité CFO</v>
      </c>
    </row>
    <row r="12" customFormat="false" ht="27.75" hidden="false" customHeight="true" outlineLevel="0" collapsed="false">
      <c r="A12" s="23" t="str">
        <f aca="false">IFERROR(IF(INDEX('Base articles'!$D$2:$D$1153,MATCH(6,'Base articles'!$T$2:$T$1153,0))="","",INDEX('Base articles'!$D$2:$D$1153,MATCH(6,'Base articles'!$T$2:$T$1153,0))),"")</f>
        <v>Disjoncteur ph+N 20 A courbe C</v>
      </c>
      <c r="B12" s="24" t="str">
        <f aca="false">IFERROR(IF(INDEX('Base articles'!$F$2:$F$1153,MATCH(6,'Base articles'!$T$2:$T$1153,0))="","",INDEX('Base articles'!$F$2:$F$1153,MATCH(6,'Base articles'!$T$2:$T$1153,0))),"")</f>
        <v>Rexel</v>
      </c>
      <c r="C12" s="25" t="n">
        <f aca="false">IFERROR(INDEX('Base articles'!$H$2:$H$1153,MATCH(6,'Base articles'!$T$2:$T$1153,0)),"")</f>
        <v>6.82</v>
      </c>
      <c r="D12" s="24" t="str">
        <f aca="false">IFERROR(IF(INDEX('Base articles'!$G$2:$G$1153,MATCH(6,'Base articles'!$T$2:$T$1153,0))="","",INDEX('Base articles'!$G$2:$G$1153,MATCH(6,'Base articles'!$T$2:$T$1153,0))),"")</f>
        <v>Votre tarif client</v>
      </c>
      <c r="E12" s="23" t="str">
        <f aca="false">IFERROR(IF(INDEX('Base articles'!$K$2:$K$1153,MATCH(6,'Base articles'!$T$2:$T$1153,0))="","",INDEX('Base articles'!$K$2:$K$1153,MATCH(6,'Base articles'!$T$2:$T$1153,0))),"")</f>
        <v>ABB SN201SL Disjoncteur modulaire - 1P+N - 20A - courbe C- 4500A/6kA-peignable-Auto</v>
      </c>
      <c r="F12" s="24" t="str">
        <f aca="false">IFERROR(IF(INDEX('Base articles'!$M$2:$M$1153,MATCH(6,'Base articles'!$T$2:$T$1153,0))="","",INDEX('Base articles'!$M$2:$M$1153,MATCH(6,'Base articles'!$T$2:$T$1153,0))),"")</f>
        <v>ABB470439</v>
      </c>
      <c r="G12" s="26" t="str">
        <f aca="false">IFERROR(IF(INDEX('Base articles'!$N$2:$N$1153,MATCH(6,'Base articles'!$T$2:$T$1153,0))="","",INDEX('Base articles'!$N$2:$N$1153,MATCH(6,'Base articles'!$T$2:$T$1153,0))),"")</f>
        <v/>
      </c>
      <c r="H12" s="23" t="str">
        <f aca="false">IFERROR(IF(INDEX('Base articles'!$P$2:$P$1153,MATCH(6,'Base articles'!$T$2:$T$1153,0))="","",INDEX('Base articles'!$P$2:$P$1153,MATCH(6,'Base articles'!$T$2:$T$1153,0))),"")</f>
        <v>Retrait agence · Livraison selon agence</v>
      </c>
      <c r="I12" s="23" t="str">
        <f aca="false">IFERROR(IF(INDEX('Base articles'!$Q$2:$Q$1153,MATCH(6,'Base articles'!$T$2:$T$1153,0))="","",INDEX('Base articles'!$Q$2:$Q$1153,MATCH(6,'Base articles'!$T$2:$T$1153,0))),"")</f>
        <v>Votre tarif — Rexel</v>
      </c>
      <c r="J12" s="24" t="str">
        <f aca="false">IFERROR(IF(INDEX('Base articles'!$B$2:$B$1153,MATCH(6,'Base articles'!$T$2:$T$1153,0))="","",INDEX('Base articles'!$B$2:$B$1153,MATCH(6,'Base articles'!$T$2:$T$1153,0))),"")</f>
        <v>01 · Électricité CFO</v>
      </c>
    </row>
    <row r="13" customFormat="false" ht="27.75" hidden="false" customHeight="true" outlineLevel="0" collapsed="false">
      <c r="A13" s="19" t="str">
        <f aca="false">IFERROR(IF(INDEX('Base articles'!$D$2:$D$1153,MATCH(7,'Base articles'!$T$2:$T$1153,0))="","",INDEX('Base articles'!$D$2:$D$1153,MATCH(7,'Base articles'!$T$2:$T$1153,0))),"")</f>
        <v>Disjoncteur ph+N 32 A courbe C</v>
      </c>
      <c r="B13" s="20" t="str">
        <f aca="false">IFERROR(IF(INDEX('Base articles'!$F$2:$F$1153,MATCH(7,'Base articles'!$T$2:$T$1153,0))="","",INDEX('Base articles'!$F$2:$F$1153,MATCH(7,'Base articles'!$T$2:$T$1153,0))),"")</f>
        <v>Au Forum du Bâtiment</v>
      </c>
      <c r="C13" s="21" t="n">
        <f aca="false">IFERROR(INDEX('Base articles'!$H$2:$H$1153,MATCH(7,'Base articles'!$T$2:$T$1153,0)),"")</f>
        <v>10.61</v>
      </c>
      <c r="D13" s="20" t="str">
        <f aca="false">IFERROR(IF(INDEX('Base articles'!$G$2:$G$1153,MATCH(7,'Base articles'!$T$2:$T$1153,0))="","",INDEX('Base articles'!$G$2:$G$1153,MATCH(7,'Base articles'!$T$2:$T$1153,0))),"")</f>
        <v>Prix public HT</v>
      </c>
      <c r="E13" s="19" t="str">
        <f aca="false">IFERROR(IF(INDEX('Base articles'!$K$2:$K$1153,MATCH(7,'Base articles'!$T$2:$T$1153,0))="","",INDEX('Base articles'!$K$2:$K$1153,MATCH(7,'Base articles'!$T$2:$T$1153,0))),"")</f>
        <v>Disjoncteur 32 A courbe C Phase + neutre GEWISS GW90610</v>
      </c>
      <c r="F13" s="20" t="str">
        <f aca="false">IFERROR(IF(INDEX('Base articles'!$M$2:$M$1153,MATCH(7,'Base articles'!$T$2:$T$1153,0))="","",INDEX('Base articles'!$M$2:$M$1153,MATCH(7,'Base articles'!$T$2:$T$1153,0))),"")</f>
        <v>753211</v>
      </c>
      <c r="G13" s="22" t="str">
        <f aca="false">IFERROR(IF(INDEX('Base articles'!$N$2:$N$1153,MATCH(7,'Base articles'!$T$2:$T$1153,0))="","",INDEX('Base articles'!$N$2:$N$1153,MATCH(7,'Base articles'!$T$2:$T$1153,0))),"")</f>
        <v>u</v>
      </c>
      <c r="H13" s="19" t="str">
        <f aca="false">IFERROR(IF(INDEX('Base articles'!$P$2:$P$1153,MATCH(7,'Base articles'!$T$2:$T$1153,0))="","",INDEX('Base articles'!$P$2:$P$1153,MATCH(7,'Base articles'!$T$2:$T$1153,0))),"")</f>
        <v>Retrait agence · Livraison selon agence</v>
      </c>
      <c r="I13" s="19" t="str">
        <f aca="false">IFERROR(IF(INDEX('Base articles'!$Q$2:$Q$1153,MATCH(7,'Base articles'!$T$2:$T$1153,0))="","",INDEX('Base articles'!$Q$2:$Q$1153,MATCH(7,'Base articles'!$T$2:$T$1153,0))),"")</f>
        <v>Élevée</v>
      </c>
      <c r="J13" s="20" t="str">
        <f aca="false">IFERROR(IF(INDEX('Base articles'!$B$2:$B$1153,MATCH(7,'Base articles'!$T$2:$T$1153,0))="","",INDEX('Base articles'!$B$2:$B$1153,MATCH(7,'Base articles'!$T$2:$T$1153,0))),"")</f>
        <v>01 · Électricité CFO</v>
      </c>
    </row>
    <row r="14" customFormat="false" ht="27.75" hidden="false" customHeight="true" outlineLevel="0" collapsed="false">
      <c r="A14" s="23" t="str">
        <f aca="false">IFERROR(IF(INDEX('Base articles'!$D$2:$D$1153,MATCH(8,'Base articles'!$T$2:$T$1153,0))="","",INDEX('Base articles'!$D$2:$D$1153,MATCH(8,'Base articles'!$T$2:$T$1153,0))),"")</f>
        <v>Disjoncteur ph+N 32 A courbe C</v>
      </c>
      <c r="B14" s="24" t="str">
        <f aca="false">IFERROR(IF(INDEX('Base articles'!$F$2:$F$1153,MATCH(8,'Base articles'!$T$2:$T$1153,0))="","",INDEX('Base articles'!$F$2:$F$1153,MATCH(8,'Base articles'!$T$2:$T$1153,0))),"")</f>
        <v>Rexel</v>
      </c>
      <c r="C14" s="25" t="n">
        <f aca="false">IFERROR(INDEX('Base articles'!$H$2:$H$1153,MATCH(8,'Base articles'!$T$2:$T$1153,0)),"")</f>
        <v>13.1</v>
      </c>
      <c r="D14" s="24" t="str">
        <f aca="false">IFERROR(IF(INDEX('Base articles'!$G$2:$G$1153,MATCH(8,'Base articles'!$T$2:$T$1153,0))="","",INDEX('Base articles'!$G$2:$G$1153,MATCH(8,'Base articles'!$T$2:$T$1153,0))),"")</f>
        <v>Votre tarif client</v>
      </c>
      <c r="E14" s="23" t="str">
        <f aca="false">IFERROR(IF(INDEX('Base articles'!$K$2:$K$1153,MATCH(8,'Base articles'!$T$2:$T$1153,0))="","",INDEX('Base articles'!$K$2:$K$1153,MATCH(8,'Base articles'!$T$2:$T$1153,0))),"")</f>
        <v>HAGER Disjoncteur Phase + Neutre 32A 3kA Courbe C bornes à vis 1 Module</v>
      </c>
      <c r="F14" s="24" t="str">
        <f aca="false">IFERROR(IF(INDEX('Base articles'!$M$2:$M$1153,MATCH(8,'Base articles'!$T$2:$T$1153,0))="","",INDEX('Base articles'!$M$2:$M$1153,MATCH(8,'Base articles'!$T$2:$T$1153,0))),"")</f>
        <v>HAGMFN732</v>
      </c>
      <c r="G14" s="26" t="str">
        <f aca="false">IFERROR(IF(INDEX('Base articles'!$N$2:$N$1153,MATCH(8,'Base articles'!$T$2:$T$1153,0))="","",INDEX('Base articles'!$N$2:$N$1153,MATCH(8,'Base articles'!$T$2:$T$1153,0))),"")</f>
        <v/>
      </c>
      <c r="H14" s="23" t="str">
        <f aca="false">IFERROR(IF(INDEX('Base articles'!$P$2:$P$1153,MATCH(8,'Base articles'!$T$2:$T$1153,0))="","",INDEX('Base articles'!$P$2:$P$1153,MATCH(8,'Base articles'!$T$2:$T$1153,0))),"")</f>
        <v>Retrait agence · Livraison selon agence</v>
      </c>
      <c r="I14" s="23" t="str">
        <f aca="false">IFERROR(IF(INDEX('Base articles'!$Q$2:$Q$1153,MATCH(8,'Base articles'!$T$2:$T$1153,0))="","",INDEX('Base articles'!$Q$2:$Q$1153,MATCH(8,'Base articles'!$T$2:$T$1153,0))),"")</f>
        <v>Votre tarif — Rexel</v>
      </c>
      <c r="J14" s="24" t="str">
        <f aca="false">IFERROR(IF(INDEX('Base articles'!$B$2:$B$1153,MATCH(8,'Base articles'!$T$2:$T$1153,0))="","",INDEX('Base articles'!$B$2:$B$1153,MATCH(8,'Base articles'!$T$2:$T$1153,0))),"")</f>
        <v>01 · Électricité CFO</v>
      </c>
    </row>
    <row r="15" customFormat="false" ht="27.75" hidden="false" customHeight="true" outlineLevel="0" collapsed="false">
      <c r="A15" s="19" t="str">
        <f aca="false">IFERROR(IF(INDEX('Base articles'!$D$2:$D$1153,MATCH(9,'Base articles'!$T$2:$T$1153,0))="","",INDEX('Base articles'!$D$2:$D$1153,MATCH(9,'Base articles'!$T$2:$T$1153,0))),"")</f>
        <v>Disjoncteur tetrapolaire 4P 32 A courbe C</v>
      </c>
      <c r="B15" s="20" t="str">
        <f aca="false">IFERROR(IF(INDEX('Base articles'!$F$2:$F$1153,MATCH(9,'Base articles'!$T$2:$T$1153,0))="","",INDEX('Base articles'!$F$2:$F$1153,MATCH(9,'Base articles'!$T$2:$T$1153,0))),"")</f>
        <v>Au Forum du Bâtiment</v>
      </c>
      <c r="C15" s="21" t="n">
        <f aca="false">IFERROR(INDEX('Base articles'!$H$2:$H$1153,MATCH(9,'Base articles'!$T$2:$T$1153,0)),"")</f>
        <v>107.92</v>
      </c>
      <c r="D15" s="20" t="str">
        <f aca="false">IFERROR(IF(INDEX('Base articles'!$G$2:$G$1153,MATCH(9,'Base articles'!$T$2:$T$1153,0))="","",INDEX('Base articles'!$G$2:$G$1153,MATCH(9,'Base articles'!$T$2:$T$1153,0))),"")</f>
        <v>Prix public HT</v>
      </c>
      <c r="E15" s="19" t="str">
        <f aca="false">IFERROR(IF(INDEX('Base articles'!$K$2:$K$1153,MATCH(9,'Base articles'!$T$2:$T$1153,0))="","",INDEX('Base articles'!$K$2:$K$1153,MATCH(9,'Base articles'!$T$2:$T$1153,0))),"")</f>
        <v>Disjoncteur ACTI9 IC60N 4P courbe C 32 A SCHNEIDER ELECTRIC A9F77432</v>
      </c>
      <c r="F15" s="20" t="str">
        <f aca="false">IFERROR(IF(INDEX('Base articles'!$M$2:$M$1153,MATCH(9,'Base articles'!$T$2:$T$1153,0))="","",INDEX('Base articles'!$M$2:$M$1153,MATCH(9,'Base articles'!$T$2:$T$1153,0))),"")</f>
        <v>610554</v>
      </c>
      <c r="G15" s="22" t="str">
        <f aca="false">IFERROR(IF(INDEX('Base articles'!$N$2:$N$1153,MATCH(9,'Base articles'!$T$2:$T$1153,0))="","",INDEX('Base articles'!$N$2:$N$1153,MATCH(9,'Base articles'!$T$2:$T$1153,0))),"")</f>
        <v>u</v>
      </c>
      <c r="H15" s="19" t="str">
        <f aca="false">IFERROR(IF(INDEX('Base articles'!$P$2:$P$1153,MATCH(9,'Base articles'!$T$2:$T$1153,0))="","",INDEX('Base articles'!$P$2:$P$1153,MATCH(9,'Base articles'!$T$2:$T$1153,0))),"")</f>
        <v>Retrait agence · Livraison selon agence</v>
      </c>
      <c r="I15" s="19" t="str">
        <f aca="false">IFERROR(IF(INDEX('Base articles'!$Q$2:$Q$1153,MATCH(9,'Base articles'!$T$2:$T$1153,0))="","",INDEX('Base articles'!$Q$2:$Q$1153,MATCH(9,'Base articles'!$T$2:$T$1153,0))),"")</f>
        <v>À vérifier</v>
      </c>
      <c r="J15" s="20" t="str">
        <f aca="false">IFERROR(IF(INDEX('Base articles'!$B$2:$B$1153,MATCH(9,'Base articles'!$T$2:$T$1153,0))="","",INDEX('Base articles'!$B$2:$B$1153,MATCH(9,'Base articles'!$T$2:$T$1153,0))),"")</f>
        <v>01 · Électricité CFO</v>
      </c>
    </row>
    <row r="16" customFormat="false" ht="27.75" hidden="false" customHeight="true" outlineLevel="0" collapsed="false">
      <c r="A16" s="23" t="str">
        <f aca="false">IFERROR(IF(INDEX('Base articles'!$D$2:$D$1153,MATCH(10,'Base articles'!$T$2:$T$1153,0))="","",INDEX('Base articles'!$D$2:$D$1153,MATCH(10,'Base articles'!$T$2:$T$1153,0))),"")</f>
        <v>Disjoncteur differentiel 20 A 30 mA</v>
      </c>
      <c r="B16" s="24" t="str">
        <f aca="false">IFERROR(IF(INDEX('Base articles'!$F$2:$F$1153,MATCH(10,'Base articles'!$T$2:$T$1153,0))="","",INDEX('Base articles'!$F$2:$F$1153,MATCH(10,'Base articles'!$T$2:$T$1153,0))),"")</f>
        <v>Rexel</v>
      </c>
      <c r="C16" s="25" t="n">
        <f aca="false">IFERROR(INDEX('Base articles'!$H$2:$H$1153,MATCH(10,'Base articles'!$T$2:$T$1153,0)),"")</f>
        <v>135.9</v>
      </c>
      <c r="D16" s="24" t="str">
        <f aca="false">IFERROR(IF(INDEX('Base articles'!$G$2:$G$1153,MATCH(10,'Base articles'!$T$2:$T$1153,0))="","",INDEX('Base articles'!$G$2:$G$1153,MATCH(10,'Base articles'!$T$2:$T$1153,0))),"")</f>
        <v>Votre tarif client</v>
      </c>
      <c r="E16" s="23" t="str">
        <f aca="false">IFERROR(IF(INDEX('Base articles'!$K$2:$K$1153,MATCH(10,'Base articles'!$T$2:$T$1153,0))="","",INDEX('Base articles'!$K$2:$K$1153,MATCH(10,'Base articles'!$T$2:$T$1153,0))),"")</f>
        <v>LEGRAND Disjoncteur diff DX³ 4500 - vis/vis -U+N 230V~ 20A - typeAC -30mA -courbe C - 2M</v>
      </c>
      <c r="F16" s="24" t="str">
        <f aca="false">IFERROR(IF(INDEX('Base articles'!$M$2:$M$1153,MATCH(10,'Base articles'!$T$2:$T$1153,0))="","",INDEX('Base articles'!$M$2:$M$1153,MATCH(10,'Base articles'!$T$2:$T$1153,0))),"")</f>
        <v>LEG410706</v>
      </c>
      <c r="G16" s="26" t="str">
        <f aca="false">IFERROR(IF(INDEX('Base articles'!$N$2:$N$1153,MATCH(10,'Base articles'!$T$2:$T$1153,0))="","",INDEX('Base articles'!$N$2:$N$1153,MATCH(10,'Base articles'!$T$2:$T$1153,0))),"")</f>
        <v>u</v>
      </c>
      <c r="H16" s="23" t="str">
        <f aca="false">IFERROR(IF(INDEX('Base articles'!$P$2:$P$1153,MATCH(10,'Base articles'!$T$2:$T$1153,0))="","",INDEX('Base articles'!$P$2:$P$1153,MATCH(10,'Base articles'!$T$2:$T$1153,0))),"")</f>
        <v>Retrait agence · Livraison selon agence</v>
      </c>
      <c r="I16" s="23" t="str">
        <f aca="false">IFERROR(IF(INDEX('Base articles'!$Q$2:$Q$1153,MATCH(10,'Base articles'!$T$2:$T$1153,0))="","",INDEX('Base articles'!$Q$2:$Q$1153,MATCH(10,'Base articles'!$T$2:$T$1153,0))),"")</f>
        <v>Votre tarif — Rexel</v>
      </c>
      <c r="J16" s="24" t="str">
        <f aca="false">IFERROR(IF(INDEX('Base articles'!$B$2:$B$1153,MATCH(10,'Base articles'!$T$2:$T$1153,0))="","",INDEX('Base articles'!$B$2:$B$1153,MATCH(10,'Base articles'!$T$2:$T$1153,0))),"")</f>
        <v>01 · Électricité CFO</v>
      </c>
    </row>
    <row r="17" customFormat="false" ht="27.75" hidden="false" customHeight="true" outlineLevel="0" collapsed="false">
      <c r="A17" s="19" t="str">
        <f aca="false">IFERROR(IF(INDEX('Base articles'!$D$2:$D$1153,MATCH(11,'Base articles'!$T$2:$T$1153,0))="","",INDEX('Base articles'!$D$2:$D$1153,MATCH(11,'Base articles'!$T$2:$T$1153,0))),"")</f>
        <v>Disjoncteur differentiel 20 A 30 mA</v>
      </c>
      <c r="B17" s="20" t="str">
        <f aca="false">IFERROR(IF(INDEX('Base articles'!$F$2:$F$1153,MATCH(11,'Base articles'!$T$2:$T$1153,0))="","",INDEX('Base articles'!$F$2:$F$1153,MATCH(11,'Base articles'!$T$2:$T$1153,0))),"")</f>
        <v>Au Forum du Bâtiment</v>
      </c>
      <c r="C17" s="21" t="n">
        <f aca="false">IFERROR(INDEX('Base articles'!$H$2:$H$1153,MATCH(11,'Base articles'!$T$2:$T$1153,0)),"")</f>
        <v>140.64</v>
      </c>
      <c r="D17" s="20" t="str">
        <f aca="false">IFERROR(IF(INDEX('Base articles'!$G$2:$G$1153,MATCH(11,'Base articles'!$T$2:$T$1153,0))="","",INDEX('Base articles'!$G$2:$G$1153,MATCH(11,'Base articles'!$T$2:$T$1153,0))),"")</f>
        <v>Prix public HT</v>
      </c>
      <c r="E17" s="19" t="str">
        <f aca="false">IFERROR(IF(INDEX('Base articles'!$K$2:$K$1153,MATCH(11,'Base articles'!$T$2:$T$1153,0))="","",INDEX('Base articles'!$K$2:$K$1153,MATCH(11,'Base articles'!$T$2:$T$1153,0))),"")</f>
        <v>Disjoncteur différentiel RESI9 1P+N 30mA courbe C type Fsi 20A - SCHNEIDER ELECTRIC - R9PDCF20</v>
      </c>
      <c r="F17" s="20" t="str">
        <f aca="false">IFERROR(IF(INDEX('Base articles'!$M$2:$M$1153,MATCH(11,'Base articles'!$T$2:$T$1153,0))="","",INDEX('Base articles'!$M$2:$M$1153,MATCH(11,'Base articles'!$T$2:$T$1153,0))),"")</f>
        <v>750704</v>
      </c>
      <c r="G17" s="22" t="str">
        <f aca="false">IFERROR(IF(INDEX('Base articles'!$N$2:$N$1153,MATCH(11,'Base articles'!$T$2:$T$1153,0))="","",INDEX('Base articles'!$N$2:$N$1153,MATCH(11,'Base articles'!$T$2:$T$1153,0))),"")</f>
        <v>u</v>
      </c>
      <c r="H17" s="19" t="str">
        <f aca="false">IFERROR(IF(INDEX('Base articles'!$P$2:$P$1153,MATCH(11,'Base articles'!$T$2:$T$1153,0))="","",INDEX('Base articles'!$P$2:$P$1153,MATCH(11,'Base articles'!$T$2:$T$1153,0))),"")</f>
        <v>Retrait agence · Livraison selon agence</v>
      </c>
      <c r="I17" s="19" t="str">
        <f aca="false">IFERROR(IF(INDEX('Base articles'!$Q$2:$Q$1153,MATCH(11,'Base articles'!$T$2:$T$1153,0))="","",INDEX('Base articles'!$Q$2:$Q$1153,MATCH(11,'Base articles'!$T$2:$T$1153,0))),"")</f>
        <v>Élevée</v>
      </c>
      <c r="J17" s="20" t="str">
        <f aca="false">IFERROR(IF(INDEX('Base articles'!$B$2:$B$1153,MATCH(11,'Base articles'!$T$2:$T$1153,0))="","",INDEX('Base articles'!$B$2:$B$1153,MATCH(11,'Base articles'!$T$2:$T$1153,0))),"")</f>
        <v>01 · Électricité CFO</v>
      </c>
    </row>
    <row r="18" customFormat="false" ht="27.75" hidden="false" customHeight="true" outlineLevel="0" collapsed="false">
      <c r="A18" s="23" t="str">
        <f aca="false">IFERROR(IF(INDEX('Base articles'!$D$2:$D$1153,MATCH(12,'Base articles'!$T$2:$T$1153,0))="","",INDEX('Base articles'!$D$2:$D$1153,MATCH(12,'Base articles'!$T$2:$T$1153,0))),"")</f>
        <v>Disjoncteur differentiel 20 A 30 mA</v>
      </c>
      <c r="B18" s="24" t="str">
        <f aca="false">IFERROR(IF(INDEX('Base articles'!$F$2:$F$1153,MATCH(12,'Base articles'!$T$2:$T$1153,0))="","",INDEX('Base articles'!$F$2:$F$1153,MATCH(12,'Base articles'!$T$2:$T$1153,0))),"")</f>
        <v>YESSS Électrique</v>
      </c>
      <c r="C18" s="25" t="n">
        <f aca="false">IFERROR(INDEX('Base articles'!$H$2:$H$1153,MATCH(12,'Base articles'!$T$2:$T$1153,0)),"")</f>
        <v>251.34</v>
      </c>
      <c r="D18" s="24" t="str">
        <f aca="false">IFERROR(IF(INDEX('Base articles'!$G$2:$G$1153,MATCH(12,'Base articles'!$T$2:$T$1153,0))="","",INDEX('Base articles'!$G$2:$G$1153,MATCH(12,'Base articles'!$T$2:$T$1153,0))),"")</f>
        <v>Votre tarif net</v>
      </c>
      <c r="E18" s="23" t="str">
        <f aca="false">IFERROR(IF(INDEX('Base articles'!$K$2:$K$1153,MATCH(12,'Base articles'!$T$2:$T$1153,0))="","",INDEX('Base articles'!$K$2:$K$1153,MATCH(12,'Base articles'!$T$2:$T$1153,0))),"")</f>
        <v>Disjoncteur différentiel Uni+Neutre 230V~ 16A 30mA Mosaic 2 modules  -  blanc</v>
      </c>
      <c r="F18" s="24" t="str">
        <f aca="false">IFERROR(IF(INDEX('Base articles'!$M$2:$M$1153,MATCH(12,'Base articles'!$T$2:$T$1153,0))="","",INDEX('Base articles'!$M$2:$M$1153,MATCH(12,'Base articles'!$T$2:$T$1153,0))),"")</f>
        <v>077532</v>
      </c>
      <c r="G18" s="26" t="str">
        <f aca="false">IFERROR(IF(INDEX('Base articles'!$N$2:$N$1153,MATCH(12,'Base articles'!$T$2:$T$1153,0))="","",INDEX('Base articles'!$N$2:$N$1153,MATCH(12,'Base articles'!$T$2:$T$1153,0))),"")</f>
        <v>u</v>
      </c>
      <c r="H18" s="23" t="str">
        <f aca="false">IFERROR(IF(INDEX('Base articles'!$P$2:$P$1153,MATCH(12,'Base articles'!$T$2:$T$1153,0))="","",INDEX('Base articles'!$P$2:$P$1153,MATCH(12,'Base articles'!$T$2:$T$1153,0))),"")</f>
        <v>Retrait agence Aubervilliers · Livraison selon agence</v>
      </c>
      <c r="I18" s="23" t="str">
        <f aca="false">IFERROR(IF(INDEX('Base articles'!$Q$2:$Q$1153,MATCH(12,'Base articles'!$T$2:$T$1153,0))="","",INDEX('Base articles'!$Q$2:$Q$1153,MATCH(12,'Base articles'!$T$2:$T$1153,0))),"")</f>
        <v>Votre tarif — YESSS Électrique</v>
      </c>
      <c r="J18" s="24" t="str">
        <f aca="false">IFERROR(IF(INDEX('Base articles'!$B$2:$B$1153,MATCH(12,'Base articles'!$T$2:$T$1153,0))="","",INDEX('Base articles'!$B$2:$B$1153,MATCH(12,'Base articles'!$T$2:$T$1153,0))),"")</f>
        <v>01 · Électricité CFO</v>
      </c>
    </row>
    <row r="19" customFormat="false" ht="27.75" hidden="false" customHeight="true" outlineLevel="0" collapsed="false">
      <c r="A19" s="19" t="str">
        <f aca="false">IFERROR(IF(INDEX('Base articles'!$D$2:$D$1153,MATCH(13,'Base articles'!$T$2:$T$1153,0))="","",INDEX('Base articles'!$D$2:$D$1153,MATCH(13,'Base articles'!$T$2:$T$1153,0))),"")</f>
        <v>Borne de connexion automatique 3 entrees</v>
      </c>
      <c r="B19" s="20" t="str">
        <f aca="false">IFERROR(IF(INDEX('Base articles'!$F$2:$F$1153,MATCH(13,'Base articles'!$T$2:$T$1153,0))="","",INDEX('Base articles'!$F$2:$F$1153,MATCH(13,'Base articles'!$T$2:$T$1153,0))),"")</f>
        <v>YESSS Électrique</v>
      </c>
      <c r="C19" s="21" t="n">
        <f aca="false">IFERROR(INDEX('Base articles'!$H$2:$H$1153,MATCH(13,'Base articles'!$T$2:$T$1153,0)),"")</f>
        <v>48.01</v>
      </c>
      <c r="D19" s="20" t="str">
        <f aca="false">IFERROR(IF(INDEX('Base articles'!$G$2:$G$1153,MATCH(13,'Base articles'!$T$2:$T$1153,0))="","",INDEX('Base articles'!$G$2:$G$1153,MATCH(13,'Base articles'!$T$2:$T$1153,0))),"")</f>
        <v>Votre tarif net</v>
      </c>
      <c r="E19" s="19" t="str">
        <f aca="false">IFERROR(IF(INDEX('Base articles'!$K$2:$K$1153,MATCH(13,'Base articles'!$T$2:$T$1153,0))="","",INDEX('Base articles'!$K$2:$K$1153,MATCH(13,'Base articles'!$T$2:$T$1153,0))),"")</f>
        <v>Borne de raccordement pour disjoncteur DX³ 3P+N à connexion automatique  -  section 6mm² à 25mm²  -  IP2X</v>
      </c>
      <c r="F19" s="20" t="str">
        <f aca="false">IFERROR(IF(INDEX('Base articles'!$M$2:$M$1153,MATCH(13,'Base articles'!$T$2:$T$1153,0))="","",INDEX('Base articles'!$M$2:$M$1153,MATCH(13,'Base articles'!$T$2:$T$1153,0))),"")</f>
        <v>405206</v>
      </c>
      <c r="G19" s="22" t="str">
        <f aca="false">IFERROR(IF(INDEX('Base articles'!$N$2:$N$1153,MATCH(13,'Base articles'!$T$2:$T$1153,0))="","",INDEX('Base articles'!$N$2:$N$1153,MATCH(13,'Base articles'!$T$2:$T$1153,0))),"")</f>
        <v>u</v>
      </c>
      <c r="H19" s="19" t="str">
        <f aca="false">IFERROR(IF(INDEX('Base articles'!$P$2:$P$1153,MATCH(13,'Base articles'!$T$2:$T$1153,0))="","",INDEX('Base articles'!$P$2:$P$1153,MATCH(13,'Base articles'!$T$2:$T$1153,0))),"")</f>
        <v>Retrait agence Aubervilliers · Livraison selon agence</v>
      </c>
      <c r="I19" s="19" t="str">
        <f aca="false">IFERROR(IF(INDEX('Base articles'!$Q$2:$Q$1153,MATCH(13,'Base articles'!$T$2:$T$1153,0))="","",INDEX('Base articles'!$Q$2:$Q$1153,MATCH(13,'Base articles'!$T$2:$T$1153,0))),"")</f>
        <v>Votre tarif — YESSS Électrique</v>
      </c>
      <c r="J19" s="20" t="str">
        <f aca="false">IFERROR(IF(INDEX('Base articles'!$B$2:$B$1153,MATCH(13,'Base articles'!$T$2:$T$1153,0))="","",INDEX('Base articles'!$B$2:$B$1153,MATCH(13,'Base articles'!$T$2:$T$1153,0))),"")</f>
        <v>01 · Électricité CFO</v>
      </c>
    </row>
    <row r="20" customFormat="false" ht="27.75" hidden="false" customHeight="true" outlineLevel="0" collapsed="false">
      <c r="A20" s="23" t="str">
        <f aca="false">IFERROR(IF(INDEX('Base articles'!$D$2:$D$1153,MATCH(14,'Base articles'!$T$2:$T$1153,0))="","",INDEX('Base articles'!$D$2:$D$1153,MATCH(14,'Base articles'!$T$2:$T$1153,0))),"")</f>
        <v/>
      </c>
      <c r="B20" s="24" t="str">
        <f aca="false">IFERROR(IF(INDEX('Base articles'!$F$2:$F$1153,MATCH(14,'Base articles'!$T$2:$T$1153,0))="","",INDEX('Base articles'!$F$2:$F$1153,MATCH(14,'Base articles'!$T$2:$T$1153,0))),"")</f>
        <v/>
      </c>
      <c r="C20" s="25" t="str">
        <f aca="false">IFERROR(INDEX('Base articles'!$H$2:$H$1153,MATCH(14,'Base articles'!$T$2:$T$1153,0)),"")</f>
        <v/>
      </c>
      <c r="D20" s="24" t="str">
        <f aca="false">IFERROR(IF(INDEX('Base articles'!$G$2:$G$1153,MATCH(14,'Base articles'!$T$2:$T$1153,0))="","",INDEX('Base articles'!$G$2:$G$1153,MATCH(14,'Base articles'!$T$2:$T$1153,0))),"")</f>
        <v/>
      </c>
      <c r="E20" s="23" t="str">
        <f aca="false">IFERROR(IF(INDEX('Base articles'!$K$2:$K$1153,MATCH(14,'Base articles'!$T$2:$T$1153,0))="","",INDEX('Base articles'!$K$2:$K$1153,MATCH(14,'Base articles'!$T$2:$T$1153,0))),"")</f>
        <v/>
      </c>
      <c r="F20" s="24" t="str">
        <f aca="false">IFERROR(IF(INDEX('Base articles'!$M$2:$M$1153,MATCH(14,'Base articles'!$T$2:$T$1153,0))="","",INDEX('Base articles'!$M$2:$M$1153,MATCH(14,'Base articles'!$T$2:$T$1153,0))),"")</f>
        <v/>
      </c>
      <c r="G20" s="26" t="str">
        <f aca="false">IFERROR(IF(INDEX('Base articles'!$N$2:$N$1153,MATCH(14,'Base articles'!$T$2:$T$1153,0))="","",INDEX('Base articles'!$N$2:$N$1153,MATCH(14,'Base articles'!$T$2:$T$1153,0))),"")</f>
        <v/>
      </c>
      <c r="H20" s="23" t="str">
        <f aca="false">IFERROR(IF(INDEX('Base articles'!$P$2:$P$1153,MATCH(14,'Base articles'!$T$2:$T$1153,0))="","",INDEX('Base articles'!$P$2:$P$1153,MATCH(14,'Base articles'!$T$2:$T$1153,0))),"")</f>
        <v/>
      </c>
      <c r="I20" s="23" t="str">
        <f aca="false">IFERROR(IF(INDEX('Base articles'!$Q$2:$Q$1153,MATCH(14,'Base articles'!$T$2:$T$1153,0))="","",INDEX('Base articles'!$Q$2:$Q$1153,MATCH(14,'Base articles'!$T$2:$T$1153,0))),"")</f>
        <v/>
      </c>
      <c r="J20" s="24" t="str">
        <f aca="false">IFERROR(IF(INDEX('Base articles'!$B$2:$B$1153,MATCH(14,'Base articles'!$T$2:$T$1153,0))="","",INDEX('Base articles'!$B$2:$B$1153,MATCH(14,'Base articles'!$T$2:$T$1153,0))),"")</f>
        <v/>
      </c>
    </row>
    <row r="21" customFormat="false" ht="27.75" hidden="false" customHeight="true" outlineLevel="0" collapsed="false">
      <c r="A21" s="19" t="str">
        <f aca="false">IFERROR(IF(INDEX('Base articles'!$D$2:$D$1153,MATCH(15,'Base articles'!$T$2:$T$1153,0))="","",INDEX('Base articles'!$D$2:$D$1153,MATCH(15,'Base articles'!$T$2:$T$1153,0))),"")</f>
        <v/>
      </c>
      <c r="B21" s="20" t="str">
        <f aca="false">IFERROR(IF(INDEX('Base articles'!$F$2:$F$1153,MATCH(15,'Base articles'!$T$2:$T$1153,0))="","",INDEX('Base articles'!$F$2:$F$1153,MATCH(15,'Base articles'!$T$2:$T$1153,0))),"")</f>
        <v/>
      </c>
      <c r="C21" s="21" t="str">
        <f aca="false">IFERROR(INDEX('Base articles'!$H$2:$H$1153,MATCH(15,'Base articles'!$T$2:$T$1153,0)),"")</f>
        <v/>
      </c>
      <c r="D21" s="20" t="str">
        <f aca="false">IFERROR(IF(INDEX('Base articles'!$G$2:$G$1153,MATCH(15,'Base articles'!$T$2:$T$1153,0))="","",INDEX('Base articles'!$G$2:$G$1153,MATCH(15,'Base articles'!$T$2:$T$1153,0))),"")</f>
        <v/>
      </c>
      <c r="E21" s="19" t="str">
        <f aca="false">IFERROR(IF(INDEX('Base articles'!$K$2:$K$1153,MATCH(15,'Base articles'!$T$2:$T$1153,0))="","",INDEX('Base articles'!$K$2:$K$1153,MATCH(15,'Base articles'!$T$2:$T$1153,0))),"")</f>
        <v/>
      </c>
      <c r="F21" s="20" t="str">
        <f aca="false">IFERROR(IF(INDEX('Base articles'!$M$2:$M$1153,MATCH(15,'Base articles'!$T$2:$T$1153,0))="","",INDEX('Base articles'!$M$2:$M$1153,MATCH(15,'Base articles'!$T$2:$T$1153,0))),"")</f>
        <v/>
      </c>
      <c r="G21" s="22" t="str">
        <f aca="false">IFERROR(IF(INDEX('Base articles'!$N$2:$N$1153,MATCH(15,'Base articles'!$T$2:$T$1153,0))="","",INDEX('Base articles'!$N$2:$N$1153,MATCH(15,'Base articles'!$T$2:$T$1153,0))),"")</f>
        <v/>
      </c>
      <c r="H21" s="19" t="str">
        <f aca="false">IFERROR(IF(INDEX('Base articles'!$P$2:$P$1153,MATCH(15,'Base articles'!$T$2:$T$1153,0))="","",INDEX('Base articles'!$P$2:$P$1153,MATCH(15,'Base articles'!$T$2:$T$1153,0))),"")</f>
        <v/>
      </c>
      <c r="I21" s="19" t="str">
        <f aca="false">IFERROR(IF(INDEX('Base articles'!$Q$2:$Q$1153,MATCH(15,'Base articles'!$T$2:$T$1153,0))="","",INDEX('Base articles'!$Q$2:$Q$1153,MATCH(15,'Base articles'!$T$2:$T$1153,0))),"")</f>
        <v/>
      </c>
      <c r="J21" s="20" t="str">
        <f aca="false">IFERROR(IF(INDEX('Base articles'!$B$2:$B$1153,MATCH(15,'Base articles'!$T$2:$T$1153,0))="","",INDEX('Base articles'!$B$2:$B$1153,MATCH(15,'Base articles'!$T$2:$T$1153,0))),"")</f>
        <v/>
      </c>
    </row>
    <row r="22" customFormat="false" ht="27.75" hidden="false" customHeight="true" outlineLevel="0" collapsed="false">
      <c r="A22" s="23" t="str">
        <f aca="false">IFERROR(IF(INDEX('Base articles'!$D$2:$D$1153,MATCH(16,'Base articles'!$T$2:$T$1153,0))="","",INDEX('Base articles'!$D$2:$D$1153,MATCH(16,'Base articles'!$T$2:$T$1153,0))),"")</f>
        <v/>
      </c>
      <c r="B22" s="24" t="str">
        <f aca="false">IFERROR(IF(INDEX('Base articles'!$F$2:$F$1153,MATCH(16,'Base articles'!$T$2:$T$1153,0))="","",INDEX('Base articles'!$F$2:$F$1153,MATCH(16,'Base articles'!$T$2:$T$1153,0))),"")</f>
        <v/>
      </c>
      <c r="C22" s="25" t="str">
        <f aca="false">IFERROR(INDEX('Base articles'!$H$2:$H$1153,MATCH(16,'Base articles'!$T$2:$T$1153,0)),"")</f>
        <v/>
      </c>
      <c r="D22" s="24" t="str">
        <f aca="false">IFERROR(IF(INDEX('Base articles'!$G$2:$G$1153,MATCH(16,'Base articles'!$T$2:$T$1153,0))="","",INDEX('Base articles'!$G$2:$G$1153,MATCH(16,'Base articles'!$T$2:$T$1153,0))),"")</f>
        <v/>
      </c>
      <c r="E22" s="23" t="str">
        <f aca="false">IFERROR(IF(INDEX('Base articles'!$K$2:$K$1153,MATCH(16,'Base articles'!$T$2:$T$1153,0))="","",INDEX('Base articles'!$K$2:$K$1153,MATCH(16,'Base articles'!$T$2:$T$1153,0))),"")</f>
        <v/>
      </c>
      <c r="F22" s="24" t="str">
        <f aca="false">IFERROR(IF(INDEX('Base articles'!$M$2:$M$1153,MATCH(16,'Base articles'!$T$2:$T$1153,0))="","",INDEX('Base articles'!$M$2:$M$1153,MATCH(16,'Base articles'!$T$2:$T$1153,0))),"")</f>
        <v/>
      </c>
      <c r="G22" s="26" t="str">
        <f aca="false">IFERROR(IF(INDEX('Base articles'!$N$2:$N$1153,MATCH(16,'Base articles'!$T$2:$T$1153,0))="","",INDEX('Base articles'!$N$2:$N$1153,MATCH(16,'Base articles'!$T$2:$T$1153,0))),"")</f>
        <v/>
      </c>
      <c r="H22" s="23" t="str">
        <f aca="false">IFERROR(IF(INDEX('Base articles'!$P$2:$P$1153,MATCH(16,'Base articles'!$T$2:$T$1153,0))="","",INDEX('Base articles'!$P$2:$P$1153,MATCH(16,'Base articles'!$T$2:$T$1153,0))),"")</f>
        <v/>
      </c>
      <c r="I22" s="23" t="str">
        <f aca="false">IFERROR(IF(INDEX('Base articles'!$Q$2:$Q$1153,MATCH(16,'Base articles'!$T$2:$T$1153,0))="","",INDEX('Base articles'!$Q$2:$Q$1153,MATCH(16,'Base articles'!$T$2:$T$1153,0))),"")</f>
        <v/>
      </c>
      <c r="J22" s="24" t="str">
        <f aca="false">IFERROR(IF(INDEX('Base articles'!$B$2:$B$1153,MATCH(16,'Base articles'!$T$2:$T$1153,0))="","",INDEX('Base articles'!$B$2:$B$1153,MATCH(16,'Base articles'!$T$2:$T$1153,0))),"")</f>
        <v/>
      </c>
    </row>
    <row r="23" customFormat="false" ht="27.75" hidden="false" customHeight="true" outlineLevel="0" collapsed="false">
      <c r="A23" s="19" t="str">
        <f aca="false">IFERROR(IF(INDEX('Base articles'!$D$2:$D$1153,MATCH(17,'Base articles'!$T$2:$T$1153,0))="","",INDEX('Base articles'!$D$2:$D$1153,MATCH(17,'Base articles'!$T$2:$T$1153,0))),"")</f>
        <v/>
      </c>
      <c r="B23" s="20" t="str">
        <f aca="false">IFERROR(IF(INDEX('Base articles'!$F$2:$F$1153,MATCH(17,'Base articles'!$T$2:$T$1153,0))="","",INDEX('Base articles'!$F$2:$F$1153,MATCH(17,'Base articles'!$T$2:$T$1153,0))),"")</f>
        <v/>
      </c>
      <c r="C23" s="21" t="str">
        <f aca="false">IFERROR(INDEX('Base articles'!$H$2:$H$1153,MATCH(17,'Base articles'!$T$2:$T$1153,0)),"")</f>
        <v/>
      </c>
      <c r="D23" s="20" t="str">
        <f aca="false">IFERROR(IF(INDEX('Base articles'!$G$2:$G$1153,MATCH(17,'Base articles'!$T$2:$T$1153,0))="","",INDEX('Base articles'!$G$2:$G$1153,MATCH(17,'Base articles'!$T$2:$T$1153,0))),"")</f>
        <v/>
      </c>
      <c r="E23" s="19" t="str">
        <f aca="false">IFERROR(IF(INDEX('Base articles'!$K$2:$K$1153,MATCH(17,'Base articles'!$T$2:$T$1153,0))="","",INDEX('Base articles'!$K$2:$K$1153,MATCH(17,'Base articles'!$T$2:$T$1153,0))),"")</f>
        <v/>
      </c>
      <c r="F23" s="20" t="str">
        <f aca="false">IFERROR(IF(INDEX('Base articles'!$M$2:$M$1153,MATCH(17,'Base articles'!$T$2:$T$1153,0))="","",INDEX('Base articles'!$M$2:$M$1153,MATCH(17,'Base articles'!$T$2:$T$1153,0))),"")</f>
        <v/>
      </c>
      <c r="G23" s="22" t="str">
        <f aca="false">IFERROR(IF(INDEX('Base articles'!$N$2:$N$1153,MATCH(17,'Base articles'!$T$2:$T$1153,0))="","",INDEX('Base articles'!$N$2:$N$1153,MATCH(17,'Base articles'!$T$2:$T$1153,0))),"")</f>
        <v/>
      </c>
      <c r="H23" s="19" t="str">
        <f aca="false">IFERROR(IF(INDEX('Base articles'!$P$2:$P$1153,MATCH(17,'Base articles'!$T$2:$T$1153,0))="","",INDEX('Base articles'!$P$2:$P$1153,MATCH(17,'Base articles'!$T$2:$T$1153,0))),"")</f>
        <v/>
      </c>
      <c r="I23" s="19" t="str">
        <f aca="false">IFERROR(IF(INDEX('Base articles'!$Q$2:$Q$1153,MATCH(17,'Base articles'!$T$2:$T$1153,0))="","",INDEX('Base articles'!$Q$2:$Q$1153,MATCH(17,'Base articles'!$T$2:$T$1153,0))),"")</f>
        <v/>
      </c>
      <c r="J23" s="20" t="str">
        <f aca="false">IFERROR(IF(INDEX('Base articles'!$B$2:$B$1153,MATCH(17,'Base articles'!$T$2:$T$1153,0))="","",INDEX('Base articles'!$B$2:$B$1153,MATCH(17,'Base articles'!$T$2:$T$1153,0))),"")</f>
        <v/>
      </c>
    </row>
    <row r="24" customFormat="false" ht="27.75" hidden="false" customHeight="true" outlineLevel="0" collapsed="false">
      <c r="A24" s="23" t="str">
        <f aca="false">IFERROR(IF(INDEX('Base articles'!$D$2:$D$1153,MATCH(18,'Base articles'!$T$2:$T$1153,0))="","",INDEX('Base articles'!$D$2:$D$1153,MATCH(18,'Base articles'!$T$2:$T$1153,0))),"")</f>
        <v/>
      </c>
      <c r="B24" s="24" t="str">
        <f aca="false">IFERROR(IF(INDEX('Base articles'!$F$2:$F$1153,MATCH(18,'Base articles'!$T$2:$T$1153,0))="","",INDEX('Base articles'!$F$2:$F$1153,MATCH(18,'Base articles'!$T$2:$T$1153,0))),"")</f>
        <v/>
      </c>
      <c r="C24" s="25" t="str">
        <f aca="false">IFERROR(INDEX('Base articles'!$H$2:$H$1153,MATCH(18,'Base articles'!$T$2:$T$1153,0)),"")</f>
        <v/>
      </c>
      <c r="D24" s="24" t="str">
        <f aca="false">IFERROR(IF(INDEX('Base articles'!$G$2:$G$1153,MATCH(18,'Base articles'!$T$2:$T$1153,0))="","",INDEX('Base articles'!$G$2:$G$1153,MATCH(18,'Base articles'!$T$2:$T$1153,0))),"")</f>
        <v/>
      </c>
      <c r="E24" s="23" t="str">
        <f aca="false">IFERROR(IF(INDEX('Base articles'!$K$2:$K$1153,MATCH(18,'Base articles'!$T$2:$T$1153,0))="","",INDEX('Base articles'!$K$2:$K$1153,MATCH(18,'Base articles'!$T$2:$T$1153,0))),"")</f>
        <v/>
      </c>
      <c r="F24" s="24" t="str">
        <f aca="false">IFERROR(IF(INDEX('Base articles'!$M$2:$M$1153,MATCH(18,'Base articles'!$T$2:$T$1153,0))="","",INDEX('Base articles'!$M$2:$M$1153,MATCH(18,'Base articles'!$T$2:$T$1153,0))),"")</f>
        <v/>
      </c>
      <c r="G24" s="26" t="str">
        <f aca="false">IFERROR(IF(INDEX('Base articles'!$N$2:$N$1153,MATCH(18,'Base articles'!$T$2:$T$1153,0))="","",INDEX('Base articles'!$N$2:$N$1153,MATCH(18,'Base articles'!$T$2:$T$1153,0))),"")</f>
        <v/>
      </c>
      <c r="H24" s="23" t="str">
        <f aca="false">IFERROR(IF(INDEX('Base articles'!$P$2:$P$1153,MATCH(18,'Base articles'!$T$2:$T$1153,0))="","",INDEX('Base articles'!$P$2:$P$1153,MATCH(18,'Base articles'!$T$2:$T$1153,0))),"")</f>
        <v/>
      </c>
      <c r="I24" s="23" t="str">
        <f aca="false">IFERROR(IF(INDEX('Base articles'!$Q$2:$Q$1153,MATCH(18,'Base articles'!$T$2:$T$1153,0))="","",INDEX('Base articles'!$Q$2:$Q$1153,MATCH(18,'Base articles'!$T$2:$T$1153,0))),"")</f>
        <v/>
      </c>
      <c r="J24" s="24" t="str">
        <f aca="false">IFERROR(IF(INDEX('Base articles'!$B$2:$B$1153,MATCH(18,'Base articles'!$T$2:$T$1153,0))="","",INDEX('Base articles'!$B$2:$B$1153,MATCH(18,'Base articles'!$T$2:$T$1153,0))),"")</f>
        <v/>
      </c>
    </row>
    <row r="25" customFormat="false" ht="27.75" hidden="false" customHeight="true" outlineLevel="0" collapsed="false">
      <c r="A25" s="19" t="str">
        <f aca="false">IFERROR(IF(INDEX('Base articles'!$D$2:$D$1153,MATCH(19,'Base articles'!$T$2:$T$1153,0))="","",INDEX('Base articles'!$D$2:$D$1153,MATCH(19,'Base articles'!$T$2:$T$1153,0))),"")</f>
        <v/>
      </c>
      <c r="B25" s="20" t="str">
        <f aca="false">IFERROR(IF(INDEX('Base articles'!$F$2:$F$1153,MATCH(19,'Base articles'!$T$2:$T$1153,0))="","",INDEX('Base articles'!$F$2:$F$1153,MATCH(19,'Base articles'!$T$2:$T$1153,0))),"")</f>
        <v/>
      </c>
      <c r="C25" s="21" t="str">
        <f aca="false">IFERROR(INDEX('Base articles'!$H$2:$H$1153,MATCH(19,'Base articles'!$T$2:$T$1153,0)),"")</f>
        <v/>
      </c>
      <c r="D25" s="20" t="str">
        <f aca="false">IFERROR(IF(INDEX('Base articles'!$G$2:$G$1153,MATCH(19,'Base articles'!$T$2:$T$1153,0))="","",INDEX('Base articles'!$G$2:$G$1153,MATCH(19,'Base articles'!$T$2:$T$1153,0))),"")</f>
        <v/>
      </c>
      <c r="E25" s="19" t="str">
        <f aca="false">IFERROR(IF(INDEX('Base articles'!$K$2:$K$1153,MATCH(19,'Base articles'!$T$2:$T$1153,0))="","",INDEX('Base articles'!$K$2:$K$1153,MATCH(19,'Base articles'!$T$2:$T$1153,0))),"")</f>
        <v/>
      </c>
      <c r="F25" s="20" t="str">
        <f aca="false">IFERROR(IF(INDEX('Base articles'!$M$2:$M$1153,MATCH(19,'Base articles'!$T$2:$T$1153,0))="","",INDEX('Base articles'!$M$2:$M$1153,MATCH(19,'Base articles'!$T$2:$T$1153,0))),"")</f>
        <v/>
      </c>
      <c r="G25" s="22" t="str">
        <f aca="false">IFERROR(IF(INDEX('Base articles'!$N$2:$N$1153,MATCH(19,'Base articles'!$T$2:$T$1153,0))="","",INDEX('Base articles'!$N$2:$N$1153,MATCH(19,'Base articles'!$T$2:$T$1153,0))),"")</f>
        <v/>
      </c>
      <c r="H25" s="19" t="str">
        <f aca="false">IFERROR(IF(INDEX('Base articles'!$P$2:$P$1153,MATCH(19,'Base articles'!$T$2:$T$1153,0))="","",INDEX('Base articles'!$P$2:$P$1153,MATCH(19,'Base articles'!$T$2:$T$1153,0))),"")</f>
        <v/>
      </c>
      <c r="I25" s="19" t="str">
        <f aca="false">IFERROR(IF(INDEX('Base articles'!$Q$2:$Q$1153,MATCH(19,'Base articles'!$T$2:$T$1153,0))="","",INDEX('Base articles'!$Q$2:$Q$1153,MATCH(19,'Base articles'!$T$2:$T$1153,0))),"")</f>
        <v/>
      </c>
      <c r="J25" s="20" t="str">
        <f aca="false">IFERROR(IF(INDEX('Base articles'!$B$2:$B$1153,MATCH(19,'Base articles'!$T$2:$T$1153,0))="","",INDEX('Base articles'!$B$2:$B$1153,MATCH(19,'Base articles'!$T$2:$T$1153,0))),"")</f>
        <v/>
      </c>
    </row>
    <row r="26" customFormat="false" ht="27.75" hidden="false" customHeight="true" outlineLevel="0" collapsed="false">
      <c r="A26" s="23" t="str">
        <f aca="false">IFERROR(IF(INDEX('Base articles'!$D$2:$D$1153,MATCH(20,'Base articles'!$T$2:$T$1153,0))="","",INDEX('Base articles'!$D$2:$D$1153,MATCH(20,'Base articles'!$T$2:$T$1153,0))),"")</f>
        <v/>
      </c>
      <c r="B26" s="24" t="str">
        <f aca="false">IFERROR(IF(INDEX('Base articles'!$F$2:$F$1153,MATCH(20,'Base articles'!$T$2:$T$1153,0))="","",INDEX('Base articles'!$F$2:$F$1153,MATCH(20,'Base articles'!$T$2:$T$1153,0))),"")</f>
        <v/>
      </c>
      <c r="C26" s="25" t="str">
        <f aca="false">IFERROR(INDEX('Base articles'!$H$2:$H$1153,MATCH(20,'Base articles'!$T$2:$T$1153,0)),"")</f>
        <v/>
      </c>
      <c r="D26" s="24" t="str">
        <f aca="false">IFERROR(IF(INDEX('Base articles'!$G$2:$G$1153,MATCH(20,'Base articles'!$T$2:$T$1153,0))="","",INDEX('Base articles'!$G$2:$G$1153,MATCH(20,'Base articles'!$T$2:$T$1153,0))),"")</f>
        <v/>
      </c>
      <c r="E26" s="23" t="str">
        <f aca="false">IFERROR(IF(INDEX('Base articles'!$K$2:$K$1153,MATCH(20,'Base articles'!$T$2:$T$1153,0))="","",INDEX('Base articles'!$K$2:$K$1153,MATCH(20,'Base articles'!$T$2:$T$1153,0))),"")</f>
        <v/>
      </c>
      <c r="F26" s="24" t="str">
        <f aca="false">IFERROR(IF(INDEX('Base articles'!$M$2:$M$1153,MATCH(20,'Base articles'!$T$2:$T$1153,0))="","",INDEX('Base articles'!$M$2:$M$1153,MATCH(20,'Base articles'!$T$2:$T$1153,0))),"")</f>
        <v/>
      </c>
      <c r="G26" s="26" t="str">
        <f aca="false">IFERROR(IF(INDEX('Base articles'!$N$2:$N$1153,MATCH(20,'Base articles'!$T$2:$T$1153,0))="","",INDEX('Base articles'!$N$2:$N$1153,MATCH(20,'Base articles'!$T$2:$T$1153,0))),"")</f>
        <v/>
      </c>
      <c r="H26" s="23" t="str">
        <f aca="false">IFERROR(IF(INDEX('Base articles'!$P$2:$P$1153,MATCH(20,'Base articles'!$T$2:$T$1153,0))="","",INDEX('Base articles'!$P$2:$P$1153,MATCH(20,'Base articles'!$T$2:$T$1153,0))),"")</f>
        <v/>
      </c>
      <c r="I26" s="23" t="str">
        <f aca="false">IFERROR(IF(INDEX('Base articles'!$Q$2:$Q$1153,MATCH(20,'Base articles'!$T$2:$T$1153,0))="","",INDEX('Base articles'!$Q$2:$Q$1153,MATCH(20,'Base articles'!$T$2:$T$1153,0))),"")</f>
        <v/>
      </c>
      <c r="J26" s="24" t="str">
        <f aca="false">IFERROR(IF(INDEX('Base articles'!$B$2:$B$1153,MATCH(20,'Base articles'!$T$2:$T$1153,0))="","",INDEX('Base articles'!$B$2:$B$1153,MATCH(20,'Base articles'!$T$2:$T$1153,0))),"")</f>
        <v/>
      </c>
    </row>
    <row r="27" customFormat="false" ht="27.75" hidden="false" customHeight="true" outlineLevel="0" collapsed="false">
      <c r="A27" s="19" t="str">
        <f aca="false">IFERROR(IF(INDEX('Base articles'!$D$2:$D$1153,MATCH(21,'Base articles'!$T$2:$T$1153,0))="","",INDEX('Base articles'!$D$2:$D$1153,MATCH(21,'Base articles'!$T$2:$T$1153,0))),"")</f>
        <v/>
      </c>
      <c r="B27" s="20" t="str">
        <f aca="false">IFERROR(IF(INDEX('Base articles'!$F$2:$F$1153,MATCH(21,'Base articles'!$T$2:$T$1153,0))="","",INDEX('Base articles'!$F$2:$F$1153,MATCH(21,'Base articles'!$T$2:$T$1153,0))),"")</f>
        <v/>
      </c>
      <c r="C27" s="21" t="str">
        <f aca="false">IFERROR(INDEX('Base articles'!$H$2:$H$1153,MATCH(21,'Base articles'!$T$2:$T$1153,0)),"")</f>
        <v/>
      </c>
      <c r="D27" s="20" t="str">
        <f aca="false">IFERROR(IF(INDEX('Base articles'!$G$2:$G$1153,MATCH(21,'Base articles'!$T$2:$T$1153,0))="","",INDEX('Base articles'!$G$2:$G$1153,MATCH(21,'Base articles'!$T$2:$T$1153,0))),"")</f>
        <v/>
      </c>
      <c r="E27" s="19" t="str">
        <f aca="false">IFERROR(IF(INDEX('Base articles'!$K$2:$K$1153,MATCH(21,'Base articles'!$T$2:$T$1153,0))="","",INDEX('Base articles'!$K$2:$K$1153,MATCH(21,'Base articles'!$T$2:$T$1153,0))),"")</f>
        <v/>
      </c>
      <c r="F27" s="20" t="str">
        <f aca="false">IFERROR(IF(INDEX('Base articles'!$M$2:$M$1153,MATCH(21,'Base articles'!$T$2:$T$1153,0))="","",INDEX('Base articles'!$M$2:$M$1153,MATCH(21,'Base articles'!$T$2:$T$1153,0))),"")</f>
        <v/>
      </c>
      <c r="G27" s="22" t="str">
        <f aca="false">IFERROR(IF(INDEX('Base articles'!$N$2:$N$1153,MATCH(21,'Base articles'!$T$2:$T$1153,0))="","",INDEX('Base articles'!$N$2:$N$1153,MATCH(21,'Base articles'!$T$2:$T$1153,0))),"")</f>
        <v/>
      </c>
      <c r="H27" s="19" t="str">
        <f aca="false">IFERROR(IF(INDEX('Base articles'!$P$2:$P$1153,MATCH(21,'Base articles'!$T$2:$T$1153,0))="","",INDEX('Base articles'!$P$2:$P$1153,MATCH(21,'Base articles'!$T$2:$T$1153,0))),"")</f>
        <v/>
      </c>
      <c r="I27" s="19" t="str">
        <f aca="false">IFERROR(IF(INDEX('Base articles'!$Q$2:$Q$1153,MATCH(21,'Base articles'!$T$2:$T$1153,0))="","",INDEX('Base articles'!$Q$2:$Q$1153,MATCH(21,'Base articles'!$T$2:$T$1153,0))),"")</f>
        <v/>
      </c>
      <c r="J27" s="20" t="str">
        <f aca="false">IFERROR(IF(INDEX('Base articles'!$B$2:$B$1153,MATCH(21,'Base articles'!$T$2:$T$1153,0))="","",INDEX('Base articles'!$B$2:$B$1153,MATCH(21,'Base articles'!$T$2:$T$1153,0))),"")</f>
        <v/>
      </c>
    </row>
    <row r="28" customFormat="false" ht="27.75" hidden="false" customHeight="true" outlineLevel="0" collapsed="false">
      <c r="A28" s="23" t="str">
        <f aca="false">IFERROR(IF(INDEX('Base articles'!$D$2:$D$1153,MATCH(22,'Base articles'!$T$2:$T$1153,0))="","",INDEX('Base articles'!$D$2:$D$1153,MATCH(22,'Base articles'!$T$2:$T$1153,0))),"")</f>
        <v/>
      </c>
      <c r="B28" s="24" t="str">
        <f aca="false">IFERROR(IF(INDEX('Base articles'!$F$2:$F$1153,MATCH(22,'Base articles'!$T$2:$T$1153,0))="","",INDEX('Base articles'!$F$2:$F$1153,MATCH(22,'Base articles'!$T$2:$T$1153,0))),"")</f>
        <v/>
      </c>
      <c r="C28" s="25" t="str">
        <f aca="false">IFERROR(INDEX('Base articles'!$H$2:$H$1153,MATCH(22,'Base articles'!$T$2:$T$1153,0)),"")</f>
        <v/>
      </c>
      <c r="D28" s="24" t="str">
        <f aca="false">IFERROR(IF(INDEX('Base articles'!$G$2:$G$1153,MATCH(22,'Base articles'!$T$2:$T$1153,0))="","",INDEX('Base articles'!$G$2:$G$1153,MATCH(22,'Base articles'!$T$2:$T$1153,0))),"")</f>
        <v/>
      </c>
      <c r="E28" s="23" t="str">
        <f aca="false">IFERROR(IF(INDEX('Base articles'!$K$2:$K$1153,MATCH(22,'Base articles'!$T$2:$T$1153,0))="","",INDEX('Base articles'!$K$2:$K$1153,MATCH(22,'Base articles'!$T$2:$T$1153,0))),"")</f>
        <v/>
      </c>
      <c r="F28" s="24" t="str">
        <f aca="false">IFERROR(IF(INDEX('Base articles'!$M$2:$M$1153,MATCH(22,'Base articles'!$T$2:$T$1153,0))="","",INDEX('Base articles'!$M$2:$M$1153,MATCH(22,'Base articles'!$T$2:$T$1153,0))),"")</f>
        <v/>
      </c>
      <c r="G28" s="26" t="str">
        <f aca="false">IFERROR(IF(INDEX('Base articles'!$N$2:$N$1153,MATCH(22,'Base articles'!$T$2:$T$1153,0))="","",INDEX('Base articles'!$N$2:$N$1153,MATCH(22,'Base articles'!$T$2:$T$1153,0))),"")</f>
        <v/>
      </c>
      <c r="H28" s="23" t="str">
        <f aca="false">IFERROR(IF(INDEX('Base articles'!$P$2:$P$1153,MATCH(22,'Base articles'!$T$2:$T$1153,0))="","",INDEX('Base articles'!$P$2:$P$1153,MATCH(22,'Base articles'!$T$2:$T$1153,0))),"")</f>
        <v/>
      </c>
      <c r="I28" s="23" t="str">
        <f aca="false">IFERROR(IF(INDEX('Base articles'!$Q$2:$Q$1153,MATCH(22,'Base articles'!$T$2:$T$1153,0))="","",INDEX('Base articles'!$Q$2:$Q$1153,MATCH(22,'Base articles'!$T$2:$T$1153,0))),"")</f>
        <v/>
      </c>
      <c r="J28" s="24" t="str">
        <f aca="false">IFERROR(IF(INDEX('Base articles'!$B$2:$B$1153,MATCH(22,'Base articles'!$T$2:$T$1153,0))="","",INDEX('Base articles'!$B$2:$B$1153,MATCH(22,'Base articles'!$T$2:$T$1153,0))),"")</f>
        <v/>
      </c>
    </row>
    <row r="29" customFormat="false" ht="27.75" hidden="false" customHeight="true" outlineLevel="0" collapsed="false">
      <c r="A29" s="19" t="str">
        <f aca="false">IFERROR(IF(INDEX('Base articles'!$D$2:$D$1153,MATCH(23,'Base articles'!$T$2:$T$1153,0))="","",INDEX('Base articles'!$D$2:$D$1153,MATCH(23,'Base articles'!$T$2:$T$1153,0))),"")</f>
        <v/>
      </c>
      <c r="B29" s="20" t="str">
        <f aca="false">IFERROR(IF(INDEX('Base articles'!$F$2:$F$1153,MATCH(23,'Base articles'!$T$2:$T$1153,0))="","",INDEX('Base articles'!$F$2:$F$1153,MATCH(23,'Base articles'!$T$2:$T$1153,0))),"")</f>
        <v/>
      </c>
      <c r="C29" s="21" t="str">
        <f aca="false">IFERROR(INDEX('Base articles'!$H$2:$H$1153,MATCH(23,'Base articles'!$T$2:$T$1153,0)),"")</f>
        <v/>
      </c>
      <c r="D29" s="20" t="str">
        <f aca="false">IFERROR(IF(INDEX('Base articles'!$G$2:$G$1153,MATCH(23,'Base articles'!$T$2:$T$1153,0))="","",INDEX('Base articles'!$G$2:$G$1153,MATCH(23,'Base articles'!$T$2:$T$1153,0))),"")</f>
        <v/>
      </c>
      <c r="E29" s="19" t="str">
        <f aca="false">IFERROR(IF(INDEX('Base articles'!$K$2:$K$1153,MATCH(23,'Base articles'!$T$2:$T$1153,0))="","",INDEX('Base articles'!$K$2:$K$1153,MATCH(23,'Base articles'!$T$2:$T$1153,0))),"")</f>
        <v/>
      </c>
      <c r="F29" s="20" t="str">
        <f aca="false">IFERROR(IF(INDEX('Base articles'!$M$2:$M$1153,MATCH(23,'Base articles'!$T$2:$T$1153,0))="","",INDEX('Base articles'!$M$2:$M$1153,MATCH(23,'Base articles'!$T$2:$T$1153,0))),"")</f>
        <v/>
      </c>
      <c r="G29" s="22" t="str">
        <f aca="false">IFERROR(IF(INDEX('Base articles'!$N$2:$N$1153,MATCH(23,'Base articles'!$T$2:$T$1153,0))="","",INDEX('Base articles'!$N$2:$N$1153,MATCH(23,'Base articles'!$T$2:$T$1153,0))),"")</f>
        <v/>
      </c>
      <c r="H29" s="19" t="str">
        <f aca="false">IFERROR(IF(INDEX('Base articles'!$P$2:$P$1153,MATCH(23,'Base articles'!$T$2:$T$1153,0))="","",INDEX('Base articles'!$P$2:$P$1153,MATCH(23,'Base articles'!$T$2:$T$1153,0))),"")</f>
        <v/>
      </c>
      <c r="I29" s="19" t="str">
        <f aca="false">IFERROR(IF(INDEX('Base articles'!$Q$2:$Q$1153,MATCH(23,'Base articles'!$T$2:$T$1153,0))="","",INDEX('Base articles'!$Q$2:$Q$1153,MATCH(23,'Base articles'!$T$2:$T$1153,0))),"")</f>
        <v/>
      </c>
      <c r="J29" s="20" t="str">
        <f aca="false">IFERROR(IF(INDEX('Base articles'!$B$2:$B$1153,MATCH(23,'Base articles'!$T$2:$T$1153,0))="","",INDEX('Base articles'!$B$2:$B$1153,MATCH(23,'Base articles'!$T$2:$T$1153,0))),"")</f>
        <v/>
      </c>
    </row>
    <row r="30" customFormat="false" ht="27.75" hidden="false" customHeight="true" outlineLevel="0" collapsed="false">
      <c r="A30" s="23" t="str">
        <f aca="false">IFERROR(IF(INDEX('Base articles'!$D$2:$D$1153,MATCH(24,'Base articles'!$T$2:$T$1153,0))="","",INDEX('Base articles'!$D$2:$D$1153,MATCH(24,'Base articles'!$T$2:$T$1153,0))),"")</f>
        <v/>
      </c>
      <c r="B30" s="24" t="str">
        <f aca="false">IFERROR(IF(INDEX('Base articles'!$F$2:$F$1153,MATCH(24,'Base articles'!$T$2:$T$1153,0))="","",INDEX('Base articles'!$F$2:$F$1153,MATCH(24,'Base articles'!$T$2:$T$1153,0))),"")</f>
        <v/>
      </c>
      <c r="C30" s="25" t="str">
        <f aca="false">IFERROR(INDEX('Base articles'!$H$2:$H$1153,MATCH(24,'Base articles'!$T$2:$T$1153,0)),"")</f>
        <v/>
      </c>
      <c r="D30" s="24" t="str">
        <f aca="false">IFERROR(IF(INDEX('Base articles'!$G$2:$G$1153,MATCH(24,'Base articles'!$T$2:$T$1153,0))="","",INDEX('Base articles'!$G$2:$G$1153,MATCH(24,'Base articles'!$T$2:$T$1153,0))),"")</f>
        <v/>
      </c>
      <c r="E30" s="23" t="str">
        <f aca="false">IFERROR(IF(INDEX('Base articles'!$K$2:$K$1153,MATCH(24,'Base articles'!$T$2:$T$1153,0))="","",INDEX('Base articles'!$K$2:$K$1153,MATCH(24,'Base articles'!$T$2:$T$1153,0))),"")</f>
        <v/>
      </c>
      <c r="F30" s="24" t="str">
        <f aca="false">IFERROR(IF(INDEX('Base articles'!$M$2:$M$1153,MATCH(24,'Base articles'!$T$2:$T$1153,0))="","",INDEX('Base articles'!$M$2:$M$1153,MATCH(24,'Base articles'!$T$2:$T$1153,0))),"")</f>
        <v/>
      </c>
      <c r="G30" s="26" t="str">
        <f aca="false">IFERROR(IF(INDEX('Base articles'!$N$2:$N$1153,MATCH(24,'Base articles'!$T$2:$T$1153,0))="","",INDEX('Base articles'!$N$2:$N$1153,MATCH(24,'Base articles'!$T$2:$T$1153,0))),"")</f>
        <v/>
      </c>
      <c r="H30" s="23" t="str">
        <f aca="false">IFERROR(IF(INDEX('Base articles'!$P$2:$P$1153,MATCH(24,'Base articles'!$T$2:$T$1153,0))="","",INDEX('Base articles'!$P$2:$P$1153,MATCH(24,'Base articles'!$T$2:$T$1153,0))),"")</f>
        <v/>
      </c>
      <c r="I30" s="23" t="str">
        <f aca="false">IFERROR(IF(INDEX('Base articles'!$Q$2:$Q$1153,MATCH(24,'Base articles'!$T$2:$T$1153,0))="","",INDEX('Base articles'!$Q$2:$Q$1153,MATCH(24,'Base articles'!$T$2:$T$1153,0))),"")</f>
        <v/>
      </c>
      <c r="J30" s="24" t="str">
        <f aca="false">IFERROR(IF(INDEX('Base articles'!$B$2:$B$1153,MATCH(24,'Base articles'!$T$2:$T$1153,0))="","",INDEX('Base articles'!$B$2:$B$1153,MATCH(24,'Base articles'!$T$2:$T$1153,0))),"")</f>
        <v/>
      </c>
    </row>
    <row r="31" customFormat="false" ht="27.75" hidden="false" customHeight="true" outlineLevel="0" collapsed="false">
      <c r="A31" s="19" t="str">
        <f aca="false">IFERROR(IF(INDEX('Base articles'!$D$2:$D$1153,MATCH(25,'Base articles'!$T$2:$T$1153,0))="","",INDEX('Base articles'!$D$2:$D$1153,MATCH(25,'Base articles'!$T$2:$T$1153,0))),"")</f>
        <v/>
      </c>
      <c r="B31" s="20" t="str">
        <f aca="false">IFERROR(IF(INDEX('Base articles'!$F$2:$F$1153,MATCH(25,'Base articles'!$T$2:$T$1153,0))="","",INDEX('Base articles'!$F$2:$F$1153,MATCH(25,'Base articles'!$T$2:$T$1153,0))),"")</f>
        <v/>
      </c>
      <c r="C31" s="21" t="str">
        <f aca="false">IFERROR(INDEX('Base articles'!$H$2:$H$1153,MATCH(25,'Base articles'!$T$2:$T$1153,0)),"")</f>
        <v/>
      </c>
      <c r="D31" s="20" t="str">
        <f aca="false">IFERROR(IF(INDEX('Base articles'!$G$2:$G$1153,MATCH(25,'Base articles'!$T$2:$T$1153,0))="","",INDEX('Base articles'!$G$2:$G$1153,MATCH(25,'Base articles'!$T$2:$T$1153,0))),"")</f>
        <v/>
      </c>
      <c r="E31" s="19" t="str">
        <f aca="false">IFERROR(IF(INDEX('Base articles'!$K$2:$K$1153,MATCH(25,'Base articles'!$T$2:$T$1153,0))="","",INDEX('Base articles'!$K$2:$K$1153,MATCH(25,'Base articles'!$T$2:$T$1153,0))),"")</f>
        <v/>
      </c>
      <c r="F31" s="20" t="str">
        <f aca="false">IFERROR(IF(INDEX('Base articles'!$M$2:$M$1153,MATCH(25,'Base articles'!$T$2:$T$1153,0))="","",INDEX('Base articles'!$M$2:$M$1153,MATCH(25,'Base articles'!$T$2:$T$1153,0))),"")</f>
        <v/>
      </c>
      <c r="G31" s="22" t="str">
        <f aca="false">IFERROR(IF(INDEX('Base articles'!$N$2:$N$1153,MATCH(25,'Base articles'!$T$2:$T$1153,0))="","",INDEX('Base articles'!$N$2:$N$1153,MATCH(25,'Base articles'!$T$2:$T$1153,0))),"")</f>
        <v/>
      </c>
      <c r="H31" s="19" t="str">
        <f aca="false">IFERROR(IF(INDEX('Base articles'!$P$2:$P$1153,MATCH(25,'Base articles'!$T$2:$T$1153,0))="","",INDEX('Base articles'!$P$2:$P$1153,MATCH(25,'Base articles'!$T$2:$T$1153,0))),"")</f>
        <v/>
      </c>
      <c r="I31" s="19" t="str">
        <f aca="false">IFERROR(IF(INDEX('Base articles'!$Q$2:$Q$1153,MATCH(25,'Base articles'!$T$2:$T$1153,0))="","",INDEX('Base articles'!$Q$2:$Q$1153,MATCH(25,'Base articles'!$T$2:$T$1153,0))),"")</f>
        <v/>
      </c>
      <c r="J31" s="20" t="str">
        <f aca="false">IFERROR(IF(INDEX('Base articles'!$B$2:$B$1153,MATCH(25,'Base articles'!$T$2:$T$1153,0))="","",INDEX('Base articles'!$B$2:$B$1153,MATCH(25,'Base articles'!$T$2:$T$1153,0))),"")</f>
        <v/>
      </c>
    </row>
    <row r="32" customFormat="false" ht="27.75" hidden="false" customHeight="true" outlineLevel="0" collapsed="false">
      <c r="A32" s="23" t="str">
        <f aca="false">IFERROR(IF(INDEX('Base articles'!$D$2:$D$1153,MATCH(26,'Base articles'!$T$2:$T$1153,0))="","",INDEX('Base articles'!$D$2:$D$1153,MATCH(26,'Base articles'!$T$2:$T$1153,0))),"")</f>
        <v/>
      </c>
      <c r="B32" s="24" t="str">
        <f aca="false">IFERROR(IF(INDEX('Base articles'!$F$2:$F$1153,MATCH(26,'Base articles'!$T$2:$T$1153,0))="","",INDEX('Base articles'!$F$2:$F$1153,MATCH(26,'Base articles'!$T$2:$T$1153,0))),"")</f>
        <v/>
      </c>
      <c r="C32" s="25" t="str">
        <f aca="false">IFERROR(INDEX('Base articles'!$H$2:$H$1153,MATCH(26,'Base articles'!$T$2:$T$1153,0)),"")</f>
        <v/>
      </c>
      <c r="D32" s="24" t="str">
        <f aca="false">IFERROR(IF(INDEX('Base articles'!$G$2:$G$1153,MATCH(26,'Base articles'!$T$2:$T$1153,0))="","",INDEX('Base articles'!$G$2:$G$1153,MATCH(26,'Base articles'!$T$2:$T$1153,0))),"")</f>
        <v/>
      </c>
      <c r="E32" s="23" t="str">
        <f aca="false">IFERROR(IF(INDEX('Base articles'!$K$2:$K$1153,MATCH(26,'Base articles'!$T$2:$T$1153,0))="","",INDEX('Base articles'!$K$2:$K$1153,MATCH(26,'Base articles'!$T$2:$T$1153,0))),"")</f>
        <v/>
      </c>
      <c r="F32" s="24" t="str">
        <f aca="false">IFERROR(IF(INDEX('Base articles'!$M$2:$M$1153,MATCH(26,'Base articles'!$T$2:$T$1153,0))="","",INDEX('Base articles'!$M$2:$M$1153,MATCH(26,'Base articles'!$T$2:$T$1153,0))),"")</f>
        <v/>
      </c>
      <c r="G32" s="26" t="str">
        <f aca="false">IFERROR(IF(INDEX('Base articles'!$N$2:$N$1153,MATCH(26,'Base articles'!$T$2:$T$1153,0))="","",INDEX('Base articles'!$N$2:$N$1153,MATCH(26,'Base articles'!$T$2:$T$1153,0))),"")</f>
        <v/>
      </c>
      <c r="H32" s="23" t="str">
        <f aca="false">IFERROR(IF(INDEX('Base articles'!$P$2:$P$1153,MATCH(26,'Base articles'!$T$2:$T$1153,0))="","",INDEX('Base articles'!$P$2:$P$1153,MATCH(26,'Base articles'!$T$2:$T$1153,0))),"")</f>
        <v/>
      </c>
      <c r="I32" s="23" t="str">
        <f aca="false">IFERROR(IF(INDEX('Base articles'!$Q$2:$Q$1153,MATCH(26,'Base articles'!$T$2:$T$1153,0))="","",INDEX('Base articles'!$Q$2:$Q$1153,MATCH(26,'Base articles'!$T$2:$T$1153,0))),"")</f>
        <v/>
      </c>
      <c r="J32" s="24" t="str">
        <f aca="false">IFERROR(IF(INDEX('Base articles'!$B$2:$B$1153,MATCH(26,'Base articles'!$T$2:$T$1153,0))="","",INDEX('Base articles'!$B$2:$B$1153,MATCH(26,'Base articles'!$T$2:$T$1153,0))),"")</f>
        <v/>
      </c>
    </row>
    <row r="33" customFormat="false" ht="27.75" hidden="false" customHeight="true" outlineLevel="0" collapsed="false">
      <c r="A33" s="19" t="str">
        <f aca="false">IFERROR(IF(INDEX('Base articles'!$D$2:$D$1153,MATCH(27,'Base articles'!$T$2:$T$1153,0))="","",INDEX('Base articles'!$D$2:$D$1153,MATCH(27,'Base articles'!$T$2:$T$1153,0))),"")</f>
        <v/>
      </c>
      <c r="B33" s="20" t="str">
        <f aca="false">IFERROR(IF(INDEX('Base articles'!$F$2:$F$1153,MATCH(27,'Base articles'!$T$2:$T$1153,0))="","",INDEX('Base articles'!$F$2:$F$1153,MATCH(27,'Base articles'!$T$2:$T$1153,0))),"")</f>
        <v/>
      </c>
      <c r="C33" s="21" t="str">
        <f aca="false">IFERROR(INDEX('Base articles'!$H$2:$H$1153,MATCH(27,'Base articles'!$T$2:$T$1153,0)),"")</f>
        <v/>
      </c>
      <c r="D33" s="20" t="str">
        <f aca="false">IFERROR(IF(INDEX('Base articles'!$G$2:$G$1153,MATCH(27,'Base articles'!$T$2:$T$1153,0))="","",INDEX('Base articles'!$G$2:$G$1153,MATCH(27,'Base articles'!$T$2:$T$1153,0))),"")</f>
        <v/>
      </c>
      <c r="E33" s="19" t="str">
        <f aca="false">IFERROR(IF(INDEX('Base articles'!$K$2:$K$1153,MATCH(27,'Base articles'!$T$2:$T$1153,0))="","",INDEX('Base articles'!$K$2:$K$1153,MATCH(27,'Base articles'!$T$2:$T$1153,0))),"")</f>
        <v/>
      </c>
      <c r="F33" s="20" t="str">
        <f aca="false">IFERROR(IF(INDEX('Base articles'!$M$2:$M$1153,MATCH(27,'Base articles'!$T$2:$T$1153,0))="","",INDEX('Base articles'!$M$2:$M$1153,MATCH(27,'Base articles'!$T$2:$T$1153,0))),"")</f>
        <v/>
      </c>
      <c r="G33" s="22" t="str">
        <f aca="false">IFERROR(IF(INDEX('Base articles'!$N$2:$N$1153,MATCH(27,'Base articles'!$T$2:$T$1153,0))="","",INDEX('Base articles'!$N$2:$N$1153,MATCH(27,'Base articles'!$T$2:$T$1153,0))),"")</f>
        <v/>
      </c>
      <c r="H33" s="19" t="str">
        <f aca="false">IFERROR(IF(INDEX('Base articles'!$P$2:$P$1153,MATCH(27,'Base articles'!$T$2:$T$1153,0))="","",INDEX('Base articles'!$P$2:$P$1153,MATCH(27,'Base articles'!$T$2:$T$1153,0))),"")</f>
        <v/>
      </c>
      <c r="I33" s="19" t="str">
        <f aca="false">IFERROR(IF(INDEX('Base articles'!$Q$2:$Q$1153,MATCH(27,'Base articles'!$T$2:$T$1153,0))="","",INDEX('Base articles'!$Q$2:$Q$1153,MATCH(27,'Base articles'!$T$2:$T$1153,0))),"")</f>
        <v/>
      </c>
      <c r="J33" s="20" t="str">
        <f aca="false">IFERROR(IF(INDEX('Base articles'!$B$2:$B$1153,MATCH(27,'Base articles'!$T$2:$T$1153,0))="","",INDEX('Base articles'!$B$2:$B$1153,MATCH(27,'Base articles'!$T$2:$T$1153,0))),"")</f>
        <v/>
      </c>
    </row>
    <row r="34" customFormat="false" ht="27.75" hidden="false" customHeight="true" outlineLevel="0" collapsed="false">
      <c r="A34" s="23" t="str">
        <f aca="false">IFERROR(IF(INDEX('Base articles'!$D$2:$D$1153,MATCH(28,'Base articles'!$T$2:$T$1153,0))="","",INDEX('Base articles'!$D$2:$D$1153,MATCH(28,'Base articles'!$T$2:$T$1153,0))),"")</f>
        <v/>
      </c>
      <c r="B34" s="24" t="str">
        <f aca="false">IFERROR(IF(INDEX('Base articles'!$F$2:$F$1153,MATCH(28,'Base articles'!$T$2:$T$1153,0))="","",INDEX('Base articles'!$F$2:$F$1153,MATCH(28,'Base articles'!$T$2:$T$1153,0))),"")</f>
        <v/>
      </c>
      <c r="C34" s="25" t="str">
        <f aca="false">IFERROR(INDEX('Base articles'!$H$2:$H$1153,MATCH(28,'Base articles'!$T$2:$T$1153,0)),"")</f>
        <v/>
      </c>
      <c r="D34" s="24" t="str">
        <f aca="false">IFERROR(IF(INDEX('Base articles'!$G$2:$G$1153,MATCH(28,'Base articles'!$T$2:$T$1153,0))="","",INDEX('Base articles'!$G$2:$G$1153,MATCH(28,'Base articles'!$T$2:$T$1153,0))),"")</f>
        <v/>
      </c>
      <c r="E34" s="23" t="str">
        <f aca="false">IFERROR(IF(INDEX('Base articles'!$K$2:$K$1153,MATCH(28,'Base articles'!$T$2:$T$1153,0))="","",INDEX('Base articles'!$K$2:$K$1153,MATCH(28,'Base articles'!$T$2:$T$1153,0))),"")</f>
        <v/>
      </c>
      <c r="F34" s="24" t="str">
        <f aca="false">IFERROR(IF(INDEX('Base articles'!$M$2:$M$1153,MATCH(28,'Base articles'!$T$2:$T$1153,0))="","",INDEX('Base articles'!$M$2:$M$1153,MATCH(28,'Base articles'!$T$2:$T$1153,0))),"")</f>
        <v/>
      </c>
      <c r="G34" s="26" t="str">
        <f aca="false">IFERROR(IF(INDEX('Base articles'!$N$2:$N$1153,MATCH(28,'Base articles'!$T$2:$T$1153,0))="","",INDEX('Base articles'!$N$2:$N$1153,MATCH(28,'Base articles'!$T$2:$T$1153,0))),"")</f>
        <v/>
      </c>
      <c r="H34" s="23" t="str">
        <f aca="false">IFERROR(IF(INDEX('Base articles'!$P$2:$P$1153,MATCH(28,'Base articles'!$T$2:$T$1153,0))="","",INDEX('Base articles'!$P$2:$P$1153,MATCH(28,'Base articles'!$T$2:$T$1153,0))),"")</f>
        <v/>
      </c>
      <c r="I34" s="23" t="str">
        <f aca="false">IFERROR(IF(INDEX('Base articles'!$Q$2:$Q$1153,MATCH(28,'Base articles'!$T$2:$T$1153,0))="","",INDEX('Base articles'!$Q$2:$Q$1153,MATCH(28,'Base articles'!$T$2:$T$1153,0))),"")</f>
        <v/>
      </c>
      <c r="J34" s="24" t="str">
        <f aca="false">IFERROR(IF(INDEX('Base articles'!$B$2:$B$1153,MATCH(28,'Base articles'!$T$2:$T$1153,0))="","",INDEX('Base articles'!$B$2:$B$1153,MATCH(28,'Base articles'!$T$2:$T$1153,0))),"")</f>
        <v/>
      </c>
    </row>
    <row r="35" customFormat="false" ht="27.75" hidden="false" customHeight="true" outlineLevel="0" collapsed="false">
      <c r="A35" s="19" t="str">
        <f aca="false">IFERROR(IF(INDEX('Base articles'!$D$2:$D$1153,MATCH(29,'Base articles'!$T$2:$T$1153,0))="","",INDEX('Base articles'!$D$2:$D$1153,MATCH(29,'Base articles'!$T$2:$T$1153,0))),"")</f>
        <v/>
      </c>
      <c r="B35" s="20" t="str">
        <f aca="false">IFERROR(IF(INDEX('Base articles'!$F$2:$F$1153,MATCH(29,'Base articles'!$T$2:$T$1153,0))="","",INDEX('Base articles'!$F$2:$F$1153,MATCH(29,'Base articles'!$T$2:$T$1153,0))),"")</f>
        <v/>
      </c>
      <c r="C35" s="21" t="str">
        <f aca="false">IFERROR(INDEX('Base articles'!$H$2:$H$1153,MATCH(29,'Base articles'!$T$2:$T$1153,0)),"")</f>
        <v/>
      </c>
      <c r="D35" s="20" t="str">
        <f aca="false">IFERROR(IF(INDEX('Base articles'!$G$2:$G$1153,MATCH(29,'Base articles'!$T$2:$T$1153,0))="","",INDEX('Base articles'!$G$2:$G$1153,MATCH(29,'Base articles'!$T$2:$T$1153,0))),"")</f>
        <v/>
      </c>
      <c r="E35" s="19" t="str">
        <f aca="false">IFERROR(IF(INDEX('Base articles'!$K$2:$K$1153,MATCH(29,'Base articles'!$T$2:$T$1153,0))="","",INDEX('Base articles'!$K$2:$K$1153,MATCH(29,'Base articles'!$T$2:$T$1153,0))),"")</f>
        <v/>
      </c>
      <c r="F35" s="20" t="str">
        <f aca="false">IFERROR(IF(INDEX('Base articles'!$M$2:$M$1153,MATCH(29,'Base articles'!$T$2:$T$1153,0))="","",INDEX('Base articles'!$M$2:$M$1153,MATCH(29,'Base articles'!$T$2:$T$1153,0))),"")</f>
        <v/>
      </c>
      <c r="G35" s="22" t="str">
        <f aca="false">IFERROR(IF(INDEX('Base articles'!$N$2:$N$1153,MATCH(29,'Base articles'!$T$2:$T$1153,0))="","",INDEX('Base articles'!$N$2:$N$1153,MATCH(29,'Base articles'!$T$2:$T$1153,0))),"")</f>
        <v/>
      </c>
      <c r="H35" s="19" t="str">
        <f aca="false">IFERROR(IF(INDEX('Base articles'!$P$2:$P$1153,MATCH(29,'Base articles'!$T$2:$T$1153,0))="","",INDEX('Base articles'!$P$2:$P$1153,MATCH(29,'Base articles'!$T$2:$T$1153,0))),"")</f>
        <v/>
      </c>
      <c r="I35" s="19" t="str">
        <f aca="false">IFERROR(IF(INDEX('Base articles'!$Q$2:$Q$1153,MATCH(29,'Base articles'!$T$2:$T$1153,0))="","",INDEX('Base articles'!$Q$2:$Q$1153,MATCH(29,'Base articles'!$T$2:$T$1153,0))),"")</f>
        <v/>
      </c>
      <c r="J35" s="20" t="str">
        <f aca="false">IFERROR(IF(INDEX('Base articles'!$B$2:$B$1153,MATCH(29,'Base articles'!$T$2:$T$1153,0))="","",INDEX('Base articles'!$B$2:$B$1153,MATCH(29,'Base articles'!$T$2:$T$1153,0))),"")</f>
        <v/>
      </c>
    </row>
    <row r="36" customFormat="false" ht="27.75" hidden="false" customHeight="true" outlineLevel="0" collapsed="false">
      <c r="A36" s="23" t="str">
        <f aca="false">IFERROR(IF(INDEX('Base articles'!$D$2:$D$1153,MATCH(30,'Base articles'!$T$2:$T$1153,0))="","",INDEX('Base articles'!$D$2:$D$1153,MATCH(30,'Base articles'!$T$2:$T$1153,0))),"")</f>
        <v/>
      </c>
      <c r="B36" s="24" t="str">
        <f aca="false">IFERROR(IF(INDEX('Base articles'!$F$2:$F$1153,MATCH(30,'Base articles'!$T$2:$T$1153,0))="","",INDEX('Base articles'!$F$2:$F$1153,MATCH(30,'Base articles'!$T$2:$T$1153,0))),"")</f>
        <v/>
      </c>
      <c r="C36" s="25" t="str">
        <f aca="false">IFERROR(INDEX('Base articles'!$H$2:$H$1153,MATCH(30,'Base articles'!$T$2:$T$1153,0)),"")</f>
        <v/>
      </c>
      <c r="D36" s="24" t="str">
        <f aca="false">IFERROR(IF(INDEX('Base articles'!$G$2:$G$1153,MATCH(30,'Base articles'!$T$2:$T$1153,0))="","",INDEX('Base articles'!$G$2:$G$1153,MATCH(30,'Base articles'!$T$2:$T$1153,0))),"")</f>
        <v/>
      </c>
      <c r="E36" s="23" t="str">
        <f aca="false">IFERROR(IF(INDEX('Base articles'!$K$2:$K$1153,MATCH(30,'Base articles'!$T$2:$T$1153,0))="","",INDEX('Base articles'!$K$2:$K$1153,MATCH(30,'Base articles'!$T$2:$T$1153,0))),"")</f>
        <v/>
      </c>
      <c r="F36" s="24" t="str">
        <f aca="false">IFERROR(IF(INDEX('Base articles'!$M$2:$M$1153,MATCH(30,'Base articles'!$T$2:$T$1153,0))="","",INDEX('Base articles'!$M$2:$M$1153,MATCH(30,'Base articles'!$T$2:$T$1153,0))),"")</f>
        <v/>
      </c>
      <c r="G36" s="26" t="str">
        <f aca="false">IFERROR(IF(INDEX('Base articles'!$N$2:$N$1153,MATCH(30,'Base articles'!$T$2:$T$1153,0))="","",INDEX('Base articles'!$N$2:$N$1153,MATCH(30,'Base articles'!$T$2:$T$1153,0))),"")</f>
        <v/>
      </c>
      <c r="H36" s="23" t="str">
        <f aca="false">IFERROR(IF(INDEX('Base articles'!$P$2:$P$1153,MATCH(30,'Base articles'!$T$2:$T$1153,0))="","",INDEX('Base articles'!$P$2:$P$1153,MATCH(30,'Base articles'!$T$2:$T$1153,0))),"")</f>
        <v/>
      </c>
      <c r="I36" s="23" t="str">
        <f aca="false">IFERROR(IF(INDEX('Base articles'!$Q$2:$Q$1153,MATCH(30,'Base articles'!$T$2:$T$1153,0))="","",INDEX('Base articles'!$Q$2:$Q$1153,MATCH(30,'Base articles'!$T$2:$T$1153,0))),"")</f>
        <v/>
      </c>
      <c r="J36" s="24" t="str">
        <f aca="false">IFERROR(IF(INDEX('Base articles'!$B$2:$B$1153,MATCH(30,'Base articles'!$T$2:$T$1153,0))="","",INDEX('Base articles'!$B$2:$B$1153,MATCH(30,'Base articles'!$T$2:$T$1153,0))),"")</f>
        <v/>
      </c>
    </row>
    <row r="37" customFormat="false" ht="27.75" hidden="false" customHeight="true" outlineLevel="0" collapsed="false">
      <c r="A37" s="19" t="str">
        <f aca="false">IFERROR(IF(INDEX('Base articles'!$D$2:$D$1153,MATCH(31,'Base articles'!$T$2:$T$1153,0))="","",INDEX('Base articles'!$D$2:$D$1153,MATCH(31,'Base articles'!$T$2:$T$1153,0))),"")</f>
        <v/>
      </c>
      <c r="B37" s="20" t="str">
        <f aca="false">IFERROR(IF(INDEX('Base articles'!$F$2:$F$1153,MATCH(31,'Base articles'!$T$2:$T$1153,0))="","",INDEX('Base articles'!$F$2:$F$1153,MATCH(31,'Base articles'!$T$2:$T$1153,0))),"")</f>
        <v/>
      </c>
      <c r="C37" s="21" t="str">
        <f aca="false">IFERROR(INDEX('Base articles'!$H$2:$H$1153,MATCH(31,'Base articles'!$T$2:$T$1153,0)),"")</f>
        <v/>
      </c>
      <c r="D37" s="20" t="str">
        <f aca="false">IFERROR(IF(INDEX('Base articles'!$G$2:$G$1153,MATCH(31,'Base articles'!$T$2:$T$1153,0))="","",INDEX('Base articles'!$G$2:$G$1153,MATCH(31,'Base articles'!$T$2:$T$1153,0))),"")</f>
        <v/>
      </c>
      <c r="E37" s="19" t="str">
        <f aca="false">IFERROR(IF(INDEX('Base articles'!$K$2:$K$1153,MATCH(31,'Base articles'!$T$2:$T$1153,0))="","",INDEX('Base articles'!$K$2:$K$1153,MATCH(31,'Base articles'!$T$2:$T$1153,0))),"")</f>
        <v/>
      </c>
      <c r="F37" s="20" t="str">
        <f aca="false">IFERROR(IF(INDEX('Base articles'!$M$2:$M$1153,MATCH(31,'Base articles'!$T$2:$T$1153,0))="","",INDEX('Base articles'!$M$2:$M$1153,MATCH(31,'Base articles'!$T$2:$T$1153,0))),"")</f>
        <v/>
      </c>
      <c r="G37" s="22" t="str">
        <f aca="false">IFERROR(IF(INDEX('Base articles'!$N$2:$N$1153,MATCH(31,'Base articles'!$T$2:$T$1153,0))="","",INDEX('Base articles'!$N$2:$N$1153,MATCH(31,'Base articles'!$T$2:$T$1153,0))),"")</f>
        <v/>
      </c>
      <c r="H37" s="19" t="str">
        <f aca="false">IFERROR(IF(INDEX('Base articles'!$P$2:$P$1153,MATCH(31,'Base articles'!$T$2:$T$1153,0))="","",INDEX('Base articles'!$P$2:$P$1153,MATCH(31,'Base articles'!$T$2:$T$1153,0))),"")</f>
        <v/>
      </c>
      <c r="I37" s="19" t="str">
        <f aca="false">IFERROR(IF(INDEX('Base articles'!$Q$2:$Q$1153,MATCH(31,'Base articles'!$T$2:$T$1153,0))="","",INDEX('Base articles'!$Q$2:$Q$1153,MATCH(31,'Base articles'!$T$2:$T$1153,0))),"")</f>
        <v/>
      </c>
      <c r="J37" s="20" t="str">
        <f aca="false">IFERROR(IF(INDEX('Base articles'!$B$2:$B$1153,MATCH(31,'Base articles'!$T$2:$T$1153,0))="","",INDEX('Base articles'!$B$2:$B$1153,MATCH(31,'Base articles'!$T$2:$T$1153,0))),"")</f>
        <v/>
      </c>
    </row>
    <row r="38" customFormat="false" ht="27.75" hidden="false" customHeight="true" outlineLevel="0" collapsed="false">
      <c r="A38" s="23" t="str">
        <f aca="false">IFERROR(IF(INDEX('Base articles'!$D$2:$D$1153,MATCH(32,'Base articles'!$T$2:$T$1153,0))="","",INDEX('Base articles'!$D$2:$D$1153,MATCH(32,'Base articles'!$T$2:$T$1153,0))),"")</f>
        <v/>
      </c>
      <c r="B38" s="24" t="str">
        <f aca="false">IFERROR(IF(INDEX('Base articles'!$F$2:$F$1153,MATCH(32,'Base articles'!$T$2:$T$1153,0))="","",INDEX('Base articles'!$F$2:$F$1153,MATCH(32,'Base articles'!$T$2:$T$1153,0))),"")</f>
        <v/>
      </c>
      <c r="C38" s="25" t="str">
        <f aca="false">IFERROR(INDEX('Base articles'!$H$2:$H$1153,MATCH(32,'Base articles'!$T$2:$T$1153,0)),"")</f>
        <v/>
      </c>
      <c r="D38" s="24" t="str">
        <f aca="false">IFERROR(IF(INDEX('Base articles'!$G$2:$G$1153,MATCH(32,'Base articles'!$T$2:$T$1153,0))="","",INDEX('Base articles'!$G$2:$G$1153,MATCH(32,'Base articles'!$T$2:$T$1153,0))),"")</f>
        <v/>
      </c>
      <c r="E38" s="23" t="str">
        <f aca="false">IFERROR(IF(INDEX('Base articles'!$K$2:$K$1153,MATCH(32,'Base articles'!$T$2:$T$1153,0))="","",INDEX('Base articles'!$K$2:$K$1153,MATCH(32,'Base articles'!$T$2:$T$1153,0))),"")</f>
        <v/>
      </c>
      <c r="F38" s="24" t="str">
        <f aca="false">IFERROR(IF(INDEX('Base articles'!$M$2:$M$1153,MATCH(32,'Base articles'!$T$2:$T$1153,0))="","",INDEX('Base articles'!$M$2:$M$1153,MATCH(32,'Base articles'!$T$2:$T$1153,0))),"")</f>
        <v/>
      </c>
      <c r="G38" s="26" t="str">
        <f aca="false">IFERROR(IF(INDEX('Base articles'!$N$2:$N$1153,MATCH(32,'Base articles'!$T$2:$T$1153,0))="","",INDEX('Base articles'!$N$2:$N$1153,MATCH(32,'Base articles'!$T$2:$T$1153,0))),"")</f>
        <v/>
      </c>
      <c r="H38" s="23" t="str">
        <f aca="false">IFERROR(IF(INDEX('Base articles'!$P$2:$P$1153,MATCH(32,'Base articles'!$T$2:$T$1153,0))="","",INDEX('Base articles'!$P$2:$P$1153,MATCH(32,'Base articles'!$T$2:$T$1153,0))),"")</f>
        <v/>
      </c>
      <c r="I38" s="23" t="str">
        <f aca="false">IFERROR(IF(INDEX('Base articles'!$Q$2:$Q$1153,MATCH(32,'Base articles'!$T$2:$T$1153,0))="","",INDEX('Base articles'!$Q$2:$Q$1153,MATCH(32,'Base articles'!$T$2:$T$1153,0))),"")</f>
        <v/>
      </c>
      <c r="J38" s="24" t="str">
        <f aca="false">IFERROR(IF(INDEX('Base articles'!$B$2:$B$1153,MATCH(32,'Base articles'!$T$2:$T$1153,0))="","",INDEX('Base articles'!$B$2:$B$1153,MATCH(32,'Base articles'!$T$2:$T$1153,0))),"")</f>
        <v/>
      </c>
    </row>
    <row r="39" customFormat="false" ht="27.75" hidden="false" customHeight="true" outlineLevel="0" collapsed="false">
      <c r="A39" s="19" t="str">
        <f aca="false">IFERROR(IF(INDEX('Base articles'!$D$2:$D$1153,MATCH(33,'Base articles'!$T$2:$T$1153,0))="","",INDEX('Base articles'!$D$2:$D$1153,MATCH(33,'Base articles'!$T$2:$T$1153,0))),"")</f>
        <v/>
      </c>
      <c r="B39" s="20" t="str">
        <f aca="false">IFERROR(IF(INDEX('Base articles'!$F$2:$F$1153,MATCH(33,'Base articles'!$T$2:$T$1153,0))="","",INDEX('Base articles'!$F$2:$F$1153,MATCH(33,'Base articles'!$T$2:$T$1153,0))),"")</f>
        <v/>
      </c>
      <c r="C39" s="21" t="str">
        <f aca="false">IFERROR(INDEX('Base articles'!$H$2:$H$1153,MATCH(33,'Base articles'!$T$2:$T$1153,0)),"")</f>
        <v/>
      </c>
      <c r="D39" s="20" t="str">
        <f aca="false">IFERROR(IF(INDEX('Base articles'!$G$2:$G$1153,MATCH(33,'Base articles'!$T$2:$T$1153,0))="","",INDEX('Base articles'!$G$2:$G$1153,MATCH(33,'Base articles'!$T$2:$T$1153,0))),"")</f>
        <v/>
      </c>
      <c r="E39" s="19" t="str">
        <f aca="false">IFERROR(IF(INDEX('Base articles'!$K$2:$K$1153,MATCH(33,'Base articles'!$T$2:$T$1153,0))="","",INDEX('Base articles'!$K$2:$K$1153,MATCH(33,'Base articles'!$T$2:$T$1153,0))),"")</f>
        <v/>
      </c>
      <c r="F39" s="20" t="str">
        <f aca="false">IFERROR(IF(INDEX('Base articles'!$M$2:$M$1153,MATCH(33,'Base articles'!$T$2:$T$1153,0))="","",INDEX('Base articles'!$M$2:$M$1153,MATCH(33,'Base articles'!$T$2:$T$1153,0))),"")</f>
        <v/>
      </c>
      <c r="G39" s="22" t="str">
        <f aca="false">IFERROR(IF(INDEX('Base articles'!$N$2:$N$1153,MATCH(33,'Base articles'!$T$2:$T$1153,0))="","",INDEX('Base articles'!$N$2:$N$1153,MATCH(33,'Base articles'!$T$2:$T$1153,0))),"")</f>
        <v/>
      </c>
      <c r="H39" s="19" t="str">
        <f aca="false">IFERROR(IF(INDEX('Base articles'!$P$2:$P$1153,MATCH(33,'Base articles'!$T$2:$T$1153,0))="","",INDEX('Base articles'!$P$2:$P$1153,MATCH(33,'Base articles'!$T$2:$T$1153,0))),"")</f>
        <v/>
      </c>
      <c r="I39" s="19" t="str">
        <f aca="false">IFERROR(IF(INDEX('Base articles'!$Q$2:$Q$1153,MATCH(33,'Base articles'!$T$2:$T$1153,0))="","",INDEX('Base articles'!$Q$2:$Q$1153,MATCH(33,'Base articles'!$T$2:$T$1153,0))),"")</f>
        <v/>
      </c>
      <c r="J39" s="20" t="str">
        <f aca="false">IFERROR(IF(INDEX('Base articles'!$B$2:$B$1153,MATCH(33,'Base articles'!$T$2:$T$1153,0))="","",INDEX('Base articles'!$B$2:$B$1153,MATCH(33,'Base articles'!$T$2:$T$1153,0))),"")</f>
        <v/>
      </c>
    </row>
    <row r="40" customFormat="false" ht="27.75" hidden="false" customHeight="true" outlineLevel="0" collapsed="false">
      <c r="A40" s="23" t="str">
        <f aca="false">IFERROR(IF(INDEX('Base articles'!$D$2:$D$1153,MATCH(34,'Base articles'!$T$2:$T$1153,0))="","",INDEX('Base articles'!$D$2:$D$1153,MATCH(34,'Base articles'!$T$2:$T$1153,0))),"")</f>
        <v/>
      </c>
      <c r="B40" s="24" t="str">
        <f aca="false">IFERROR(IF(INDEX('Base articles'!$F$2:$F$1153,MATCH(34,'Base articles'!$T$2:$T$1153,0))="","",INDEX('Base articles'!$F$2:$F$1153,MATCH(34,'Base articles'!$T$2:$T$1153,0))),"")</f>
        <v/>
      </c>
      <c r="C40" s="25" t="str">
        <f aca="false">IFERROR(INDEX('Base articles'!$H$2:$H$1153,MATCH(34,'Base articles'!$T$2:$T$1153,0)),"")</f>
        <v/>
      </c>
      <c r="D40" s="24" t="str">
        <f aca="false">IFERROR(IF(INDEX('Base articles'!$G$2:$G$1153,MATCH(34,'Base articles'!$T$2:$T$1153,0))="","",INDEX('Base articles'!$G$2:$G$1153,MATCH(34,'Base articles'!$T$2:$T$1153,0))),"")</f>
        <v/>
      </c>
      <c r="E40" s="23" t="str">
        <f aca="false">IFERROR(IF(INDEX('Base articles'!$K$2:$K$1153,MATCH(34,'Base articles'!$T$2:$T$1153,0))="","",INDEX('Base articles'!$K$2:$K$1153,MATCH(34,'Base articles'!$T$2:$T$1153,0))),"")</f>
        <v/>
      </c>
      <c r="F40" s="24" t="str">
        <f aca="false">IFERROR(IF(INDEX('Base articles'!$M$2:$M$1153,MATCH(34,'Base articles'!$T$2:$T$1153,0))="","",INDEX('Base articles'!$M$2:$M$1153,MATCH(34,'Base articles'!$T$2:$T$1153,0))),"")</f>
        <v/>
      </c>
      <c r="G40" s="26" t="str">
        <f aca="false">IFERROR(IF(INDEX('Base articles'!$N$2:$N$1153,MATCH(34,'Base articles'!$T$2:$T$1153,0))="","",INDEX('Base articles'!$N$2:$N$1153,MATCH(34,'Base articles'!$T$2:$T$1153,0))),"")</f>
        <v/>
      </c>
      <c r="H40" s="23" t="str">
        <f aca="false">IFERROR(IF(INDEX('Base articles'!$P$2:$P$1153,MATCH(34,'Base articles'!$T$2:$T$1153,0))="","",INDEX('Base articles'!$P$2:$P$1153,MATCH(34,'Base articles'!$T$2:$T$1153,0))),"")</f>
        <v/>
      </c>
      <c r="I40" s="23" t="str">
        <f aca="false">IFERROR(IF(INDEX('Base articles'!$Q$2:$Q$1153,MATCH(34,'Base articles'!$T$2:$T$1153,0))="","",INDEX('Base articles'!$Q$2:$Q$1153,MATCH(34,'Base articles'!$T$2:$T$1153,0))),"")</f>
        <v/>
      </c>
      <c r="J40" s="24" t="str">
        <f aca="false">IFERROR(IF(INDEX('Base articles'!$B$2:$B$1153,MATCH(34,'Base articles'!$T$2:$T$1153,0))="","",INDEX('Base articles'!$B$2:$B$1153,MATCH(34,'Base articles'!$T$2:$T$1153,0))),"")</f>
        <v/>
      </c>
    </row>
    <row r="41" customFormat="false" ht="27.75" hidden="false" customHeight="true" outlineLevel="0" collapsed="false">
      <c r="A41" s="19" t="str">
        <f aca="false">IFERROR(IF(INDEX('Base articles'!$D$2:$D$1153,MATCH(35,'Base articles'!$T$2:$T$1153,0))="","",INDEX('Base articles'!$D$2:$D$1153,MATCH(35,'Base articles'!$T$2:$T$1153,0))),"")</f>
        <v/>
      </c>
      <c r="B41" s="20" t="str">
        <f aca="false">IFERROR(IF(INDEX('Base articles'!$F$2:$F$1153,MATCH(35,'Base articles'!$T$2:$T$1153,0))="","",INDEX('Base articles'!$F$2:$F$1153,MATCH(35,'Base articles'!$T$2:$T$1153,0))),"")</f>
        <v/>
      </c>
      <c r="C41" s="21" t="str">
        <f aca="false">IFERROR(INDEX('Base articles'!$H$2:$H$1153,MATCH(35,'Base articles'!$T$2:$T$1153,0)),"")</f>
        <v/>
      </c>
      <c r="D41" s="20" t="str">
        <f aca="false">IFERROR(IF(INDEX('Base articles'!$G$2:$G$1153,MATCH(35,'Base articles'!$T$2:$T$1153,0))="","",INDEX('Base articles'!$G$2:$G$1153,MATCH(35,'Base articles'!$T$2:$T$1153,0))),"")</f>
        <v/>
      </c>
      <c r="E41" s="19" t="str">
        <f aca="false">IFERROR(IF(INDEX('Base articles'!$K$2:$K$1153,MATCH(35,'Base articles'!$T$2:$T$1153,0))="","",INDEX('Base articles'!$K$2:$K$1153,MATCH(35,'Base articles'!$T$2:$T$1153,0))),"")</f>
        <v/>
      </c>
      <c r="F41" s="20" t="str">
        <f aca="false">IFERROR(IF(INDEX('Base articles'!$M$2:$M$1153,MATCH(35,'Base articles'!$T$2:$T$1153,0))="","",INDEX('Base articles'!$M$2:$M$1153,MATCH(35,'Base articles'!$T$2:$T$1153,0))),"")</f>
        <v/>
      </c>
      <c r="G41" s="22" t="str">
        <f aca="false">IFERROR(IF(INDEX('Base articles'!$N$2:$N$1153,MATCH(35,'Base articles'!$T$2:$T$1153,0))="","",INDEX('Base articles'!$N$2:$N$1153,MATCH(35,'Base articles'!$T$2:$T$1153,0))),"")</f>
        <v/>
      </c>
      <c r="H41" s="19" t="str">
        <f aca="false">IFERROR(IF(INDEX('Base articles'!$P$2:$P$1153,MATCH(35,'Base articles'!$T$2:$T$1153,0))="","",INDEX('Base articles'!$P$2:$P$1153,MATCH(35,'Base articles'!$T$2:$T$1153,0))),"")</f>
        <v/>
      </c>
      <c r="I41" s="19" t="str">
        <f aca="false">IFERROR(IF(INDEX('Base articles'!$Q$2:$Q$1153,MATCH(35,'Base articles'!$T$2:$T$1153,0))="","",INDEX('Base articles'!$Q$2:$Q$1153,MATCH(35,'Base articles'!$T$2:$T$1153,0))),"")</f>
        <v/>
      </c>
      <c r="J41" s="20" t="str">
        <f aca="false">IFERROR(IF(INDEX('Base articles'!$B$2:$B$1153,MATCH(35,'Base articles'!$T$2:$T$1153,0))="","",INDEX('Base articles'!$B$2:$B$1153,MATCH(35,'Base articles'!$T$2:$T$1153,0))),"")</f>
        <v/>
      </c>
    </row>
    <row r="42" customFormat="false" ht="27.75" hidden="false" customHeight="true" outlineLevel="0" collapsed="false">
      <c r="A42" s="23" t="str">
        <f aca="false">IFERROR(IF(INDEX('Base articles'!$D$2:$D$1153,MATCH(36,'Base articles'!$T$2:$T$1153,0))="","",INDEX('Base articles'!$D$2:$D$1153,MATCH(36,'Base articles'!$T$2:$T$1153,0))),"")</f>
        <v/>
      </c>
      <c r="B42" s="24" t="str">
        <f aca="false">IFERROR(IF(INDEX('Base articles'!$F$2:$F$1153,MATCH(36,'Base articles'!$T$2:$T$1153,0))="","",INDEX('Base articles'!$F$2:$F$1153,MATCH(36,'Base articles'!$T$2:$T$1153,0))),"")</f>
        <v/>
      </c>
      <c r="C42" s="25" t="str">
        <f aca="false">IFERROR(INDEX('Base articles'!$H$2:$H$1153,MATCH(36,'Base articles'!$T$2:$T$1153,0)),"")</f>
        <v/>
      </c>
      <c r="D42" s="24" t="str">
        <f aca="false">IFERROR(IF(INDEX('Base articles'!$G$2:$G$1153,MATCH(36,'Base articles'!$T$2:$T$1153,0))="","",INDEX('Base articles'!$G$2:$G$1153,MATCH(36,'Base articles'!$T$2:$T$1153,0))),"")</f>
        <v/>
      </c>
      <c r="E42" s="23" t="str">
        <f aca="false">IFERROR(IF(INDEX('Base articles'!$K$2:$K$1153,MATCH(36,'Base articles'!$T$2:$T$1153,0))="","",INDEX('Base articles'!$K$2:$K$1153,MATCH(36,'Base articles'!$T$2:$T$1153,0))),"")</f>
        <v/>
      </c>
      <c r="F42" s="24" t="str">
        <f aca="false">IFERROR(IF(INDEX('Base articles'!$M$2:$M$1153,MATCH(36,'Base articles'!$T$2:$T$1153,0))="","",INDEX('Base articles'!$M$2:$M$1153,MATCH(36,'Base articles'!$T$2:$T$1153,0))),"")</f>
        <v/>
      </c>
      <c r="G42" s="26" t="str">
        <f aca="false">IFERROR(IF(INDEX('Base articles'!$N$2:$N$1153,MATCH(36,'Base articles'!$T$2:$T$1153,0))="","",INDEX('Base articles'!$N$2:$N$1153,MATCH(36,'Base articles'!$T$2:$T$1153,0))),"")</f>
        <v/>
      </c>
      <c r="H42" s="23" t="str">
        <f aca="false">IFERROR(IF(INDEX('Base articles'!$P$2:$P$1153,MATCH(36,'Base articles'!$T$2:$T$1153,0))="","",INDEX('Base articles'!$P$2:$P$1153,MATCH(36,'Base articles'!$T$2:$T$1153,0))),"")</f>
        <v/>
      </c>
      <c r="I42" s="23" t="str">
        <f aca="false">IFERROR(IF(INDEX('Base articles'!$Q$2:$Q$1153,MATCH(36,'Base articles'!$T$2:$T$1153,0))="","",INDEX('Base articles'!$Q$2:$Q$1153,MATCH(36,'Base articles'!$T$2:$T$1153,0))),"")</f>
        <v/>
      </c>
      <c r="J42" s="24" t="str">
        <f aca="false">IFERROR(IF(INDEX('Base articles'!$B$2:$B$1153,MATCH(36,'Base articles'!$T$2:$T$1153,0))="","",INDEX('Base articles'!$B$2:$B$1153,MATCH(36,'Base articles'!$T$2:$T$1153,0))),"")</f>
        <v/>
      </c>
    </row>
    <row r="43" customFormat="false" ht="27.75" hidden="false" customHeight="true" outlineLevel="0" collapsed="false">
      <c r="A43" s="19" t="str">
        <f aca="false">IFERROR(IF(INDEX('Base articles'!$D$2:$D$1153,MATCH(37,'Base articles'!$T$2:$T$1153,0))="","",INDEX('Base articles'!$D$2:$D$1153,MATCH(37,'Base articles'!$T$2:$T$1153,0))),"")</f>
        <v/>
      </c>
      <c r="B43" s="20" t="str">
        <f aca="false">IFERROR(IF(INDEX('Base articles'!$F$2:$F$1153,MATCH(37,'Base articles'!$T$2:$T$1153,0))="","",INDEX('Base articles'!$F$2:$F$1153,MATCH(37,'Base articles'!$T$2:$T$1153,0))),"")</f>
        <v/>
      </c>
      <c r="C43" s="21" t="str">
        <f aca="false">IFERROR(INDEX('Base articles'!$H$2:$H$1153,MATCH(37,'Base articles'!$T$2:$T$1153,0)),"")</f>
        <v/>
      </c>
      <c r="D43" s="20" t="str">
        <f aca="false">IFERROR(IF(INDEX('Base articles'!$G$2:$G$1153,MATCH(37,'Base articles'!$T$2:$T$1153,0))="","",INDEX('Base articles'!$G$2:$G$1153,MATCH(37,'Base articles'!$T$2:$T$1153,0))),"")</f>
        <v/>
      </c>
      <c r="E43" s="19" t="str">
        <f aca="false">IFERROR(IF(INDEX('Base articles'!$K$2:$K$1153,MATCH(37,'Base articles'!$T$2:$T$1153,0))="","",INDEX('Base articles'!$K$2:$K$1153,MATCH(37,'Base articles'!$T$2:$T$1153,0))),"")</f>
        <v/>
      </c>
      <c r="F43" s="20" t="str">
        <f aca="false">IFERROR(IF(INDEX('Base articles'!$M$2:$M$1153,MATCH(37,'Base articles'!$T$2:$T$1153,0))="","",INDEX('Base articles'!$M$2:$M$1153,MATCH(37,'Base articles'!$T$2:$T$1153,0))),"")</f>
        <v/>
      </c>
      <c r="G43" s="22" t="str">
        <f aca="false">IFERROR(IF(INDEX('Base articles'!$N$2:$N$1153,MATCH(37,'Base articles'!$T$2:$T$1153,0))="","",INDEX('Base articles'!$N$2:$N$1153,MATCH(37,'Base articles'!$T$2:$T$1153,0))),"")</f>
        <v/>
      </c>
      <c r="H43" s="19" t="str">
        <f aca="false">IFERROR(IF(INDEX('Base articles'!$P$2:$P$1153,MATCH(37,'Base articles'!$T$2:$T$1153,0))="","",INDEX('Base articles'!$P$2:$P$1153,MATCH(37,'Base articles'!$T$2:$T$1153,0))),"")</f>
        <v/>
      </c>
      <c r="I43" s="19" t="str">
        <f aca="false">IFERROR(IF(INDEX('Base articles'!$Q$2:$Q$1153,MATCH(37,'Base articles'!$T$2:$T$1153,0))="","",INDEX('Base articles'!$Q$2:$Q$1153,MATCH(37,'Base articles'!$T$2:$T$1153,0))),"")</f>
        <v/>
      </c>
      <c r="J43" s="20" t="str">
        <f aca="false">IFERROR(IF(INDEX('Base articles'!$B$2:$B$1153,MATCH(37,'Base articles'!$T$2:$T$1153,0))="","",INDEX('Base articles'!$B$2:$B$1153,MATCH(37,'Base articles'!$T$2:$T$1153,0))),"")</f>
        <v/>
      </c>
    </row>
    <row r="44" customFormat="false" ht="27.75" hidden="false" customHeight="true" outlineLevel="0" collapsed="false">
      <c r="A44" s="23" t="str">
        <f aca="false">IFERROR(IF(INDEX('Base articles'!$D$2:$D$1153,MATCH(38,'Base articles'!$T$2:$T$1153,0))="","",INDEX('Base articles'!$D$2:$D$1153,MATCH(38,'Base articles'!$T$2:$T$1153,0))),"")</f>
        <v/>
      </c>
      <c r="B44" s="24" t="str">
        <f aca="false">IFERROR(IF(INDEX('Base articles'!$F$2:$F$1153,MATCH(38,'Base articles'!$T$2:$T$1153,0))="","",INDEX('Base articles'!$F$2:$F$1153,MATCH(38,'Base articles'!$T$2:$T$1153,0))),"")</f>
        <v/>
      </c>
      <c r="C44" s="25" t="str">
        <f aca="false">IFERROR(INDEX('Base articles'!$H$2:$H$1153,MATCH(38,'Base articles'!$T$2:$T$1153,0)),"")</f>
        <v/>
      </c>
      <c r="D44" s="24" t="str">
        <f aca="false">IFERROR(IF(INDEX('Base articles'!$G$2:$G$1153,MATCH(38,'Base articles'!$T$2:$T$1153,0))="","",INDEX('Base articles'!$G$2:$G$1153,MATCH(38,'Base articles'!$T$2:$T$1153,0))),"")</f>
        <v/>
      </c>
      <c r="E44" s="23" t="str">
        <f aca="false">IFERROR(IF(INDEX('Base articles'!$K$2:$K$1153,MATCH(38,'Base articles'!$T$2:$T$1153,0))="","",INDEX('Base articles'!$K$2:$K$1153,MATCH(38,'Base articles'!$T$2:$T$1153,0))),"")</f>
        <v/>
      </c>
      <c r="F44" s="24" t="str">
        <f aca="false">IFERROR(IF(INDEX('Base articles'!$M$2:$M$1153,MATCH(38,'Base articles'!$T$2:$T$1153,0))="","",INDEX('Base articles'!$M$2:$M$1153,MATCH(38,'Base articles'!$T$2:$T$1153,0))),"")</f>
        <v/>
      </c>
      <c r="G44" s="26" t="str">
        <f aca="false">IFERROR(IF(INDEX('Base articles'!$N$2:$N$1153,MATCH(38,'Base articles'!$T$2:$T$1153,0))="","",INDEX('Base articles'!$N$2:$N$1153,MATCH(38,'Base articles'!$T$2:$T$1153,0))),"")</f>
        <v/>
      </c>
      <c r="H44" s="23" t="str">
        <f aca="false">IFERROR(IF(INDEX('Base articles'!$P$2:$P$1153,MATCH(38,'Base articles'!$T$2:$T$1153,0))="","",INDEX('Base articles'!$P$2:$P$1153,MATCH(38,'Base articles'!$T$2:$T$1153,0))),"")</f>
        <v/>
      </c>
      <c r="I44" s="23" t="str">
        <f aca="false">IFERROR(IF(INDEX('Base articles'!$Q$2:$Q$1153,MATCH(38,'Base articles'!$T$2:$T$1153,0))="","",INDEX('Base articles'!$Q$2:$Q$1153,MATCH(38,'Base articles'!$T$2:$T$1153,0))),"")</f>
        <v/>
      </c>
      <c r="J44" s="24" t="str">
        <f aca="false">IFERROR(IF(INDEX('Base articles'!$B$2:$B$1153,MATCH(38,'Base articles'!$T$2:$T$1153,0))="","",INDEX('Base articles'!$B$2:$B$1153,MATCH(38,'Base articles'!$T$2:$T$1153,0))),"")</f>
        <v/>
      </c>
    </row>
    <row r="45" customFormat="false" ht="27.75" hidden="false" customHeight="true" outlineLevel="0" collapsed="false">
      <c r="A45" s="19" t="str">
        <f aca="false">IFERROR(IF(INDEX('Base articles'!$D$2:$D$1153,MATCH(39,'Base articles'!$T$2:$T$1153,0))="","",INDEX('Base articles'!$D$2:$D$1153,MATCH(39,'Base articles'!$T$2:$T$1153,0))),"")</f>
        <v/>
      </c>
      <c r="B45" s="20" t="str">
        <f aca="false">IFERROR(IF(INDEX('Base articles'!$F$2:$F$1153,MATCH(39,'Base articles'!$T$2:$T$1153,0))="","",INDEX('Base articles'!$F$2:$F$1153,MATCH(39,'Base articles'!$T$2:$T$1153,0))),"")</f>
        <v/>
      </c>
      <c r="C45" s="21" t="str">
        <f aca="false">IFERROR(INDEX('Base articles'!$H$2:$H$1153,MATCH(39,'Base articles'!$T$2:$T$1153,0)),"")</f>
        <v/>
      </c>
      <c r="D45" s="20" t="str">
        <f aca="false">IFERROR(IF(INDEX('Base articles'!$G$2:$G$1153,MATCH(39,'Base articles'!$T$2:$T$1153,0))="","",INDEX('Base articles'!$G$2:$G$1153,MATCH(39,'Base articles'!$T$2:$T$1153,0))),"")</f>
        <v/>
      </c>
      <c r="E45" s="19" t="str">
        <f aca="false">IFERROR(IF(INDEX('Base articles'!$K$2:$K$1153,MATCH(39,'Base articles'!$T$2:$T$1153,0))="","",INDEX('Base articles'!$K$2:$K$1153,MATCH(39,'Base articles'!$T$2:$T$1153,0))),"")</f>
        <v/>
      </c>
      <c r="F45" s="20" t="str">
        <f aca="false">IFERROR(IF(INDEX('Base articles'!$M$2:$M$1153,MATCH(39,'Base articles'!$T$2:$T$1153,0))="","",INDEX('Base articles'!$M$2:$M$1153,MATCH(39,'Base articles'!$T$2:$T$1153,0))),"")</f>
        <v/>
      </c>
      <c r="G45" s="22" t="str">
        <f aca="false">IFERROR(IF(INDEX('Base articles'!$N$2:$N$1153,MATCH(39,'Base articles'!$T$2:$T$1153,0))="","",INDEX('Base articles'!$N$2:$N$1153,MATCH(39,'Base articles'!$T$2:$T$1153,0))),"")</f>
        <v/>
      </c>
      <c r="H45" s="19" t="str">
        <f aca="false">IFERROR(IF(INDEX('Base articles'!$P$2:$P$1153,MATCH(39,'Base articles'!$T$2:$T$1153,0))="","",INDEX('Base articles'!$P$2:$P$1153,MATCH(39,'Base articles'!$T$2:$T$1153,0))),"")</f>
        <v/>
      </c>
      <c r="I45" s="19" t="str">
        <f aca="false">IFERROR(IF(INDEX('Base articles'!$Q$2:$Q$1153,MATCH(39,'Base articles'!$T$2:$T$1153,0))="","",INDEX('Base articles'!$Q$2:$Q$1153,MATCH(39,'Base articles'!$T$2:$T$1153,0))),"")</f>
        <v/>
      </c>
      <c r="J45" s="20" t="str">
        <f aca="false">IFERROR(IF(INDEX('Base articles'!$B$2:$B$1153,MATCH(39,'Base articles'!$T$2:$T$1153,0))="","",INDEX('Base articles'!$B$2:$B$1153,MATCH(39,'Base articles'!$T$2:$T$1153,0))),"")</f>
        <v/>
      </c>
    </row>
    <row r="46" customFormat="false" ht="27.75" hidden="false" customHeight="true" outlineLevel="0" collapsed="false">
      <c r="A46" s="23" t="str">
        <f aca="false">IFERROR(IF(INDEX('Base articles'!$D$2:$D$1153,MATCH(40,'Base articles'!$T$2:$T$1153,0))="","",INDEX('Base articles'!$D$2:$D$1153,MATCH(40,'Base articles'!$T$2:$T$1153,0))),"")</f>
        <v/>
      </c>
      <c r="B46" s="24" t="str">
        <f aca="false">IFERROR(IF(INDEX('Base articles'!$F$2:$F$1153,MATCH(40,'Base articles'!$T$2:$T$1153,0))="","",INDEX('Base articles'!$F$2:$F$1153,MATCH(40,'Base articles'!$T$2:$T$1153,0))),"")</f>
        <v/>
      </c>
      <c r="C46" s="25" t="str">
        <f aca="false">IFERROR(INDEX('Base articles'!$H$2:$H$1153,MATCH(40,'Base articles'!$T$2:$T$1153,0)),"")</f>
        <v/>
      </c>
      <c r="D46" s="24" t="str">
        <f aca="false">IFERROR(IF(INDEX('Base articles'!$G$2:$G$1153,MATCH(40,'Base articles'!$T$2:$T$1153,0))="","",INDEX('Base articles'!$G$2:$G$1153,MATCH(40,'Base articles'!$T$2:$T$1153,0))),"")</f>
        <v/>
      </c>
      <c r="E46" s="23" t="str">
        <f aca="false">IFERROR(IF(INDEX('Base articles'!$K$2:$K$1153,MATCH(40,'Base articles'!$T$2:$T$1153,0))="","",INDEX('Base articles'!$K$2:$K$1153,MATCH(40,'Base articles'!$T$2:$T$1153,0))),"")</f>
        <v/>
      </c>
      <c r="F46" s="24" t="str">
        <f aca="false">IFERROR(IF(INDEX('Base articles'!$M$2:$M$1153,MATCH(40,'Base articles'!$T$2:$T$1153,0))="","",INDEX('Base articles'!$M$2:$M$1153,MATCH(40,'Base articles'!$T$2:$T$1153,0))),"")</f>
        <v/>
      </c>
      <c r="G46" s="26" t="str">
        <f aca="false">IFERROR(IF(INDEX('Base articles'!$N$2:$N$1153,MATCH(40,'Base articles'!$T$2:$T$1153,0))="","",INDEX('Base articles'!$N$2:$N$1153,MATCH(40,'Base articles'!$T$2:$T$1153,0))),"")</f>
        <v/>
      </c>
      <c r="H46" s="23" t="str">
        <f aca="false">IFERROR(IF(INDEX('Base articles'!$P$2:$P$1153,MATCH(40,'Base articles'!$T$2:$T$1153,0))="","",INDEX('Base articles'!$P$2:$P$1153,MATCH(40,'Base articles'!$T$2:$T$1153,0))),"")</f>
        <v/>
      </c>
      <c r="I46" s="23" t="str">
        <f aca="false">IFERROR(IF(INDEX('Base articles'!$Q$2:$Q$1153,MATCH(40,'Base articles'!$T$2:$T$1153,0))="","",INDEX('Base articles'!$Q$2:$Q$1153,MATCH(40,'Base articles'!$T$2:$T$1153,0))),"")</f>
        <v/>
      </c>
      <c r="J46" s="24" t="str">
        <f aca="false">IFERROR(IF(INDEX('Base articles'!$B$2:$B$1153,MATCH(40,'Base articles'!$T$2:$T$1153,0))="","",INDEX('Base articles'!$B$2:$B$1153,MATCH(40,'Base articles'!$T$2:$T$1153,0))),"")</f>
        <v/>
      </c>
    </row>
    <row r="47" customFormat="false" ht="27.75" hidden="false" customHeight="true" outlineLevel="0" collapsed="false">
      <c r="A47" s="19" t="str">
        <f aca="false">IFERROR(IF(INDEX('Base articles'!$D$2:$D$1153,MATCH(41,'Base articles'!$T$2:$T$1153,0))="","",INDEX('Base articles'!$D$2:$D$1153,MATCH(41,'Base articles'!$T$2:$T$1153,0))),"")</f>
        <v/>
      </c>
      <c r="B47" s="20" t="str">
        <f aca="false">IFERROR(IF(INDEX('Base articles'!$F$2:$F$1153,MATCH(41,'Base articles'!$T$2:$T$1153,0))="","",INDEX('Base articles'!$F$2:$F$1153,MATCH(41,'Base articles'!$T$2:$T$1153,0))),"")</f>
        <v/>
      </c>
      <c r="C47" s="21" t="str">
        <f aca="false">IFERROR(INDEX('Base articles'!$H$2:$H$1153,MATCH(41,'Base articles'!$T$2:$T$1153,0)),"")</f>
        <v/>
      </c>
      <c r="D47" s="20" t="str">
        <f aca="false">IFERROR(IF(INDEX('Base articles'!$G$2:$G$1153,MATCH(41,'Base articles'!$T$2:$T$1153,0))="","",INDEX('Base articles'!$G$2:$G$1153,MATCH(41,'Base articles'!$T$2:$T$1153,0))),"")</f>
        <v/>
      </c>
      <c r="E47" s="19" t="str">
        <f aca="false">IFERROR(IF(INDEX('Base articles'!$K$2:$K$1153,MATCH(41,'Base articles'!$T$2:$T$1153,0))="","",INDEX('Base articles'!$K$2:$K$1153,MATCH(41,'Base articles'!$T$2:$T$1153,0))),"")</f>
        <v/>
      </c>
      <c r="F47" s="20" t="str">
        <f aca="false">IFERROR(IF(INDEX('Base articles'!$M$2:$M$1153,MATCH(41,'Base articles'!$T$2:$T$1153,0))="","",INDEX('Base articles'!$M$2:$M$1153,MATCH(41,'Base articles'!$T$2:$T$1153,0))),"")</f>
        <v/>
      </c>
      <c r="G47" s="22" t="str">
        <f aca="false">IFERROR(IF(INDEX('Base articles'!$N$2:$N$1153,MATCH(41,'Base articles'!$T$2:$T$1153,0))="","",INDEX('Base articles'!$N$2:$N$1153,MATCH(41,'Base articles'!$T$2:$T$1153,0))),"")</f>
        <v/>
      </c>
      <c r="H47" s="19" t="str">
        <f aca="false">IFERROR(IF(INDEX('Base articles'!$P$2:$P$1153,MATCH(41,'Base articles'!$T$2:$T$1153,0))="","",INDEX('Base articles'!$P$2:$P$1153,MATCH(41,'Base articles'!$T$2:$T$1153,0))),"")</f>
        <v/>
      </c>
      <c r="I47" s="19" t="str">
        <f aca="false">IFERROR(IF(INDEX('Base articles'!$Q$2:$Q$1153,MATCH(41,'Base articles'!$T$2:$T$1153,0))="","",INDEX('Base articles'!$Q$2:$Q$1153,MATCH(41,'Base articles'!$T$2:$T$1153,0))),"")</f>
        <v/>
      </c>
      <c r="J47" s="20" t="str">
        <f aca="false">IFERROR(IF(INDEX('Base articles'!$B$2:$B$1153,MATCH(41,'Base articles'!$T$2:$T$1153,0))="","",INDEX('Base articles'!$B$2:$B$1153,MATCH(41,'Base articles'!$T$2:$T$1153,0))),"")</f>
        <v/>
      </c>
    </row>
    <row r="48" customFormat="false" ht="27.75" hidden="false" customHeight="true" outlineLevel="0" collapsed="false">
      <c r="A48" s="23" t="str">
        <f aca="false">IFERROR(IF(INDEX('Base articles'!$D$2:$D$1153,MATCH(42,'Base articles'!$T$2:$T$1153,0))="","",INDEX('Base articles'!$D$2:$D$1153,MATCH(42,'Base articles'!$T$2:$T$1153,0))),"")</f>
        <v/>
      </c>
      <c r="B48" s="24" t="str">
        <f aca="false">IFERROR(IF(INDEX('Base articles'!$F$2:$F$1153,MATCH(42,'Base articles'!$T$2:$T$1153,0))="","",INDEX('Base articles'!$F$2:$F$1153,MATCH(42,'Base articles'!$T$2:$T$1153,0))),"")</f>
        <v/>
      </c>
      <c r="C48" s="25" t="str">
        <f aca="false">IFERROR(INDEX('Base articles'!$H$2:$H$1153,MATCH(42,'Base articles'!$T$2:$T$1153,0)),"")</f>
        <v/>
      </c>
      <c r="D48" s="24" t="str">
        <f aca="false">IFERROR(IF(INDEX('Base articles'!$G$2:$G$1153,MATCH(42,'Base articles'!$T$2:$T$1153,0))="","",INDEX('Base articles'!$G$2:$G$1153,MATCH(42,'Base articles'!$T$2:$T$1153,0))),"")</f>
        <v/>
      </c>
      <c r="E48" s="23" t="str">
        <f aca="false">IFERROR(IF(INDEX('Base articles'!$K$2:$K$1153,MATCH(42,'Base articles'!$T$2:$T$1153,0))="","",INDEX('Base articles'!$K$2:$K$1153,MATCH(42,'Base articles'!$T$2:$T$1153,0))),"")</f>
        <v/>
      </c>
      <c r="F48" s="24" t="str">
        <f aca="false">IFERROR(IF(INDEX('Base articles'!$M$2:$M$1153,MATCH(42,'Base articles'!$T$2:$T$1153,0))="","",INDEX('Base articles'!$M$2:$M$1153,MATCH(42,'Base articles'!$T$2:$T$1153,0))),"")</f>
        <v/>
      </c>
      <c r="G48" s="26" t="str">
        <f aca="false">IFERROR(IF(INDEX('Base articles'!$N$2:$N$1153,MATCH(42,'Base articles'!$T$2:$T$1153,0))="","",INDEX('Base articles'!$N$2:$N$1153,MATCH(42,'Base articles'!$T$2:$T$1153,0))),"")</f>
        <v/>
      </c>
      <c r="H48" s="23" t="str">
        <f aca="false">IFERROR(IF(INDEX('Base articles'!$P$2:$P$1153,MATCH(42,'Base articles'!$T$2:$T$1153,0))="","",INDEX('Base articles'!$P$2:$P$1153,MATCH(42,'Base articles'!$T$2:$T$1153,0))),"")</f>
        <v/>
      </c>
      <c r="I48" s="23" t="str">
        <f aca="false">IFERROR(IF(INDEX('Base articles'!$Q$2:$Q$1153,MATCH(42,'Base articles'!$T$2:$T$1153,0))="","",INDEX('Base articles'!$Q$2:$Q$1153,MATCH(42,'Base articles'!$T$2:$T$1153,0))),"")</f>
        <v/>
      </c>
      <c r="J48" s="24" t="str">
        <f aca="false">IFERROR(IF(INDEX('Base articles'!$B$2:$B$1153,MATCH(42,'Base articles'!$T$2:$T$1153,0))="","",INDEX('Base articles'!$B$2:$B$1153,MATCH(42,'Base articles'!$T$2:$T$1153,0))),"")</f>
        <v/>
      </c>
    </row>
    <row r="49" customFormat="false" ht="27.75" hidden="false" customHeight="true" outlineLevel="0" collapsed="false">
      <c r="A49" s="19" t="str">
        <f aca="false">IFERROR(IF(INDEX('Base articles'!$D$2:$D$1153,MATCH(43,'Base articles'!$T$2:$T$1153,0))="","",INDEX('Base articles'!$D$2:$D$1153,MATCH(43,'Base articles'!$T$2:$T$1153,0))),"")</f>
        <v/>
      </c>
      <c r="B49" s="20" t="str">
        <f aca="false">IFERROR(IF(INDEX('Base articles'!$F$2:$F$1153,MATCH(43,'Base articles'!$T$2:$T$1153,0))="","",INDEX('Base articles'!$F$2:$F$1153,MATCH(43,'Base articles'!$T$2:$T$1153,0))),"")</f>
        <v/>
      </c>
      <c r="C49" s="21" t="str">
        <f aca="false">IFERROR(INDEX('Base articles'!$H$2:$H$1153,MATCH(43,'Base articles'!$T$2:$T$1153,0)),"")</f>
        <v/>
      </c>
      <c r="D49" s="20" t="str">
        <f aca="false">IFERROR(IF(INDEX('Base articles'!$G$2:$G$1153,MATCH(43,'Base articles'!$T$2:$T$1153,0))="","",INDEX('Base articles'!$G$2:$G$1153,MATCH(43,'Base articles'!$T$2:$T$1153,0))),"")</f>
        <v/>
      </c>
      <c r="E49" s="19" t="str">
        <f aca="false">IFERROR(IF(INDEX('Base articles'!$K$2:$K$1153,MATCH(43,'Base articles'!$T$2:$T$1153,0))="","",INDEX('Base articles'!$K$2:$K$1153,MATCH(43,'Base articles'!$T$2:$T$1153,0))),"")</f>
        <v/>
      </c>
      <c r="F49" s="20" t="str">
        <f aca="false">IFERROR(IF(INDEX('Base articles'!$M$2:$M$1153,MATCH(43,'Base articles'!$T$2:$T$1153,0))="","",INDEX('Base articles'!$M$2:$M$1153,MATCH(43,'Base articles'!$T$2:$T$1153,0))),"")</f>
        <v/>
      </c>
      <c r="G49" s="22" t="str">
        <f aca="false">IFERROR(IF(INDEX('Base articles'!$N$2:$N$1153,MATCH(43,'Base articles'!$T$2:$T$1153,0))="","",INDEX('Base articles'!$N$2:$N$1153,MATCH(43,'Base articles'!$T$2:$T$1153,0))),"")</f>
        <v/>
      </c>
      <c r="H49" s="19" t="str">
        <f aca="false">IFERROR(IF(INDEX('Base articles'!$P$2:$P$1153,MATCH(43,'Base articles'!$T$2:$T$1153,0))="","",INDEX('Base articles'!$P$2:$P$1153,MATCH(43,'Base articles'!$T$2:$T$1153,0))),"")</f>
        <v/>
      </c>
      <c r="I49" s="19" t="str">
        <f aca="false">IFERROR(IF(INDEX('Base articles'!$Q$2:$Q$1153,MATCH(43,'Base articles'!$T$2:$T$1153,0))="","",INDEX('Base articles'!$Q$2:$Q$1153,MATCH(43,'Base articles'!$T$2:$T$1153,0))),"")</f>
        <v/>
      </c>
      <c r="J49" s="20" t="str">
        <f aca="false">IFERROR(IF(INDEX('Base articles'!$B$2:$B$1153,MATCH(43,'Base articles'!$T$2:$T$1153,0))="","",INDEX('Base articles'!$B$2:$B$1153,MATCH(43,'Base articles'!$T$2:$T$1153,0))),"")</f>
        <v/>
      </c>
    </row>
    <row r="50" customFormat="false" ht="27.75" hidden="false" customHeight="true" outlineLevel="0" collapsed="false">
      <c r="A50" s="23" t="str">
        <f aca="false">IFERROR(IF(INDEX('Base articles'!$D$2:$D$1153,MATCH(44,'Base articles'!$T$2:$T$1153,0))="","",INDEX('Base articles'!$D$2:$D$1153,MATCH(44,'Base articles'!$T$2:$T$1153,0))),"")</f>
        <v/>
      </c>
      <c r="B50" s="24" t="str">
        <f aca="false">IFERROR(IF(INDEX('Base articles'!$F$2:$F$1153,MATCH(44,'Base articles'!$T$2:$T$1153,0))="","",INDEX('Base articles'!$F$2:$F$1153,MATCH(44,'Base articles'!$T$2:$T$1153,0))),"")</f>
        <v/>
      </c>
      <c r="C50" s="25" t="str">
        <f aca="false">IFERROR(INDEX('Base articles'!$H$2:$H$1153,MATCH(44,'Base articles'!$T$2:$T$1153,0)),"")</f>
        <v/>
      </c>
      <c r="D50" s="24" t="str">
        <f aca="false">IFERROR(IF(INDEX('Base articles'!$G$2:$G$1153,MATCH(44,'Base articles'!$T$2:$T$1153,0))="","",INDEX('Base articles'!$G$2:$G$1153,MATCH(44,'Base articles'!$T$2:$T$1153,0))),"")</f>
        <v/>
      </c>
      <c r="E50" s="23" t="str">
        <f aca="false">IFERROR(IF(INDEX('Base articles'!$K$2:$K$1153,MATCH(44,'Base articles'!$T$2:$T$1153,0))="","",INDEX('Base articles'!$K$2:$K$1153,MATCH(44,'Base articles'!$T$2:$T$1153,0))),"")</f>
        <v/>
      </c>
      <c r="F50" s="24" t="str">
        <f aca="false">IFERROR(IF(INDEX('Base articles'!$M$2:$M$1153,MATCH(44,'Base articles'!$T$2:$T$1153,0))="","",INDEX('Base articles'!$M$2:$M$1153,MATCH(44,'Base articles'!$T$2:$T$1153,0))),"")</f>
        <v/>
      </c>
      <c r="G50" s="26" t="str">
        <f aca="false">IFERROR(IF(INDEX('Base articles'!$N$2:$N$1153,MATCH(44,'Base articles'!$T$2:$T$1153,0))="","",INDEX('Base articles'!$N$2:$N$1153,MATCH(44,'Base articles'!$T$2:$T$1153,0))),"")</f>
        <v/>
      </c>
      <c r="H50" s="23" t="str">
        <f aca="false">IFERROR(IF(INDEX('Base articles'!$P$2:$P$1153,MATCH(44,'Base articles'!$T$2:$T$1153,0))="","",INDEX('Base articles'!$P$2:$P$1153,MATCH(44,'Base articles'!$T$2:$T$1153,0))),"")</f>
        <v/>
      </c>
      <c r="I50" s="23" t="str">
        <f aca="false">IFERROR(IF(INDEX('Base articles'!$Q$2:$Q$1153,MATCH(44,'Base articles'!$T$2:$T$1153,0))="","",INDEX('Base articles'!$Q$2:$Q$1153,MATCH(44,'Base articles'!$T$2:$T$1153,0))),"")</f>
        <v/>
      </c>
      <c r="J50" s="24" t="str">
        <f aca="false">IFERROR(IF(INDEX('Base articles'!$B$2:$B$1153,MATCH(44,'Base articles'!$T$2:$T$1153,0))="","",INDEX('Base articles'!$B$2:$B$1153,MATCH(44,'Base articles'!$T$2:$T$1153,0))),"")</f>
        <v/>
      </c>
    </row>
    <row r="51" customFormat="false" ht="27.75" hidden="false" customHeight="true" outlineLevel="0" collapsed="false">
      <c r="A51" s="19" t="str">
        <f aca="false">IFERROR(IF(INDEX('Base articles'!$D$2:$D$1153,MATCH(45,'Base articles'!$T$2:$T$1153,0))="","",INDEX('Base articles'!$D$2:$D$1153,MATCH(45,'Base articles'!$T$2:$T$1153,0))),"")</f>
        <v/>
      </c>
      <c r="B51" s="20" t="str">
        <f aca="false">IFERROR(IF(INDEX('Base articles'!$F$2:$F$1153,MATCH(45,'Base articles'!$T$2:$T$1153,0))="","",INDEX('Base articles'!$F$2:$F$1153,MATCH(45,'Base articles'!$T$2:$T$1153,0))),"")</f>
        <v/>
      </c>
      <c r="C51" s="21" t="str">
        <f aca="false">IFERROR(INDEX('Base articles'!$H$2:$H$1153,MATCH(45,'Base articles'!$T$2:$T$1153,0)),"")</f>
        <v/>
      </c>
      <c r="D51" s="20" t="str">
        <f aca="false">IFERROR(IF(INDEX('Base articles'!$G$2:$G$1153,MATCH(45,'Base articles'!$T$2:$T$1153,0))="","",INDEX('Base articles'!$G$2:$G$1153,MATCH(45,'Base articles'!$T$2:$T$1153,0))),"")</f>
        <v/>
      </c>
      <c r="E51" s="19" t="str">
        <f aca="false">IFERROR(IF(INDEX('Base articles'!$K$2:$K$1153,MATCH(45,'Base articles'!$T$2:$T$1153,0))="","",INDEX('Base articles'!$K$2:$K$1153,MATCH(45,'Base articles'!$T$2:$T$1153,0))),"")</f>
        <v/>
      </c>
      <c r="F51" s="20" t="str">
        <f aca="false">IFERROR(IF(INDEX('Base articles'!$M$2:$M$1153,MATCH(45,'Base articles'!$T$2:$T$1153,0))="","",INDEX('Base articles'!$M$2:$M$1153,MATCH(45,'Base articles'!$T$2:$T$1153,0))),"")</f>
        <v/>
      </c>
      <c r="G51" s="22" t="str">
        <f aca="false">IFERROR(IF(INDEX('Base articles'!$N$2:$N$1153,MATCH(45,'Base articles'!$T$2:$T$1153,0))="","",INDEX('Base articles'!$N$2:$N$1153,MATCH(45,'Base articles'!$T$2:$T$1153,0))),"")</f>
        <v/>
      </c>
      <c r="H51" s="19" t="str">
        <f aca="false">IFERROR(IF(INDEX('Base articles'!$P$2:$P$1153,MATCH(45,'Base articles'!$T$2:$T$1153,0))="","",INDEX('Base articles'!$P$2:$P$1153,MATCH(45,'Base articles'!$T$2:$T$1153,0))),"")</f>
        <v/>
      </c>
      <c r="I51" s="19" t="str">
        <f aca="false">IFERROR(IF(INDEX('Base articles'!$Q$2:$Q$1153,MATCH(45,'Base articles'!$T$2:$T$1153,0))="","",INDEX('Base articles'!$Q$2:$Q$1153,MATCH(45,'Base articles'!$T$2:$T$1153,0))),"")</f>
        <v/>
      </c>
      <c r="J51" s="20" t="str">
        <f aca="false">IFERROR(IF(INDEX('Base articles'!$B$2:$B$1153,MATCH(45,'Base articles'!$T$2:$T$1153,0))="","",INDEX('Base articles'!$B$2:$B$1153,MATCH(45,'Base articles'!$T$2:$T$1153,0))),"")</f>
        <v/>
      </c>
    </row>
    <row r="52" customFormat="false" ht="27.75" hidden="false" customHeight="true" outlineLevel="0" collapsed="false">
      <c r="A52" s="23" t="str">
        <f aca="false">IFERROR(IF(INDEX('Base articles'!$D$2:$D$1153,MATCH(46,'Base articles'!$T$2:$T$1153,0))="","",INDEX('Base articles'!$D$2:$D$1153,MATCH(46,'Base articles'!$T$2:$T$1153,0))),"")</f>
        <v/>
      </c>
      <c r="B52" s="24" t="str">
        <f aca="false">IFERROR(IF(INDEX('Base articles'!$F$2:$F$1153,MATCH(46,'Base articles'!$T$2:$T$1153,0))="","",INDEX('Base articles'!$F$2:$F$1153,MATCH(46,'Base articles'!$T$2:$T$1153,0))),"")</f>
        <v/>
      </c>
      <c r="C52" s="25" t="str">
        <f aca="false">IFERROR(INDEX('Base articles'!$H$2:$H$1153,MATCH(46,'Base articles'!$T$2:$T$1153,0)),"")</f>
        <v/>
      </c>
      <c r="D52" s="24" t="str">
        <f aca="false">IFERROR(IF(INDEX('Base articles'!$G$2:$G$1153,MATCH(46,'Base articles'!$T$2:$T$1153,0))="","",INDEX('Base articles'!$G$2:$G$1153,MATCH(46,'Base articles'!$T$2:$T$1153,0))),"")</f>
        <v/>
      </c>
      <c r="E52" s="23" t="str">
        <f aca="false">IFERROR(IF(INDEX('Base articles'!$K$2:$K$1153,MATCH(46,'Base articles'!$T$2:$T$1153,0))="","",INDEX('Base articles'!$K$2:$K$1153,MATCH(46,'Base articles'!$T$2:$T$1153,0))),"")</f>
        <v/>
      </c>
      <c r="F52" s="24" t="str">
        <f aca="false">IFERROR(IF(INDEX('Base articles'!$M$2:$M$1153,MATCH(46,'Base articles'!$T$2:$T$1153,0))="","",INDEX('Base articles'!$M$2:$M$1153,MATCH(46,'Base articles'!$T$2:$T$1153,0))),"")</f>
        <v/>
      </c>
      <c r="G52" s="26" t="str">
        <f aca="false">IFERROR(IF(INDEX('Base articles'!$N$2:$N$1153,MATCH(46,'Base articles'!$T$2:$T$1153,0))="","",INDEX('Base articles'!$N$2:$N$1153,MATCH(46,'Base articles'!$T$2:$T$1153,0))),"")</f>
        <v/>
      </c>
      <c r="H52" s="23" t="str">
        <f aca="false">IFERROR(IF(INDEX('Base articles'!$P$2:$P$1153,MATCH(46,'Base articles'!$T$2:$T$1153,0))="","",INDEX('Base articles'!$P$2:$P$1153,MATCH(46,'Base articles'!$T$2:$T$1153,0))),"")</f>
        <v/>
      </c>
      <c r="I52" s="23" t="str">
        <f aca="false">IFERROR(IF(INDEX('Base articles'!$Q$2:$Q$1153,MATCH(46,'Base articles'!$T$2:$T$1153,0))="","",INDEX('Base articles'!$Q$2:$Q$1153,MATCH(46,'Base articles'!$T$2:$T$1153,0))),"")</f>
        <v/>
      </c>
      <c r="J52" s="24" t="str">
        <f aca="false">IFERROR(IF(INDEX('Base articles'!$B$2:$B$1153,MATCH(46,'Base articles'!$T$2:$T$1153,0))="","",INDEX('Base articles'!$B$2:$B$1153,MATCH(46,'Base articles'!$T$2:$T$1153,0))),"")</f>
        <v/>
      </c>
    </row>
    <row r="53" customFormat="false" ht="27.75" hidden="false" customHeight="true" outlineLevel="0" collapsed="false">
      <c r="A53" s="19" t="str">
        <f aca="false">IFERROR(IF(INDEX('Base articles'!$D$2:$D$1153,MATCH(47,'Base articles'!$T$2:$T$1153,0))="","",INDEX('Base articles'!$D$2:$D$1153,MATCH(47,'Base articles'!$T$2:$T$1153,0))),"")</f>
        <v/>
      </c>
      <c r="B53" s="20" t="str">
        <f aca="false">IFERROR(IF(INDEX('Base articles'!$F$2:$F$1153,MATCH(47,'Base articles'!$T$2:$T$1153,0))="","",INDEX('Base articles'!$F$2:$F$1153,MATCH(47,'Base articles'!$T$2:$T$1153,0))),"")</f>
        <v/>
      </c>
      <c r="C53" s="21" t="str">
        <f aca="false">IFERROR(INDEX('Base articles'!$H$2:$H$1153,MATCH(47,'Base articles'!$T$2:$T$1153,0)),"")</f>
        <v/>
      </c>
      <c r="D53" s="20" t="str">
        <f aca="false">IFERROR(IF(INDEX('Base articles'!$G$2:$G$1153,MATCH(47,'Base articles'!$T$2:$T$1153,0))="","",INDEX('Base articles'!$G$2:$G$1153,MATCH(47,'Base articles'!$T$2:$T$1153,0))),"")</f>
        <v/>
      </c>
      <c r="E53" s="19" t="str">
        <f aca="false">IFERROR(IF(INDEX('Base articles'!$K$2:$K$1153,MATCH(47,'Base articles'!$T$2:$T$1153,0))="","",INDEX('Base articles'!$K$2:$K$1153,MATCH(47,'Base articles'!$T$2:$T$1153,0))),"")</f>
        <v/>
      </c>
      <c r="F53" s="20" t="str">
        <f aca="false">IFERROR(IF(INDEX('Base articles'!$M$2:$M$1153,MATCH(47,'Base articles'!$T$2:$T$1153,0))="","",INDEX('Base articles'!$M$2:$M$1153,MATCH(47,'Base articles'!$T$2:$T$1153,0))),"")</f>
        <v/>
      </c>
      <c r="G53" s="22" t="str">
        <f aca="false">IFERROR(IF(INDEX('Base articles'!$N$2:$N$1153,MATCH(47,'Base articles'!$T$2:$T$1153,0))="","",INDEX('Base articles'!$N$2:$N$1153,MATCH(47,'Base articles'!$T$2:$T$1153,0))),"")</f>
        <v/>
      </c>
      <c r="H53" s="19" t="str">
        <f aca="false">IFERROR(IF(INDEX('Base articles'!$P$2:$P$1153,MATCH(47,'Base articles'!$T$2:$T$1153,0))="","",INDEX('Base articles'!$P$2:$P$1153,MATCH(47,'Base articles'!$T$2:$T$1153,0))),"")</f>
        <v/>
      </c>
      <c r="I53" s="19" t="str">
        <f aca="false">IFERROR(IF(INDEX('Base articles'!$Q$2:$Q$1153,MATCH(47,'Base articles'!$T$2:$T$1153,0))="","",INDEX('Base articles'!$Q$2:$Q$1153,MATCH(47,'Base articles'!$T$2:$T$1153,0))),"")</f>
        <v/>
      </c>
      <c r="J53" s="20" t="str">
        <f aca="false">IFERROR(IF(INDEX('Base articles'!$B$2:$B$1153,MATCH(47,'Base articles'!$T$2:$T$1153,0))="","",INDEX('Base articles'!$B$2:$B$1153,MATCH(47,'Base articles'!$T$2:$T$1153,0))),"")</f>
        <v/>
      </c>
    </row>
    <row r="54" customFormat="false" ht="27.75" hidden="false" customHeight="true" outlineLevel="0" collapsed="false">
      <c r="A54" s="23" t="str">
        <f aca="false">IFERROR(IF(INDEX('Base articles'!$D$2:$D$1153,MATCH(48,'Base articles'!$T$2:$T$1153,0))="","",INDEX('Base articles'!$D$2:$D$1153,MATCH(48,'Base articles'!$T$2:$T$1153,0))),"")</f>
        <v/>
      </c>
      <c r="B54" s="24" t="str">
        <f aca="false">IFERROR(IF(INDEX('Base articles'!$F$2:$F$1153,MATCH(48,'Base articles'!$T$2:$T$1153,0))="","",INDEX('Base articles'!$F$2:$F$1153,MATCH(48,'Base articles'!$T$2:$T$1153,0))),"")</f>
        <v/>
      </c>
      <c r="C54" s="25" t="str">
        <f aca="false">IFERROR(INDEX('Base articles'!$H$2:$H$1153,MATCH(48,'Base articles'!$T$2:$T$1153,0)),"")</f>
        <v/>
      </c>
      <c r="D54" s="24" t="str">
        <f aca="false">IFERROR(IF(INDEX('Base articles'!$G$2:$G$1153,MATCH(48,'Base articles'!$T$2:$T$1153,0))="","",INDEX('Base articles'!$G$2:$G$1153,MATCH(48,'Base articles'!$T$2:$T$1153,0))),"")</f>
        <v/>
      </c>
      <c r="E54" s="23" t="str">
        <f aca="false">IFERROR(IF(INDEX('Base articles'!$K$2:$K$1153,MATCH(48,'Base articles'!$T$2:$T$1153,0))="","",INDEX('Base articles'!$K$2:$K$1153,MATCH(48,'Base articles'!$T$2:$T$1153,0))),"")</f>
        <v/>
      </c>
      <c r="F54" s="24" t="str">
        <f aca="false">IFERROR(IF(INDEX('Base articles'!$M$2:$M$1153,MATCH(48,'Base articles'!$T$2:$T$1153,0))="","",INDEX('Base articles'!$M$2:$M$1153,MATCH(48,'Base articles'!$T$2:$T$1153,0))),"")</f>
        <v/>
      </c>
      <c r="G54" s="26" t="str">
        <f aca="false">IFERROR(IF(INDEX('Base articles'!$N$2:$N$1153,MATCH(48,'Base articles'!$T$2:$T$1153,0))="","",INDEX('Base articles'!$N$2:$N$1153,MATCH(48,'Base articles'!$T$2:$T$1153,0))),"")</f>
        <v/>
      </c>
      <c r="H54" s="23" t="str">
        <f aca="false">IFERROR(IF(INDEX('Base articles'!$P$2:$P$1153,MATCH(48,'Base articles'!$T$2:$T$1153,0))="","",INDEX('Base articles'!$P$2:$P$1153,MATCH(48,'Base articles'!$T$2:$T$1153,0))),"")</f>
        <v/>
      </c>
      <c r="I54" s="23" t="str">
        <f aca="false">IFERROR(IF(INDEX('Base articles'!$Q$2:$Q$1153,MATCH(48,'Base articles'!$T$2:$T$1153,0))="","",INDEX('Base articles'!$Q$2:$Q$1153,MATCH(48,'Base articles'!$T$2:$T$1153,0))),"")</f>
        <v/>
      </c>
      <c r="J54" s="24" t="str">
        <f aca="false">IFERROR(IF(INDEX('Base articles'!$B$2:$B$1153,MATCH(48,'Base articles'!$T$2:$T$1153,0))="","",INDEX('Base articles'!$B$2:$B$1153,MATCH(48,'Base articles'!$T$2:$T$1153,0))),"")</f>
        <v/>
      </c>
    </row>
    <row r="55" customFormat="false" ht="27.75" hidden="false" customHeight="true" outlineLevel="0" collapsed="false">
      <c r="A55" s="19" t="str">
        <f aca="false">IFERROR(IF(INDEX('Base articles'!$D$2:$D$1153,MATCH(49,'Base articles'!$T$2:$T$1153,0))="","",INDEX('Base articles'!$D$2:$D$1153,MATCH(49,'Base articles'!$T$2:$T$1153,0))),"")</f>
        <v/>
      </c>
      <c r="B55" s="20" t="str">
        <f aca="false">IFERROR(IF(INDEX('Base articles'!$F$2:$F$1153,MATCH(49,'Base articles'!$T$2:$T$1153,0))="","",INDEX('Base articles'!$F$2:$F$1153,MATCH(49,'Base articles'!$T$2:$T$1153,0))),"")</f>
        <v/>
      </c>
      <c r="C55" s="21" t="str">
        <f aca="false">IFERROR(INDEX('Base articles'!$H$2:$H$1153,MATCH(49,'Base articles'!$T$2:$T$1153,0)),"")</f>
        <v/>
      </c>
      <c r="D55" s="20" t="str">
        <f aca="false">IFERROR(IF(INDEX('Base articles'!$G$2:$G$1153,MATCH(49,'Base articles'!$T$2:$T$1153,0))="","",INDEX('Base articles'!$G$2:$G$1153,MATCH(49,'Base articles'!$T$2:$T$1153,0))),"")</f>
        <v/>
      </c>
      <c r="E55" s="19" t="str">
        <f aca="false">IFERROR(IF(INDEX('Base articles'!$K$2:$K$1153,MATCH(49,'Base articles'!$T$2:$T$1153,0))="","",INDEX('Base articles'!$K$2:$K$1153,MATCH(49,'Base articles'!$T$2:$T$1153,0))),"")</f>
        <v/>
      </c>
      <c r="F55" s="20" t="str">
        <f aca="false">IFERROR(IF(INDEX('Base articles'!$M$2:$M$1153,MATCH(49,'Base articles'!$T$2:$T$1153,0))="","",INDEX('Base articles'!$M$2:$M$1153,MATCH(49,'Base articles'!$T$2:$T$1153,0))),"")</f>
        <v/>
      </c>
      <c r="G55" s="22" t="str">
        <f aca="false">IFERROR(IF(INDEX('Base articles'!$N$2:$N$1153,MATCH(49,'Base articles'!$T$2:$T$1153,0))="","",INDEX('Base articles'!$N$2:$N$1153,MATCH(49,'Base articles'!$T$2:$T$1153,0))),"")</f>
        <v/>
      </c>
      <c r="H55" s="19" t="str">
        <f aca="false">IFERROR(IF(INDEX('Base articles'!$P$2:$P$1153,MATCH(49,'Base articles'!$T$2:$T$1153,0))="","",INDEX('Base articles'!$P$2:$P$1153,MATCH(49,'Base articles'!$T$2:$T$1153,0))),"")</f>
        <v/>
      </c>
      <c r="I55" s="19" t="str">
        <f aca="false">IFERROR(IF(INDEX('Base articles'!$Q$2:$Q$1153,MATCH(49,'Base articles'!$T$2:$T$1153,0))="","",INDEX('Base articles'!$Q$2:$Q$1153,MATCH(49,'Base articles'!$T$2:$T$1153,0))),"")</f>
        <v/>
      </c>
      <c r="J55" s="20" t="str">
        <f aca="false">IFERROR(IF(INDEX('Base articles'!$B$2:$B$1153,MATCH(49,'Base articles'!$T$2:$T$1153,0))="","",INDEX('Base articles'!$B$2:$B$1153,MATCH(49,'Base articles'!$T$2:$T$1153,0))),"")</f>
        <v/>
      </c>
    </row>
    <row r="56" customFormat="false" ht="27.75" hidden="false" customHeight="true" outlineLevel="0" collapsed="false">
      <c r="A56" s="23" t="str">
        <f aca="false">IFERROR(IF(INDEX('Base articles'!$D$2:$D$1153,MATCH(50,'Base articles'!$T$2:$T$1153,0))="","",INDEX('Base articles'!$D$2:$D$1153,MATCH(50,'Base articles'!$T$2:$T$1153,0))),"")</f>
        <v/>
      </c>
      <c r="B56" s="24" t="str">
        <f aca="false">IFERROR(IF(INDEX('Base articles'!$F$2:$F$1153,MATCH(50,'Base articles'!$T$2:$T$1153,0))="","",INDEX('Base articles'!$F$2:$F$1153,MATCH(50,'Base articles'!$T$2:$T$1153,0))),"")</f>
        <v/>
      </c>
      <c r="C56" s="25" t="str">
        <f aca="false">IFERROR(INDEX('Base articles'!$H$2:$H$1153,MATCH(50,'Base articles'!$T$2:$T$1153,0)),"")</f>
        <v/>
      </c>
      <c r="D56" s="24" t="str">
        <f aca="false">IFERROR(IF(INDEX('Base articles'!$G$2:$G$1153,MATCH(50,'Base articles'!$T$2:$T$1153,0))="","",INDEX('Base articles'!$G$2:$G$1153,MATCH(50,'Base articles'!$T$2:$T$1153,0))),"")</f>
        <v/>
      </c>
      <c r="E56" s="23" t="str">
        <f aca="false">IFERROR(IF(INDEX('Base articles'!$K$2:$K$1153,MATCH(50,'Base articles'!$T$2:$T$1153,0))="","",INDEX('Base articles'!$K$2:$K$1153,MATCH(50,'Base articles'!$T$2:$T$1153,0))),"")</f>
        <v/>
      </c>
      <c r="F56" s="24" t="str">
        <f aca="false">IFERROR(IF(INDEX('Base articles'!$M$2:$M$1153,MATCH(50,'Base articles'!$T$2:$T$1153,0))="","",INDEX('Base articles'!$M$2:$M$1153,MATCH(50,'Base articles'!$T$2:$T$1153,0))),"")</f>
        <v/>
      </c>
      <c r="G56" s="26" t="str">
        <f aca="false">IFERROR(IF(INDEX('Base articles'!$N$2:$N$1153,MATCH(50,'Base articles'!$T$2:$T$1153,0))="","",INDEX('Base articles'!$N$2:$N$1153,MATCH(50,'Base articles'!$T$2:$T$1153,0))),"")</f>
        <v/>
      </c>
      <c r="H56" s="23" t="str">
        <f aca="false">IFERROR(IF(INDEX('Base articles'!$P$2:$P$1153,MATCH(50,'Base articles'!$T$2:$T$1153,0))="","",INDEX('Base articles'!$P$2:$P$1153,MATCH(50,'Base articles'!$T$2:$T$1153,0))),"")</f>
        <v/>
      </c>
      <c r="I56" s="23" t="str">
        <f aca="false">IFERROR(IF(INDEX('Base articles'!$Q$2:$Q$1153,MATCH(50,'Base articles'!$T$2:$T$1153,0))="","",INDEX('Base articles'!$Q$2:$Q$1153,MATCH(50,'Base articles'!$T$2:$T$1153,0))),"")</f>
        <v/>
      </c>
      <c r="J56" s="24" t="str">
        <f aca="false">IFERROR(IF(INDEX('Base articles'!$B$2:$B$1153,MATCH(50,'Base articles'!$T$2:$T$1153,0))="","",INDEX('Base articles'!$B$2:$B$1153,MATCH(50,'Base articles'!$T$2:$T$1153,0))),"")</f>
        <v/>
      </c>
    </row>
    <row r="57" customFormat="false" ht="27.75" hidden="false" customHeight="true" outlineLevel="0" collapsed="false">
      <c r="A57" s="19" t="str">
        <f aca="false">IFERROR(IF(INDEX('Base articles'!$D$2:$D$1153,MATCH(51,'Base articles'!$T$2:$T$1153,0))="","",INDEX('Base articles'!$D$2:$D$1153,MATCH(51,'Base articles'!$T$2:$T$1153,0))),"")</f>
        <v/>
      </c>
      <c r="B57" s="20" t="str">
        <f aca="false">IFERROR(IF(INDEX('Base articles'!$F$2:$F$1153,MATCH(51,'Base articles'!$T$2:$T$1153,0))="","",INDEX('Base articles'!$F$2:$F$1153,MATCH(51,'Base articles'!$T$2:$T$1153,0))),"")</f>
        <v/>
      </c>
      <c r="C57" s="21" t="str">
        <f aca="false">IFERROR(INDEX('Base articles'!$H$2:$H$1153,MATCH(51,'Base articles'!$T$2:$T$1153,0)),"")</f>
        <v/>
      </c>
      <c r="D57" s="20" t="str">
        <f aca="false">IFERROR(IF(INDEX('Base articles'!$G$2:$G$1153,MATCH(51,'Base articles'!$T$2:$T$1153,0))="","",INDEX('Base articles'!$G$2:$G$1153,MATCH(51,'Base articles'!$T$2:$T$1153,0))),"")</f>
        <v/>
      </c>
      <c r="E57" s="19" t="str">
        <f aca="false">IFERROR(IF(INDEX('Base articles'!$K$2:$K$1153,MATCH(51,'Base articles'!$T$2:$T$1153,0))="","",INDEX('Base articles'!$K$2:$K$1153,MATCH(51,'Base articles'!$T$2:$T$1153,0))),"")</f>
        <v/>
      </c>
      <c r="F57" s="20" t="str">
        <f aca="false">IFERROR(IF(INDEX('Base articles'!$M$2:$M$1153,MATCH(51,'Base articles'!$T$2:$T$1153,0))="","",INDEX('Base articles'!$M$2:$M$1153,MATCH(51,'Base articles'!$T$2:$T$1153,0))),"")</f>
        <v/>
      </c>
      <c r="G57" s="22" t="str">
        <f aca="false">IFERROR(IF(INDEX('Base articles'!$N$2:$N$1153,MATCH(51,'Base articles'!$T$2:$T$1153,0))="","",INDEX('Base articles'!$N$2:$N$1153,MATCH(51,'Base articles'!$T$2:$T$1153,0))),"")</f>
        <v/>
      </c>
      <c r="H57" s="19" t="str">
        <f aca="false">IFERROR(IF(INDEX('Base articles'!$P$2:$P$1153,MATCH(51,'Base articles'!$T$2:$T$1153,0))="","",INDEX('Base articles'!$P$2:$P$1153,MATCH(51,'Base articles'!$T$2:$T$1153,0))),"")</f>
        <v/>
      </c>
      <c r="I57" s="19" t="str">
        <f aca="false">IFERROR(IF(INDEX('Base articles'!$Q$2:$Q$1153,MATCH(51,'Base articles'!$T$2:$T$1153,0))="","",INDEX('Base articles'!$Q$2:$Q$1153,MATCH(51,'Base articles'!$T$2:$T$1153,0))),"")</f>
        <v/>
      </c>
      <c r="J57" s="20" t="str">
        <f aca="false">IFERROR(IF(INDEX('Base articles'!$B$2:$B$1153,MATCH(51,'Base articles'!$T$2:$T$1153,0))="","",INDEX('Base articles'!$B$2:$B$1153,MATCH(51,'Base articles'!$T$2:$T$1153,0))),"")</f>
        <v/>
      </c>
    </row>
    <row r="58" customFormat="false" ht="27.75" hidden="false" customHeight="true" outlineLevel="0" collapsed="false">
      <c r="A58" s="23" t="str">
        <f aca="false">IFERROR(IF(INDEX('Base articles'!$D$2:$D$1153,MATCH(52,'Base articles'!$T$2:$T$1153,0))="","",INDEX('Base articles'!$D$2:$D$1153,MATCH(52,'Base articles'!$T$2:$T$1153,0))),"")</f>
        <v/>
      </c>
      <c r="B58" s="24" t="str">
        <f aca="false">IFERROR(IF(INDEX('Base articles'!$F$2:$F$1153,MATCH(52,'Base articles'!$T$2:$T$1153,0))="","",INDEX('Base articles'!$F$2:$F$1153,MATCH(52,'Base articles'!$T$2:$T$1153,0))),"")</f>
        <v/>
      </c>
      <c r="C58" s="25" t="str">
        <f aca="false">IFERROR(INDEX('Base articles'!$H$2:$H$1153,MATCH(52,'Base articles'!$T$2:$T$1153,0)),"")</f>
        <v/>
      </c>
      <c r="D58" s="24" t="str">
        <f aca="false">IFERROR(IF(INDEX('Base articles'!$G$2:$G$1153,MATCH(52,'Base articles'!$T$2:$T$1153,0))="","",INDEX('Base articles'!$G$2:$G$1153,MATCH(52,'Base articles'!$T$2:$T$1153,0))),"")</f>
        <v/>
      </c>
      <c r="E58" s="23" t="str">
        <f aca="false">IFERROR(IF(INDEX('Base articles'!$K$2:$K$1153,MATCH(52,'Base articles'!$T$2:$T$1153,0))="","",INDEX('Base articles'!$K$2:$K$1153,MATCH(52,'Base articles'!$T$2:$T$1153,0))),"")</f>
        <v/>
      </c>
      <c r="F58" s="24" t="str">
        <f aca="false">IFERROR(IF(INDEX('Base articles'!$M$2:$M$1153,MATCH(52,'Base articles'!$T$2:$T$1153,0))="","",INDEX('Base articles'!$M$2:$M$1153,MATCH(52,'Base articles'!$T$2:$T$1153,0))),"")</f>
        <v/>
      </c>
      <c r="G58" s="26" t="str">
        <f aca="false">IFERROR(IF(INDEX('Base articles'!$N$2:$N$1153,MATCH(52,'Base articles'!$T$2:$T$1153,0))="","",INDEX('Base articles'!$N$2:$N$1153,MATCH(52,'Base articles'!$T$2:$T$1153,0))),"")</f>
        <v/>
      </c>
      <c r="H58" s="23" t="str">
        <f aca="false">IFERROR(IF(INDEX('Base articles'!$P$2:$P$1153,MATCH(52,'Base articles'!$T$2:$T$1153,0))="","",INDEX('Base articles'!$P$2:$P$1153,MATCH(52,'Base articles'!$T$2:$T$1153,0))),"")</f>
        <v/>
      </c>
      <c r="I58" s="23" t="str">
        <f aca="false">IFERROR(IF(INDEX('Base articles'!$Q$2:$Q$1153,MATCH(52,'Base articles'!$T$2:$T$1153,0))="","",INDEX('Base articles'!$Q$2:$Q$1153,MATCH(52,'Base articles'!$T$2:$T$1153,0))),"")</f>
        <v/>
      </c>
      <c r="J58" s="24" t="str">
        <f aca="false">IFERROR(IF(INDEX('Base articles'!$B$2:$B$1153,MATCH(52,'Base articles'!$T$2:$T$1153,0))="","",INDEX('Base articles'!$B$2:$B$1153,MATCH(52,'Base articles'!$T$2:$T$1153,0))),"")</f>
        <v/>
      </c>
    </row>
    <row r="59" customFormat="false" ht="27.75" hidden="false" customHeight="true" outlineLevel="0" collapsed="false">
      <c r="A59" s="19" t="str">
        <f aca="false">IFERROR(IF(INDEX('Base articles'!$D$2:$D$1153,MATCH(53,'Base articles'!$T$2:$T$1153,0))="","",INDEX('Base articles'!$D$2:$D$1153,MATCH(53,'Base articles'!$T$2:$T$1153,0))),"")</f>
        <v/>
      </c>
      <c r="B59" s="20" t="str">
        <f aca="false">IFERROR(IF(INDEX('Base articles'!$F$2:$F$1153,MATCH(53,'Base articles'!$T$2:$T$1153,0))="","",INDEX('Base articles'!$F$2:$F$1153,MATCH(53,'Base articles'!$T$2:$T$1153,0))),"")</f>
        <v/>
      </c>
      <c r="C59" s="21" t="str">
        <f aca="false">IFERROR(INDEX('Base articles'!$H$2:$H$1153,MATCH(53,'Base articles'!$T$2:$T$1153,0)),"")</f>
        <v/>
      </c>
      <c r="D59" s="20" t="str">
        <f aca="false">IFERROR(IF(INDEX('Base articles'!$G$2:$G$1153,MATCH(53,'Base articles'!$T$2:$T$1153,0))="","",INDEX('Base articles'!$G$2:$G$1153,MATCH(53,'Base articles'!$T$2:$T$1153,0))),"")</f>
        <v/>
      </c>
      <c r="E59" s="19" t="str">
        <f aca="false">IFERROR(IF(INDEX('Base articles'!$K$2:$K$1153,MATCH(53,'Base articles'!$T$2:$T$1153,0))="","",INDEX('Base articles'!$K$2:$K$1153,MATCH(53,'Base articles'!$T$2:$T$1153,0))),"")</f>
        <v/>
      </c>
      <c r="F59" s="20" t="str">
        <f aca="false">IFERROR(IF(INDEX('Base articles'!$M$2:$M$1153,MATCH(53,'Base articles'!$T$2:$T$1153,0))="","",INDEX('Base articles'!$M$2:$M$1153,MATCH(53,'Base articles'!$T$2:$T$1153,0))),"")</f>
        <v/>
      </c>
      <c r="G59" s="22" t="str">
        <f aca="false">IFERROR(IF(INDEX('Base articles'!$N$2:$N$1153,MATCH(53,'Base articles'!$T$2:$T$1153,0))="","",INDEX('Base articles'!$N$2:$N$1153,MATCH(53,'Base articles'!$T$2:$T$1153,0))),"")</f>
        <v/>
      </c>
      <c r="H59" s="19" t="str">
        <f aca="false">IFERROR(IF(INDEX('Base articles'!$P$2:$P$1153,MATCH(53,'Base articles'!$T$2:$T$1153,0))="","",INDEX('Base articles'!$P$2:$P$1153,MATCH(53,'Base articles'!$T$2:$T$1153,0))),"")</f>
        <v/>
      </c>
      <c r="I59" s="19" t="str">
        <f aca="false">IFERROR(IF(INDEX('Base articles'!$Q$2:$Q$1153,MATCH(53,'Base articles'!$T$2:$T$1153,0))="","",INDEX('Base articles'!$Q$2:$Q$1153,MATCH(53,'Base articles'!$T$2:$T$1153,0))),"")</f>
        <v/>
      </c>
      <c r="J59" s="20" t="str">
        <f aca="false">IFERROR(IF(INDEX('Base articles'!$B$2:$B$1153,MATCH(53,'Base articles'!$T$2:$T$1153,0))="","",INDEX('Base articles'!$B$2:$B$1153,MATCH(53,'Base articles'!$T$2:$T$1153,0))),"")</f>
        <v/>
      </c>
    </row>
    <row r="60" customFormat="false" ht="27.75" hidden="false" customHeight="true" outlineLevel="0" collapsed="false">
      <c r="A60" s="23" t="str">
        <f aca="false">IFERROR(IF(INDEX('Base articles'!$D$2:$D$1153,MATCH(54,'Base articles'!$T$2:$T$1153,0))="","",INDEX('Base articles'!$D$2:$D$1153,MATCH(54,'Base articles'!$T$2:$T$1153,0))),"")</f>
        <v/>
      </c>
      <c r="B60" s="24" t="str">
        <f aca="false">IFERROR(IF(INDEX('Base articles'!$F$2:$F$1153,MATCH(54,'Base articles'!$T$2:$T$1153,0))="","",INDEX('Base articles'!$F$2:$F$1153,MATCH(54,'Base articles'!$T$2:$T$1153,0))),"")</f>
        <v/>
      </c>
      <c r="C60" s="25" t="str">
        <f aca="false">IFERROR(INDEX('Base articles'!$H$2:$H$1153,MATCH(54,'Base articles'!$T$2:$T$1153,0)),"")</f>
        <v/>
      </c>
      <c r="D60" s="24" t="str">
        <f aca="false">IFERROR(IF(INDEX('Base articles'!$G$2:$G$1153,MATCH(54,'Base articles'!$T$2:$T$1153,0))="","",INDEX('Base articles'!$G$2:$G$1153,MATCH(54,'Base articles'!$T$2:$T$1153,0))),"")</f>
        <v/>
      </c>
      <c r="E60" s="23" t="str">
        <f aca="false">IFERROR(IF(INDEX('Base articles'!$K$2:$K$1153,MATCH(54,'Base articles'!$T$2:$T$1153,0))="","",INDEX('Base articles'!$K$2:$K$1153,MATCH(54,'Base articles'!$T$2:$T$1153,0))),"")</f>
        <v/>
      </c>
      <c r="F60" s="24" t="str">
        <f aca="false">IFERROR(IF(INDEX('Base articles'!$M$2:$M$1153,MATCH(54,'Base articles'!$T$2:$T$1153,0))="","",INDEX('Base articles'!$M$2:$M$1153,MATCH(54,'Base articles'!$T$2:$T$1153,0))),"")</f>
        <v/>
      </c>
      <c r="G60" s="26" t="str">
        <f aca="false">IFERROR(IF(INDEX('Base articles'!$N$2:$N$1153,MATCH(54,'Base articles'!$T$2:$T$1153,0))="","",INDEX('Base articles'!$N$2:$N$1153,MATCH(54,'Base articles'!$T$2:$T$1153,0))),"")</f>
        <v/>
      </c>
      <c r="H60" s="23" t="str">
        <f aca="false">IFERROR(IF(INDEX('Base articles'!$P$2:$P$1153,MATCH(54,'Base articles'!$T$2:$T$1153,0))="","",INDEX('Base articles'!$P$2:$P$1153,MATCH(54,'Base articles'!$T$2:$T$1153,0))),"")</f>
        <v/>
      </c>
      <c r="I60" s="23" t="str">
        <f aca="false">IFERROR(IF(INDEX('Base articles'!$Q$2:$Q$1153,MATCH(54,'Base articles'!$T$2:$T$1153,0))="","",INDEX('Base articles'!$Q$2:$Q$1153,MATCH(54,'Base articles'!$T$2:$T$1153,0))),"")</f>
        <v/>
      </c>
      <c r="J60" s="24" t="str">
        <f aca="false">IFERROR(IF(INDEX('Base articles'!$B$2:$B$1153,MATCH(54,'Base articles'!$T$2:$T$1153,0))="","",INDEX('Base articles'!$B$2:$B$1153,MATCH(54,'Base articles'!$T$2:$T$1153,0))),"")</f>
        <v/>
      </c>
    </row>
    <row r="61" customFormat="false" ht="27.75" hidden="false" customHeight="true" outlineLevel="0" collapsed="false">
      <c r="A61" s="19" t="str">
        <f aca="false">IFERROR(IF(INDEX('Base articles'!$D$2:$D$1153,MATCH(55,'Base articles'!$T$2:$T$1153,0))="","",INDEX('Base articles'!$D$2:$D$1153,MATCH(55,'Base articles'!$T$2:$T$1153,0))),"")</f>
        <v/>
      </c>
      <c r="B61" s="20" t="str">
        <f aca="false">IFERROR(IF(INDEX('Base articles'!$F$2:$F$1153,MATCH(55,'Base articles'!$T$2:$T$1153,0))="","",INDEX('Base articles'!$F$2:$F$1153,MATCH(55,'Base articles'!$T$2:$T$1153,0))),"")</f>
        <v/>
      </c>
      <c r="C61" s="21" t="str">
        <f aca="false">IFERROR(INDEX('Base articles'!$H$2:$H$1153,MATCH(55,'Base articles'!$T$2:$T$1153,0)),"")</f>
        <v/>
      </c>
      <c r="D61" s="20" t="str">
        <f aca="false">IFERROR(IF(INDEX('Base articles'!$G$2:$G$1153,MATCH(55,'Base articles'!$T$2:$T$1153,0))="","",INDEX('Base articles'!$G$2:$G$1153,MATCH(55,'Base articles'!$T$2:$T$1153,0))),"")</f>
        <v/>
      </c>
      <c r="E61" s="19" t="str">
        <f aca="false">IFERROR(IF(INDEX('Base articles'!$K$2:$K$1153,MATCH(55,'Base articles'!$T$2:$T$1153,0))="","",INDEX('Base articles'!$K$2:$K$1153,MATCH(55,'Base articles'!$T$2:$T$1153,0))),"")</f>
        <v/>
      </c>
      <c r="F61" s="20" t="str">
        <f aca="false">IFERROR(IF(INDEX('Base articles'!$M$2:$M$1153,MATCH(55,'Base articles'!$T$2:$T$1153,0))="","",INDEX('Base articles'!$M$2:$M$1153,MATCH(55,'Base articles'!$T$2:$T$1153,0))),"")</f>
        <v/>
      </c>
      <c r="G61" s="22" t="str">
        <f aca="false">IFERROR(IF(INDEX('Base articles'!$N$2:$N$1153,MATCH(55,'Base articles'!$T$2:$T$1153,0))="","",INDEX('Base articles'!$N$2:$N$1153,MATCH(55,'Base articles'!$T$2:$T$1153,0))),"")</f>
        <v/>
      </c>
      <c r="H61" s="19" t="str">
        <f aca="false">IFERROR(IF(INDEX('Base articles'!$P$2:$P$1153,MATCH(55,'Base articles'!$T$2:$T$1153,0))="","",INDEX('Base articles'!$P$2:$P$1153,MATCH(55,'Base articles'!$T$2:$T$1153,0))),"")</f>
        <v/>
      </c>
      <c r="I61" s="19" t="str">
        <f aca="false">IFERROR(IF(INDEX('Base articles'!$Q$2:$Q$1153,MATCH(55,'Base articles'!$T$2:$T$1153,0))="","",INDEX('Base articles'!$Q$2:$Q$1153,MATCH(55,'Base articles'!$T$2:$T$1153,0))),"")</f>
        <v/>
      </c>
      <c r="J61" s="20" t="str">
        <f aca="false">IFERROR(IF(INDEX('Base articles'!$B$2:$B$1153,MATCH(55,'Base articles'!$T$2:$T$1153,0))="","",INDEX('Base articles'!$B$2:$B$1153,MATCH(55,'Base articles'!$T$2:$T$1153,0))),"")</f>
        <v/>
      </c>
    </row>
    <row r="62" customFormat="false" ht="27.75" hidden="false" customHeight="true" outlineLevel="0" collapsed="false">
      <c r="A62" s="23" t="str">
        <f aca="false">IFERROR(IF(INDEX('Base articles'!$D$2:$D$1153,MATCH(56,'Base articles'!$T$2:$T$1153,0))="","",INDEX('Base articles'!$D$2:$D$1153,MATCH(56,'Base articles'!$T$2:$T$1153,0))),"")</f>
        <v/>
      </c>
      <c r="B62" s="24" t="str">
        <f aca="false">IFERROR(IF(INDEX('Base articles'!$F$2:$F$1153,MATCH(56,'Base articles'!$T$2:$T$1153,0))="","",INDEX('Base articles'!$F$2:$F$1153,MATCH(56,'Base articles'!$T$2:$T$1153,0))),"")</f>
        <v/>
      </c>
      <c r="C62" s="25" t="str">
        <f aca="false">IFERROR(INDEX('Base articles'!$H$2:$H$1153,MATCH(56,'Base articles'!$T$2:$T$1153,0)),"")</f>
        <v/>
      </c>
      <c r="D62" s="24" t="str">
        <f aca="false">IFERROR(IF(INDEX('Base articles'!$G$2:$G$1153,MATCH(56,'Base articles'!$T$2:$T$1153,0))="","",INDEX('Base articles'!$G$2:$G$1153,MATCH(56,'Base articles'!$T$2:$T$1153,0))),"")</f>
        <v/>
      </c>
      <c r="E62" s="23" t="str">
        <f aca="false">IFERROR(IF(INDEX('Base articles'!$K$2:$K$1153,MATCH(56,'Base articles'!$T$2:$T$1153,0))="","",INDEX('Base articles'!$K$2:$K$1153,MATCH(56,'Base articles'!$T$2:$T$1153,0))),"")</f>
        <v/>
      </c>
      <c r="F62" s="24" t="str">
        <f aca="false">IFERROR(IF(INDEX('Base articles'!$M$2:$M$1153,MATCH(56,'Base articles'!$T$2:$T$1153,0))="","",INDEX('Base articles'!$M$2:$M$1153,MATCH(56,'Base articles'!$T$2:$T$1153,0))),"")</f>
        <v/>
      </c>
      <c r="G62" s="26" t="str">
        <f aca="false">IFERROR(IF(INDEX('Base articles'!$N$2:$N$1153,MATCH(56,'Base articles'!$T$2:$T$1153,0))="","",INDEX('Base articles'!$N$2:$N$1153,MATCH(56,'Base articles'!$T$2:$T$1153,0))),"")</f>
        <v/>
      </c>
      <c r="H62" s="23" t="str">
        <f aca="false">IFERROR(IF(INDEX('Base articles'!$P$2:$P$1153,MATCH(56,'Base articles'!$T$2:$T$1153,0))="","",INDEX('Base articles'!$P$2:$P$1153,MATCH(56,'Base articles'!$T$2:$T$1153,0))),"")</f>
        <v/>
      </c>
      <c r="I62" s="23" t="str">
        <f aca="false">IFERROR(IF(INDEX('Base articles'!$Q$2:$Q$1153,MATCH(56,'Base articles'!$T$2:$T$1153,0))="","",INDEX('Base articles'!$Q$2:$Q$1153,MATCH(56,'Base articles'!$T$2:$T$1153,0))),"")</f>
        <v/>
      </c>
      <c r="J62" s="24" t="str">
        <f aca="false">IFERROR(IF(INDEX('Base articles'!$B$2:$B$1153,MATCH(56,'Base articles'!$T$2:$T$1153,0))="","",INDEX('Base articles'!$B$2:$B$1153,MATCH(56,'Base articles'!$T$2:$T$1153,0))),"")</f>
        <v/>
      </c>
    </row>
    <row r="63" customFormat="false" ht="27.75" hidden="false" customHeight="true" outlineLevel="0" collapsed="false">
      <c r="A63" s="19" t="str">
        <f aca="false">IFERROR(IF(INDEX('Base articles'!$D$2:$D$1153,MATCH(57,'Base articles'!$T$2:$T$1153,0))="","",INDEX('Base articles'!$D$2:$D$1153,MATCH(57,'Base articles'!$T$2:$T$1153,0))),"")</f>
        <v/>
      </c>
      <c r="B63" s="20" t="str">
        <f aca="false">IFERROR(IF(INDEX('Base articles'!$F$2:$F$1153,MATCH(57,'Base articles'!$T$2:$T$1153,0))="","",INDEX('Base articles'!$F$2:$F$1153,MATCH(57,'Base articles'!$T$2:$T$1153,0))),"")</f>
        <v/>
      </c>
      <c r="C63" s="21" t="str">
        <f aca="false">IFERROR(INDEX('Base articles'!$H$2:$H$1153,MATCH(57,'Base articles'!$T$2:$T$1153,0)),"")</f>
        <v/>
      </c>
      <c r="D63" s="20" t="str">
        <f aca="false">IFERROR(IF(INDEX('Base articles'!$G$2:$G$1153,MATCH(57,'Base articles'!$T$2:$T$1153,0))="","",INDEX('Base articles'!$G$2:$G$1153,MATCH(57,'Base articles'!$T$2:$T$1153,0))),"")</f>
        <v/>
      </c>
      <c r="E63" s="19" t="str">
        <f aca="false">IFERROR(IF(INDEX('Base articles'!$K$2:$K$1153,MATCH(57,'Base articles'!$T$2:$T$1153,0))="","",INDEX('Base articles'!$K$2:$K$1153,MATCH(57,'Base articles'!$T$2:$T$1153,0))),"")</f>
        <v/>
      </c>
      <c r="F63" s="20" t="str">
        <f aca="false">IFERROR(IF(INDEX('Base articles'!$M$2:$M$1153,MATCH(57,'Base articles'!$T$2:$T$1153,0))="","",INDEX('Base articles'!$M$2:$M$1153,MATCH(57,'Base articles'!$T$2:$T$1153,0))),"")</f>
        <v/>
      </c>
      <c r="G63" s="22" t="str">
        <f aca="false">IFERROR(IF(INDEX('Base articles'!$N$2:$N$1153,MATCH(57,'Base articles'!$T$2:$T$1153,0))="","",INDEX('Base articles'!$N$2:$N$1153,MATCH(57,'Base articles'!$T$2:$T$1153,0))),"")</f>
        <v/>
      </c>
      <c r="H63" s="19" t="str">
        <f aca="false">IFERROR(IF(INDEX('Base articles'!$P$2:$P$1153,MATCH(57,'Base articles'!$T$2:$T$1153,0))="","",INDEX('Base articles'!$P$2:$P$1153,MATCH(57,'Base articles'!$T$2:$T$1153,0))),"")</f>
        <v/>
      </c>
      <c r="I63" s="19" t="str">
        <f aca="false">IFERROR(IF(INDEX('Base articles'!$Q$2:$Q$1153,MATCH(57,'Base articles'!$T$2:$T$1153,0))="","",INDEX('Base articles'!$Q$2:$Q$1153,MATCH(57,'Base articles'!$T$2:$T$1153,0))),"")</f>
        <v/>
      </c>
      <c r="J63" s="20" t="str">
        <f aca="false">IFERROR(IF(INDEX('Base articles'!$B$2:$B$1153,MATCH(57,'Base articles'!$T$2:$T$1153,0))="","",INDEX('Base articles'!$B$2:$B$1153,MATCH(57,'Base articles'!$T$2:$T$1153,0))),"")</f>
        <v/>
      </c>
    </row>
    <row r="64" customFormat="false" ht="27.75" hidden="false" customHeight="true" outlineLevel="0" collapsed="false">
      <c r="A64" s="23" t="str">
        <f aca="false">IFERROR(IF(INDEX('Base articles'!$D$2:$D$1153,MATCH(58,'Base articles'!$T$2:$T$1153,0))="","",INDEX('Base articles'!$D$2:$D$1153,MATCH(58,'Base articles'!$T$2:$T$1153,0))),"")</f>
        <v/>
      </c>
      <c r="B64" s="24" t="str">
        <f aca="false">IFERROR(IF(INDEX('Base articles'!$F$2:$F$1153,MATCH(58,'Base articles'!$T$2:$T$1153,0))="","",INDEX('Base articles'!$F$2:$F$1153,MATCH(58,'Base articles'!$T$2:$T$1153,0))),"")</f>
        <v/>
      </c>
      <c r="C64" s="25" t="str">
        <f aca="false">IFERROR(INDEX('Base articles'!$H$2:$H$1153,MATCH(58,'Base articles'!$T$2:$T$1153,0)),"")</f>
        <v/>
      </c>
      <c r="D64" s="24" t="str">
        <f aca="false">IFERROR(IF(INDEX('Base articles'!$G$2:$G$1153,MATCH(58,'Base articles'!$T$2:$T$1153,0))="","",INDEX('Base articles'!$G$2:$G$1153,MATCH(58,'Base articles'!$T$2:$T$1153,0))),"")</f>
        <v/>
      </c>
      <c r="E64" s="23" t="str">
        <f aca="false">IFERROR(IF(INDEX('Base articles'!$K$2:$K$1153,MATCH(58,'Base articles'!$T$2:$T$1153,0))="","",INDEX('Base articles'!$K$2:$K$1153,MATCH(58,'Base articles'!$T$2:$T$1153,0))),"")</f>
        <v/>
      </c>
      <c r="F64" s="24" t="str">
        <f aca="false">IFERROR(IF(INDEX('Base articles'!$M$2:$M$1153,MATCH(58,'Base articles'!$T$2:$T$1153,0))="","",INDEX('Base articles'!$M$2:$M$1153,MATCH(58,'Base articles'!$T$2:$T$1153,0))),"")</f>
        <v/>
      </c>
      <c r="G64" s="26" t="str">
        <f aca="false">IFERROR(IF(INDEX('Base articles'!$N$2:$N$1153,MATCH(58,'Base articles'!$T$2:$T$1153,0))="","",INDEX('Base articles'!$N$2:$N$1153,MATCH(58,'Base articles'!$T$2:$T$1153,0))),"")</f>
        <v/>
      </c>
      <c r="H64" s="23" t="str">
        <f aca="false">IFERROR(IF(INDEX('Base articles'!$P$2:$P$1153,MATCH(58,'Base articles'!$T$2:$T$1153,0))="","",INDEX('Base articles'!$P$2:$P$1153,MATCH(58,'Base articles'!$T$2:$T$1153,0))),"")</f>
        <v/>
      </c>
      <c r="I64" s="23" t="str">
        <f aca="false">IFERROR(IF(INDEX('Base articles'!$Q$2:$Q$1153,MATCH(58,'Base articles'!$T$2:$T$1153,0))="","",INDEX('Base articles'!$Q$2:$Q$1153,MATCH(58,'Base articles'!$T$2:$T$1153,0))),"")</f>
        <v/>
      </c>
      <c r="J64" s="24" t="str">
        <f aca="false">IFERROR(IF(INDEX('Base articles'!$B$2:$B$1153,MATCH(58,'Base articles'!$T$2:$T$1153,0))="","",INDEX('Base articles'!$B$2:$B$1153,MATCH(58,'Base articles'!$T$2:$T$1153,0))),"")</f>
        <v/>
      </c>
    </row>
    <row r="65" customFormat="false" ht="27.75" hidden="false" customHeight="true" outlineLevel="0" collapsed="false">
      <c r="A65" s="19" t="str">
        <f aca="false">IFERROR(IF(INDEX('Base articles'!$D$2:$D$1153,MATCH(59,'Base articles'!$T$2:$T$1153,0))="","",INDEX('Base articles'!$D$2:$D$1153,MATCH(59,'Base articles'!$T$2:$T$1153,0))),"")</f>
        <v/>
      </c>
      <c r="B65" s="20" t="str">
        <f aca="false">IFERROR(IF(INDEX('Base articles'!$F$2:$F$1153,MATCH(59,'Base articles'!$T$2:$T$1153,0))="","",INDEX('Base articles'!$F$2:$F$1153,MATCH(59,'Base articles'!$T$2:$T$1153,0))),"")</f>
        <v/>
      </c>
      <c r="C65" s="21" t="str">
        <f aca="false">IFERROR(INDEX('Base articles'!$H$2:$H$1153,MATCH(59,'Base articles'!$T$2:$T$1153,0)),"")</f>
        <v/>
      </c>
      <c r="D65" s="20" t="str">
        <f aca="false">IFERROR(IF(INDEX('Base articles'!$G$2:$G$1153,MATCH(59,'Base articles'!$T$2:$T$1153,0))="","",INDEX('Base articles'!$G$2:$G$1153,MATCH(59,'Base articles'!$T$2:$T$1153,0))),"")</f>
        <v/>
      </c>
      <c r="E65" s="19" t="str">
        <f aca="false">IFERROR(IF(INDEX('Base articles'!$K$2:$K$1153,MATCH(59,'Base articles'!$T$2:$T$1153,0))="","",INDEX('Base articles'!$K$2:$K$1153,MATCH(59,'Base articles'!$T$2:$T$1153,0))),"")</f>
        <v/>
      </c>
      <c r="F65" s="20" t="str">
        <f aca="false">IFERROR(IF(INDEX('Base articles'!$M$2:$M$1153,MATCH(59,'Base articles'!$T$2:$T$1153,0))="","",INDEX('Base articles'!$M$2:$M$1153,MATCH(59,'Base articles'!$T$2:$T$1153,0))),"")</f>
        <v/>
      </c>
      <c r="G65" s="22" t="str">
        <f aca="false">IFERROR(IF(INDEX('Base articles'!$N$2:$N$1153,MATCH(59,'Base articles'!$T$2:$T$1153,0))="","",INDEX('Base articles'!$N$2:$N$1153,MATCH(59,'Base articles'!$T$2:$T$1153,0))),"")</f>
        <v/>
      </c>
      <c r="H65" s="19" t="str">
        <f aca="false">IFERROR(IF(INDEX('Base articles'!$P$2:$P$1153,MATCH(59,'Base articles'!$T$2:$T$1153,0))="","",INDEX('Base articles'!$P$2:$P$1153,MATCH(59,'Base articles'!$T$2:$T$1153,0))),"")</f>
        <v/>
      </c>
      <c r="I65" s="19" t="str">
        <f aca="false">IFERROR(IF(INDEX('Base articles'!$Q$2:$Q$1153,MATCH(59,'Base articles'!$T$2:$T$1153,0))="","",INDEX('Base articles'!$Q$2:$Q$1153,MATCH(59,'Base articles'!$T$2:$T$1153,0))),"")</f>
        <v/>
      </c>
      <c r="J65" s="20" t="str">
        <f aca="false">IFERROR(IF(INDEX('Base articles'!$B$2:$B$1153,MATCH(59,'Base articles'!$T$2:$T$1153,0))="","",INDEX('Base articles'!$B$2:$B$1153,MATCH(59,'Base articles'!$T$2:$T$1153,0))),"")</f>
        <v/>
      </c>
    </row>
    <row r="66" customFormat="false" ht="27.75" hidden="false" customHeight="true" outlineLevel="0" collapsed="false">
      <c r="A66" s="23" t="str">
        <f aca="false">IFERROR(IF(INDEX('Base articles'!$D$2:$D$1153,MATCH(60,'Base articles'!$T$2:$T$1153,0))="","",INDEX('Base articles'!$D$2:$D$1153,MATCH(60,'Base articles'!$T$2:$T$1153,0))),"")</f>
        <v/>
      </c>
      <c r="B66" s="24" t="str">
        <f aca="false">IFERROR(IF(INDEX('Base articles'!$F$2:$F$1153,MATCH(60,'Base articles'!$T$2:$T$1153,0))="","",INDEX('Base articles'!$F$2:$F$1153,MATCH(60,'Base articles'!$T$2:$T$1153,0))),"")</f>
        <v/>
      </c>
      <c r="C66" s="25" t="str">
        <f aca="false">IFERROR(INDEX('Base articles'!$H$2:$H$1153,MATCH(60,'Base articles'!$T$2:$T$1153,0)),"")</f>
        <v/>
      </c>
      <c r="D66" s="24" t="str">
        <f aca="false">IFERROR(IF(INDEX('Base articles'!$G$2:$G$1153,MATCH(60,'Base articles'!$T$2:$T$1153,0))="","",INDEX('Base articles'!$G$2:$G$1153,MATCH(60,'Base articles'!$T$2:$T$1153,0))),"")</f>
        <v/>
      </c>
      <c r="E66" s="23" t="str">
        <f aca="false">IFERROR(IF(INDEX('Base articles'!$K$2:$K$1153,MATCH(60,'Base articles'!$T$2:$T$1153,0))="","",INDEX('Base articles'!$K$2:$K$1153,MATCH(60,'Base articles'!$T$2:$T$1153,0))),"")</f>
        <v/>
      </c>
      <c r="F66" s="24" t="str">
        <f aca="false">IFERROR(IF(INDEX('Base articles'!$M$2:$M$1153,MATCH(60,'Base articles'!$T$2:$T$1153,0))="","",INDEX('Base articles'!$M$2:$M$1153,MATCH(60,'Base articles'!$T$2:$T$1153,0))),"")</f>
        <v/>
      </c>
      <c r="G66" s="26" t="str">
        <f aca="false">IFERROR(IF(INDEX('Base articles'!$N$2:$N$1153,MATCH(60,'Base articles'!$T$2:$T$1153,0))="","",INDEX('Base articles'!$N$2:$N$1153,MATCH(60,'Base articles'!$T$2:$T$1153,0))),"")</f>
        <v/>
      </c>
      <c r="H66" s="23" t="str">
        <f aca="false">IFERROR(IF(INDEX('Base articles'!$P$2:$P$1153,MATCH(60,'Base articles'!$T$2:$T$1153,0))="","",INDEX('Base articles'!$P$2:$P$1153,MATCH(60,'Base articles'!$T$2:$T$1153,0))),"")</f>
        <v/>
      </c>
      <c r="I66" s="23" t="str">
        <f aca="false">IFERROR(IF(INDEX('Base articles'!$Q$2:$Q$1153,MATCH(60,'Base articles'!$T$2:$T$1153,0))="","",INDEX('Base articles'!$Q$2:$Q$1153,MATCH(60,'Base articles'!$T$2:$T$1153,0))),"")</f>
        <v/>
      </c>
      <c r="J66" s="24" t="str">
        <f aca="false">IFERROR(IF(INDEX('Base articles'!$B$2:$B$1153,MATCH(60,'Base articles'!$T$2:$T$1153,0))="","",INDEX('Base articles'!$B$2:$B$1153,MATCH(60,'Base articles'!$T$2:$T$1153,0))),"")</f>
        <v/>
      </c>
    </row>
    <row r="67" customFormat="false" ht="27.75" hidden="false" customHeight="true" outlineLevel="0" collapsed="false">
      <c r="A67" s="19" t="str">
        <f aca="false">IFERROR(IF(INDEX('Base articles'!$D$2:$D$1153,MATCH(61,'Base articles'!$T$2:$T$1153,0))="","",INDEX('Base articles'!$D$2:$D$1153,MATCH(61,'Base articles'!$T$2:$T$1153,0))),"")</f>
        <v/>
      </c>
      <c r="B67" s="20" t="str">
        <f aca="false">IFERROR(IF(INDEX('Base articles'!$F$2:$F$1153,MATCH(61,'Base articles'!$T$2:$T$1153,0))="","",INDEX('Base articles'!$F$2:$F$1153,MATCH(61,'Base articles'!$T$2:$T$1153,0))),"")</f>
        <v/>
      </c>
      <c r="C67" s="21" t="str">
        <f aca="false">IFERROR(INDEX('Base articles'!$H$2:$H$1153,MATCH(61,'Base articles'!$T$2:$T$1153,0)),"")</f>
        <v/>
      </c>
      <c r="D67" s="20" t="str">
        <f aca="false">IFERROR(IF(INDEX('Base articles'!$G$2:$G$1153,MATCH(61,'Base articles'!$T$2:$T$1153,0))="","",INDEX('Base articles'!$G$2:$G$1153,MATCH(61,'Base articles'!$T$2:$T$1153,0))),"")</f>
        <v/>
      </c>
      <c r="E67" s="19" t="str">
        <f aca="false">IFERROR(IF(INDEX('Base articles'!$K$2:$K$1153,MATCH(61,'Base articles'!$T$2:$T$1153,0))="","",INDEX('Base articles'!$K$2:$K$1153,MATCH(61,'Base articles'!$T$2:$T$1153,0))),"")</f>
        <v/>
      </c>
      <c r="F67" s="20" t="str">
        <f aca="false">IFERROR(IF(INDEX('Base articles'!$M$2:$M$1153,MATCH(61,'Base articles'!$T$2:$T$1153,0))="","",INDEX('Base articles'!$M$2:$M$1153,MATCH(61,'Base articles'!$T$2:$T$1153,0))),"")</f>
        <v/>
      </c>
      <c r="G67" s="22" t="str">
        <f aca="false">IFERROR(IF(INDEX('Base articles'!$N$2:$N$1153,MATCH(61,'Base articles'!$T$2:$T$1153,0))="","",INDEX('Base articles'!$N$2:$N$1153,MATCH(61,'Base articles'!$T$2:$T$1153,0))),"")</f>
        <v/>
      </c>
      <c r="H67" s="19" t="str">
        <f aca="false">IFERROR(IF(INDEX('Base articles'!$P$2:$P$1153,MATCH(61,'Base articles'!$T$2:$T$1153,0))="","",INDEX('Base articles'!$P$2:$P$1153,MATCH(61,'Base articles'!$T$2:$T$1153,0))),"")</f>
        <v/>
      </c>
      <c r="I67" s="19" t="str">
        <f aca="false">IFERROR(IF(INDEX('Base articles'!$Q$2:$Q$1153,MATCH(61,'Base articles'!$T$2:$T$1153,0))="","",INDEX('Base articles'!$Q$2:$Q$1153,MATCH(61,'Base articles'!$T$2:$T$1153,0))),"")</f>
        <v/>
      </c>
      <c r="J67" s="20" t="str">
        <f aca="false">IFERROR(IF(INDEX('Base articles'!$B$2:$B$1153,MATCH(61,'Base articles'!$T$2:$T$1153,0))="","",INDEX('Base articles'!$B$2:$B$1153,MATCH(61,'Base articles'!$T$2:$T$1153,0))),"")</f>
        <v/>
      </c>
    </row>
    <row r="68" customFormat="false" ht="27.75" hidden="false" customHeight="true" outlineLevel="0" collapsed="false">
      <c r="A68" s="23" t="str">
        <f aca="false">IFERROR(IF(INDEX('Base articles'!$D$2:$D$1153,MATCH(62,'Base articles'!$T$2:$T$1153,0))="","",INDEX('Base articles'!$D$2:$D$1153,MATCH(62,'Base articles'!$T$2:$T$1153,0))),"")</f>
        <v/>
      </c>
      <c r="B68" s="24" t="str">
        <f aca="false">IFERROR(IF(INDEX('Base articles'!$F$2:$F$1153,MATCH(62,'Base articles'!$T$2:$T$1153,0))="","",INDEX('Base articles'!$F$2:$F$1153,MATCH(62,'Base articles'!$T$2:$T$1153,0))),"")</f>
        <v/>
      </c>
      <c r="C68" s="25" t="str">
        <f aca="false">IFERROR(INDEX('Base articles'!$H$2:$H$1153,MATCH(62,'Base articles'!$T$2:$T$1153,0)),"")</f>
        <v/>
      </c>
      <c r="D68" s="24" t="str">
        <f aca="false">IFERROR(IF(INDEX('Base articles'!$G$2:$G$1153,MATCH(62,'Base articles'!$T$2:$T$1153,0))="","",INDEX('Base articles'!$G$2:$G$1153,MATCH(62,'Base articles'!$T$2:$T$1153,0))),"")</f>
        <v/>
      </c>
      <c r="E68" s="23" t="str">
        <f aca="false">IFERROR(IF(INDEX('Base articles'!$K$2:$K$1153,MATCH(62,'Base articles'!$T$2:$T$1153,0))="","",INDEX('Base articles'!$K$2:$K$1153,MATCH(62,'Base articles'!$T$2:$T$1153,0))),"")</f>
        <v/>
      </c>
      <c r="F68" s="24" t="str">
        <f aca="false">IFERROR(IF(INDEX('Base articles'!$M$2:$M$1153,MATCH(62,'Base articles'!$T$2:$T$1153,0))="","",INDEX('Base articles'!$M$2:$M$1153,MATCH(62,'Base articles'!$T$2:$T$1153,0))),"")</f>
        <v/>
      </c>
      <c r="G68" s="26" t="str">
        <f aca="false">IFERROR(IF(INDEX('Base articles'!$N$2:$N$1153,MATCH(62,'Base articles'!$T$2:$T$1153,0))="","",INDEX('Base articles'!$N$2:$N$1153,MATCH(62,'Base articles'!$T$2:$T$1153,0))),"")</f>
        <v/>
      </c>
      <c r="H68" s="23" t="str">
        <f aca="false">IFERROR(IF(INDEX('Base articles'!$P$2:$P$1153,MATCH(62,'Base articles'!$T$2:$T$1153,0))="","",INDEX('Base articles'!$P$2:$P$1153,MATCH(62,'Base articles'!$T$2:$T$1153,0))),"")</f>
        <v/>
      </c>
      <c r="I68" s="23" t="str">
        <f aca="false">IFERROR(IF(INDEX('Base articles'!$Q$2:$Q$1153,MATCH(62,'Base articles'!$T$2:$T$1153,0))="","",INDEX('Base articles'!$Q$2:$Q$1153,MATCH(62,'Base articles'!$T$2:$T$1153,0))),"")</f>
        <v/>
      </c>
      <c r="J68" s="24" t="str">
        <f aca="false">IFERROR(IF(INDEX('Base articles'!$B$2:$B$1153,MATCH(62,'Base articles'!$T$2:$T$1153,0))="","",INDEX('Base articles'!$B$2:$B$1153,MATCH(62,'Base articles'!$T$2:$T$1153,0))),"")</f>
        <v/>
      </c>
    </row>
    <row r="69" customFormat="false" ht="27.75" hidden="false" customHeight="true" outlineLevel="0" collapsed="false">
      <c r="A69" s="19" t="str">
        <f aca="false">IFERROR(IF(INDEX('Base articles'!$D$2:$D$1153,MATCH(63,'Base articles'!$T$2:$T$1153,0))="","",INDEX('Base articles'!$D$2:$D$1153,MATCH(63,'Base articles'!$T$2:$T$1153,0))),"")</f>
        <v/>
      </c>
      <c r="B69" s="20" t="str">
        <f aca="false">IFERROR(IF(INDEX('Base articles'!$F$2:$F$1153,MATCH(63,'Base articles'!$T$2:$T$1153,0))="","",INDEX('Base articles'!$F$2:$F$1153,MATCH(63,'Base articles'!$T$2:$T$1153,0))),"")</f>
        <v/>
      </c>
      <c r="C69" s="21" t="str">
        <f aca="false">IFERROR(INDEX('Base articles'!$H$2:$H$1153,MATCH(63,'Base articles'!$T$2:$T$1153,0)),"")</f>
        <v/>
      </c>
      <c r="D69" s="20" t="str">
        <f aca="false">IFERROR(IF(INDEX('Base articles'!$G$2:$G$1153,MATCH(63,'Base articles'!$T$2:$T$1153,0))="","",INDEX('Base articles'!$G$2:$G$1153,MATCH(63,'Base articles'!$T$2:$T$1153,0))),"")</f>
        <v/>
      </c>
      <c r="E69" s="19" t="str">
        <f aca="false">IFERROR(IF(INDEX('Base articles'!$K$2:$K$1153,MATCH(63,'Base articles'!$T$2:$T$1153,0))="","",INDEX('Base articles'!$K$2:$K$1153,MATCH(63,'Base articles'!$T$2:$T$1153,0))),"")</f>
        <v/>
      </c>
      <c r="F69" s="20" t="str">
        <f aca="false">IFERROR(IF(INDEX('Base articles'!$M$2:$M$1153,MATCH(63,'Base articles'!$T$2:$T$1153,0))="","",INDEX('Base articles'!$M$2:$M$1153,MATCH(63,'Base articles'!$T$2:$T$1153,0))),"")</f>
        <v/>
      </c>
      <c r="G69" s="22" t="str">
        <f aca="false">IFERROR(IF(INDEX('Base articles'!$N$2:$N$1153,MATCH(63,'Base articles'!$T$2:$T$1153,0))="","",INDEX('Base articles'!$N$2:$N$1153,MATCH(63,'Base articles'!$T$2:$T$1153,0))),"")</f>
        <v/>
      </c>
      <c r="H69" s="19" t="str">
        <f aca="false">IFERROR(IF(INDEX('Base articles'!$P$2:$P$1153,MATCH(63,'Base articles'!$T$2:$T$1153,0))="","",INDEX('Base articles'!$P$2:$P$1153,MATCH(63,'Base articles'!$T$2:$T$1153,0))),"")</f>
        <v/>
      </c>
      <c r="I69" s="19" t="str">
        <f aca="false">IFERROR(IF(INDEX('Base articles'!$Q$2:$Q$1153,MATCH(63,'Base articles'!$T$2:$T$1153,0))="","",INDEX('Base articles'!$Q$2:$Q$1153,MATCH(63,'Base articles'!$T$2:$T$1153,0))),"")</f>
        <v/>
      </c>
      <c r="J69" s="20" t="str">
        <f aca="false">IFERROR(IF(INDEX('Base articles'!$B$2:$B$1153,MATCH(63,'Base articles'!$T$2:$T$1153,0))="","",INDEX('Base articles'!$B$2:$B$1153,MATCH(63,'Base articles'!$T$2:$T$1153,0))),"")</f>
        <v/>
      </c>
    </row>
    <row r="70" customFormat="false" ht="27.75" hidden="false" customHeight="true" outlineLevel="0" collapsed="false">
      <c r="A70" s="23" t="str">
        <f aca="false">IFERROR(IF(INDEX('Base articles'!$D$2:$D$1153,MATCH(64,'Base articles'!$T$2:$T$1153,0))="","",INDEX('Base articles'!$D$2:$D$1153,MATCH(64,'Base articles'!$T$2:$T$1153,0))),"")</f>
        <v/>
      </c>
      <c r="B70" s="24" t="str">
        <f aca="false">IFERROR(IF(INDEX('Base articles'!$F$2:$F$1153,MATCH(64,'Base articles'!$T$2:$T$1153,0))="","",INDEX('Base articles'!$F$2:$F$1153,MATCH(64,'Base articles'!$T$2:$T$1153,0))),"")</f>
        <v/>
      </c>
      <c r="C70" s="25" t="str">
        <f aca="false">IFERROR(INDEX('Base articles'!$H$2:$H$1153,MATCH(64,'Base articles'!$T$2:$T$1153,0)),"")</f>
        <v/>
      </c>
      <c r="D70" s="24" t="str">
        <f aca="false">IFERROR(IF(INDEX('Base articles'!$G$2:$G$1153,MATCH(64,'Base articles'!$T$2:$T$1153,0))="","",INDEX('Base articles'!$G$2:$G$1153,MATCH(64,'Base articles'!$T$2:$T$1153,0))),"")</f>
        <v/>
      </c>
      <c r="E70" s="23" t="str">
        <f aca="false">IFERROR(IF(INDEX('Base articles'!$K$2:$K$1153,MATCH(64,'Base articles'!$T$2:$T$1153,0))="","",INDEX('Base articles'!$K$2:$K$1153,MATCH(64,'Base articles'!$T$2:$T$1153,0))),"")</f>
        <v/>
      </c>
      <c r="F70" s="24" t="str">
        <f aca="false">IFERROR(IF(INDEX('Base articles'!$M$2:$M$1153,MATCH(64,'Base articles'!$T$2:$T$1153,0))="","",INDEX('Base articles'!$M$2:$M$1153,MATCH(64,'Base articles'!$T$2:$T$1153,0))),"")</f>
        <v/>
      </c>
      <c r="G70" s="26" t="str">
        <f aca="false">IFERROR(IF(INDEX('Base articles'!$N$2:$N$1153,MATCH(64,'Base articles'!$T$2:$T$1153,0))="","",INDEX('Base articles'!$N$2:$N$1153,MATCH(64,'Base articles'!$T$2:$T$1153,0))),"")</f>
        <v/>
      </c>
      <c r="H70" s="23" t="str">
        <f aca="false">IFERROR(IF(INDEX('Base articles'!$P$2:$P$1153,MATCH(64,'Base articles'!$T$2:$T$1153,0))="","",INDEX('Base articles'!$P$2:$P$1153,MATCH(64,'Base articles'!$T$2:$T$1153,0))),"")</f>
        <v/>
      </c>
      <c r="I70" s="23" t="str">
        <f aca="false">IFERROR(IF(INDEX('Base articles'!$Q$2:$Q$1153,MATCH(64,'Base articles'!$T$2:$T$1153,0))="","",INDEX('Base articles'!$Q$2:$Q$1153,MATCH(64,'Base articles'!$T$2:$T$1153,0))),"")</f>
        <v/>
      </c>
      <c r="J70" s="24" t="str">
        <f aca="false">IFERROR(IF(INDEX('Base articles'!$B$2:$B$1153,MATCH(64,'Base articles'!$T$2:$T$1153,0))="","",INDEX('Base articles'!$B$2:$B$1153,MATCH(64,'Base articles'!$T$2:$T$1153,0))),"")</f>
        <v/>
      </c>
    </row>
    <row r="71" customFormat="false" ht="27.75" hidden="false" customHeight="true" outlineLevel="0" collapsed="false">
      <c r="A71" s="19" t="str">
        <f aca="false">IFERROR(IF(INDEX('Base articles'!$D$2:$D$1153,MATCH(65,'Base articles'!$T$2:$T$1153,0))="","",INDEX('Base articles'!$D$2:$D$1153,MATCH(65,'Base articles'!$T$2:$T$1153,0))),"")</f>
        <v/>
      </c>
      <c r="B71" s="20" t="str">
        <f aca="false">IFERROR(IF(INDEX('Base articles'!$F$2:$F$1153,MATCH(65,'Base articles'!$T$2:$T$1153,0))="","",INDEX('Base articles'!$F$2:$F$1153,MATCH(65,'Base articles'!$T$2:$T$1153,0))),"")</f>
        <v/>
      </c>
      <c r="C71" s="21" t="str">
        <f aca="false">IFERROR(INDEX('Base articles'!$H$2:$H$1153,MATCH(65,'Base articles'!$T$2:$T$1153,0)),"")</f>
        <v/>
      </c>
      <c r="D71" s="20" t="str">
        <f aca="false">IFERROR(IF(INDEX('Base articles'!$G$2:$G$1153,MATCH(65,'Base articles'!$T$2:$T$1153,0))="","",INDEX('Base articles'!$G$2:$G$1153,MATCH(65,'Base articles'!$T$2:$T$1153,0))),"")</f>
        <v/>
      </c>
      <c r="E71" s="19" t="str">
        <f aca="false">IFERROR(IF(INDEX('Base articles'!$K$2:$K$1153,MATCH(65,'Base articles'!$T$2:$T$1153,0))="","",INDEX('Base articles'!$K$2:$K$1153,MATCH(65,'Base articles'!$T$2:$T$1153,0))),"")</f>
        <v/>
      </c>
      <c r="F71" s="20" t="str">
        <f aca="false">IFERROR(IF(INDEX('Base articles'!$M$2:$M$1153,MATCH(65,'Base articles'!$T$2:$T$1153,0))="","",INDEX('Base articles'!$M$2:$M$1153,MATCH(65,'Base articles'!$T$2:$T$1153,0))),"")</f>
        <v/>
      </c>
      <c r="G71" s="22" t="str">
        <f aca="false">IFERROR(IF(INDEX('Base articles'!$N$2:$N$1153,MATCH(65,'Base articles'!$T$2:$T$1153,0))="","",INDEX('Base articles'!$N$2:$N$1153,MATCH(65,'Base articles'!$T$2:$T$1153,0))),"")</f>
        <v/>
      </c>
      <c r="H71" s="19" t="str">
        <f aca="false">IFERROR(IF(INDEX('Base articles'!$P$2:$P$1153,MATCH(65,'Base articles'!$T$2:$T$1153,0))="","",INDEX('Base articles'!$P$2:$P$1153,MATCH(65,'Base articles'!$T$2:$T$1153,0))),"")</f>
        <v/>
      </c>
      <c r="I71" s="19" t="str">
        <f aca="false">IFERROR(IF(INDEX('Base articles'!$Q$2:$Q$1153,MATCH(65,'Base articles'!$T$2:$T$1153,0))="","",INDEX('Base articles'!$Q$2:$Q$1153,MATCH(65,'Base articles'!$T$2:$T$1153,0))),"")</f>
        <v/>
      </c>
      <c r="J71" s="20" t="str">
        <f aca="false">IFERROR(IF(INDEX('Base articles'!$B$2:$B$1153,MATCH(65,'Base articles'!$T$2:$T$1153,0))="","",INDEX('Base articles'!$B$2:$B$1153,MATCH(65,'Base articles'!$T$2:$T$1153,0))),"")</f>
        <v/>
      </c>
    </row>
    <row r="72" customFormat="false" ht="27.75" hidden="false" customHeight="true" outlineLevel="0" collapsed="false">
      <c r="A72" s="23" t="str">
        <f aca="false">IFERROR(IF(INDEX('Base articles'!$D$2:$D$1153,MATCH(66,'Base articles'!$T$2:$T$1153,0))="","",INDEX('Base articles'!$D$2:$D$1153,MATCH(66,'Base articles'!$T$2:$T$1153,0))),"")</f>
        <v/>
      </c>
      <c r="B72" s="24" t="str">
        <f aca="false">IFERROR(IF(INDEX('Base articles'!$F$2:$F$1153,MATCH(66,'Base articles'!$T$2:$T$1153,0))="","",INDEX('Base articles'!$F$2:$F$1153,MATCH(66,'Base articles'!$T$2:$T$1153,0))),"")</f>
        <v/>
      </c>
      <c r="C72" s="25" t="str">
        <f aca="false">IFERROR(INDEX('Base articles'!$H$2:$H$1153,MATCH(66,'Base articles'!$T$2:$T$1153,0)),"")</f>
        <v/>
      </c>
      <c r="D72" s="24" t="str">
        <f aca="false">IFERROR(IF(INDEX('Base articles'!$G$2:$G$1153,MATCH(66,'Base articles'!$T$2:$T$1153,0))="","",INDEX('Base articles'!$G$2:$G$1153,MATCH(66,'Base articles'!$T$2:$T$1153,0))),"")</f>
        <v/>
      </c>
      <c r="E72" s="23" t="str">
        <f aca="false">IFERROR(IF(INDEX('Base articles'!$K$2:$K$1153,MATCH(66,'Base articles'!$T$2:$T$1153,0))="","",INDEX('Base articles'!$K$2:$K$1153,MATCH(66,'Base articles'!$T$2:$T$1153,0))),"")</f>
        <v/>
      </c>
      <c r="F72" s="24" t="str">
        <f aca="false">IFERROR(IF(INDEX('Base articles'!$M$2:$M$1153,MATCH(66,'Base articles'!$T$2:$T$1153,0))="","",INDEX('Base articles'!$M$2:$M$1153,MATCH(66,'Base articles'!$T$2:$T$1153,0))),"")</f>
        <v/>
      </c>
      <c r="G72" s="26" t="str">
        <f aca="false">IFERROR(IF(INDEX('Base articles'!$N$2:$N$1153,MATCH(66,'Base articles'!$T$2:$T$1153,0))="","",INDEX('Base articles'!$N$2:$N$1153,MATCH(66,'Base articles'!$T$2:$T$1153,0))),"")</f>
        <v/>
      </c>
      <c r="H72" s="23" t="str">
        <f aca="false">IFERROR(IF(INDEX('Base articles'!$P$2:$P$1153,MATCH(66,'Base articles'!$T$2:$T$1153,0))="","",INDEX('Base articles'!$P$2:$P$1153,MATCH(66,'Base articles'!$T$2:$T$1153,0))),"")</f>
        <v/>
      </c>
      <c r="I72" s="23" t="str">
        <f aca="false">IFERROR(IF(INDEX('Base articles'!$Q$2:$Q$1153,MATCH(66,'Base articles'!$T$2:$T$1153,0))="","",INDEX('Base articles'!$Q$2:$Q$1153,MATCH(66,'Base articles'!$T$2:$T$1153,0))),"")</f>
        <v/>
      </c>
      <c r="J72" s="24" t="str">
        <f aca="false">IFERROR(IF(INDEX('Base articles'!$B$2:$B$1153,MATCH(66,'Base articles'!$T$2:$T$1153,0))="","",INDEX('Base articles'!$B$2:$B$1153,MATCH(66,'Base articles'!$T$2:$T$1153,0))),"")</f>
        <v/>
      </c>
    </row>
    <row r="73" customFormat="false" ht="27.75" hidden="false" customHeight="true" outlineLevel="0" collapsed="false">
      <c r="A73" s="19" t="str">
        <f aca="false">IFERROR(IF(INDEX('Base articles'!$D$2:$D$1153,MATCH(67,'Base articles'!$T$2:$T$1153,0))="","",INDEX('Base articles'!$D$2:$D$1153,MATCH(67,'Base articles'!$T$2:$T$1153,0))),"")</f>
        <v/>
      </c>
      <c r="B73" s="20" t="str">
        <f aca="false">IFERROR(IF(INDEX('Base articles'!$F$2:$F$1153,MATCH(67,'Base articles'!$T$2:$T$1153,0))="","",INDEX('Base articles'!$F$2:$F$1153,MATCH(67,'Base articles'!$T$2:$T$1153,0))),"")</f>
        <v/>
      </c>
      <c r="C73" s="21" t="str">
        <f aca="false">IFERROR(INDEX('Base articles'!$H$2:$H$1153,MATCH(67,'Base articles'!$T$2:$T$1153,0)),"")</f>
        <v/>
      </c>
      <c r="D73" s="20" t="str">
        <f aca="false">IFERROR(IF(INDEX('Base articles'!$G$2:$G$1153,MATCH(67,'Base articles'!$T$2:$T$1153,0))="","",INDEX('Base articles'!$G$2:$G$1153,MATCH(67,'Base articles'!$T$2:$T$1153,0))),"")</f>
        <v/>
      </c>
      <c r="E73" s="19" t="str">
        <f aca="false">IFERROR(IF(INDEX('Base articles'!$K$2:$K$1153,MATCH(67,'Base articles'!$T$2:$T$1153,0))="","",INDEX('Base articles'!$K$2:$K$1153,MATCH(67,'Base articles'!$T$2:$T$1153,0))),"")</f>
        <v/>
      </c>
      <c r="F73" s="20" t="str">
        <f aca="false">IFERROR(IF(INDEX('Base articles'!$M$2:$M$1153,MATCH(67,'Base articles'!$T$2:$T$1153,0))="","",INDEX('Base articles'!$M$2:$M$1153,MATCH(67,'Base articles'!$T$2:$T$1153,0))),"")</f>
        <v/>
      </c>
      <c r="G73" s="22" t="str">
        <f aca="false">IFERROR(IF(INDEX('Base articles'!$N$2:$N$1153,MATCH(67,'Base articles'!$T$2:$T$1153,0))="","",INDEX('Base articles'!$N$2:$N$1153,MATCH(67,'Base articles'!$T$2:$T$1153,0))),"")</f>
        <v/>
      </c>
      <c r="H73" s="19" t="str">
        <f aca="false">IFERROR(IF(INDEX('Base articles'!$P$2:$P$1153,MATCH(67,'Base articles'!$T$2:$T$1153,0))="","",INDEX('Base articles'!$P$2:$P$1153,MATCH(67,'Base articles'!$T$2:$T$1153,0))),"")</f>
        <v/>
      </c>
      <c r="I73" s="19" t="str">
        <f aca="false">IFERROR(IF(INDEX('Base articles'!$Q$2:$Q$1153,MATCH(67,'Base articles'!$T$2:$T$1153,0))="","",INDEX('Base articles'!$Q$2:$Q$1153,MATCH(67,'Base articles'!$T$2:$T$1153,0))),"")</f>
        <v/>
      </c>
      <c r="J73" s="20" t="str">
        <f aca="false">IFERROR(IF(INDEX('Base articles'!$B$2:$B$1153,MATCH(67,'Base articles'!$T$2:$T$1153,0))="","",INDEX('Base articles'!$B$2:$B$1153,MATCH(67,'Base articles'!$T$2:$T$1153,0))),"")</f>
        <v/>
      </c>
    </row>
    <row r="74" customFormat="false" ht="27.75" hidden="false" customHeight="true" outlineLevel="0" collapsed="false">
      <c r="A74" s="23" t="str">
        <f aca="false">IFERROR(IF(INDEX('Base articles'!$D$2:$D$1153,MATCH(68,'Base articles'!$T$2:$T$1153,0))="","",INDEX('Base articles'!$D$2:$D$1153,MATCH(68,'Base articles'!$T$2:$T$1153,0))),"")</f>
        <v/>
      </c>
      <c r="B74" s="24" t="str">
        <f aca="false">IFERROR(IF(INDEX('Base articles'!$F$2:$F$1153,MATCH(68,'Base articles'!$T$2:$T$1153,0))="","",INDEX('Base articles'!$F$2:$F$1153,MATCH(68,'Base articles'!$T$2:$T$1153,0))),"")</f>
        <v/>
      </c>
      <c r="C74" s="25" t="str">
        <f aca="false">IFERROR(INDEX('Base articles'!$H$2:$H$1153,MATCH(68,'Base articles'!$T$2:$T$1153,0)),"")</f>
        <v/>
      </c>
      <c r="D74" s="24" t="str">
        <f aca="false">IFERROR(IF(INDEX('Base articles'!$G$2:$G$1153,MATCH(68,'Base articles'!$T$2:$T$1153,0))="","",INDEX('Base articles'!$G$2:$G$1153,MATCH(68,'Base articles'!$T$2:$T$1153,0))),"")</f>
        <v/>
      </c>
      <c r="E74" s="23" t="str">
        <f aca="false">IFERROR(IF(INDEX('Base articles'!$K$2:$K$1153,MATCH(68,'Base articles'!$T$2:$T$1153,0))="","",INDEX('Base articles'!$K$2:$K$1153,MATCH(68,'Base articles'!$T$2:$T$1153,0))),"")</f>
        <v/>
      </c>
      <c r="F74" s="24" t="str">
        <f aca="false">IFERROR(IF(INDEX('Base articles'!$M$2:$M$1153,MATCH(68,'Base articles'!$T$2:$T$1153,0))="","",INDEX('Base articles'!$M$2:$M$1153,MATCH(68,'Base articles'!$T$2:$T$1153,0))),"")</f>
        <v/>
      </c>
      <c r="G74" s="26" t="str">
        <f aca="false">IFERROR(IF(INDEX('Base articles'!$N$2:$N$1153,MATCH(68,'Base articles'!$T$2:$T$1153,0))="","",INDEX('Base articles'!$N$2:$N$1153,MATCH(68,'Base articles'!$T$2:$T$1153,0))),"")</f>
        <v/>
      </c>
      <c r="H74" s="23" t="str">
        <f aca="false">IFERROR(IF(INDEX('Base articles'!$P$2:$P$1153,MATCH(68,'Base articles'!$T$2:$T$1153,0))="","",INDEX('Base articles'!$P$2:$P$1153,MATCH(68,'Base articles'!$T$2:$T$1153,0))),"")</f>
        <v/>
      </c>
      <c r="I74" s="23" t="str">
        <f aca="false">IFERROR(IF(INDEX('Base articles'!$Q$2:$Q$1153,MATCH(68,'Base articles'!$T$2:$T$1153,0))="","",INDEX('Base articles'!$Q$2:$Q$1153,MATCH(68,'Base articles'!$T$2:$T$1153,0))),"")</f>
        <v/>
      </c>
      <c r="J74" s="24" t="str">
        <f aca="false">IFERROR(IF(INDEX('Base articles'!$B$2:$B$1153,MATCH(68,'Base articles'!$T$2:$T$1153,0))="","",INDEX('Base articles'!$B$2:$B$1153,MATCH(68,'Base articles'!$T$2:$T$1153,0))),"")</f>
        <v/>
      </c>
    </row>
    <row r="75" customFormat="false" ht="27.75" hidden="false" customHeight="true" outlineLevel="0" collapsed="false">
      <c r="A75" s="19" t="str">
        <f aca="false">IFERROR(IF(INDEX('Base articles'!$D$2:$D$1153,MATCH(69,'Base articles'!$T$2:$T$1153,0))="","",INDEX('Base articles'!$D$2:$D$1153,MATCH(69,'Base articles'!$T$2:$T$1153,0))),"")</f>
        <v/>
      </c>
      <c r="B75" s="20" t="str">
        <f aca="false">IFERROR(IF(INDEX('Base articles'!$F$2:$F$1153,MATCH(69,'Base articles'!$T$2:$T$1153,0))="","",INDEX('Base articles'!$F$2:$F$1153,MATCH(69,'Base articles'!$T$2:$T$1153,0))),"")</f>
        <v/>
      </c>
      <c r="C75" s="21" t="str">
        <f aca="false">IFERROR(INDEX('Base articles'!$H$2:$H$1153,MATCH(69,'Base articles'!$T$2:$T$1153,0)),"")</f>
        <v/>
      </c>
      <c r="D75" s="20" t="str">
        <f aca="false">IFERROR(IF(INDEX('Base articles'!$G$2:$G$1153,MATCH(69,'Base articles'!$T$2:$T$1153,0))="","",INDEX('Base articles'!$G$2:$G$1153,MATCH(69,'Base articles'!$T$2:$T$1153,0))),"")</f>
        <v/>
      </c>
      <c r="E75" s="19" t="str">
        <f aca="false">IFERROR(IF(INDEX('Base articles'!$K$2:$K$1153,MATCH(69,'Base articles'!$T$2:$T$1153,0))="","",INDEX('Base articles'!$K$2:$K$1153,MATCH(69,'Base articles'!$T$2:$T$1153,0))),"")</f>
        <v/>
      </c>
      <c r="F75" s="20" t="str">
        <f aca="false">IFERROR(IF(INDEX('Base articles'!$M$2:$M$1153,MATCH(69,'Base articles'!$T$2:$T$1153,0))="","",INDEX('Base articles'!$M$2:$M$1153,MATCH(69,'Base articles'!$T$2:$T$1153,0))),"")</f>
        <v/>
      </c>
      <c r="G75" s="22" t="str">
        <f aca="false">IFERROR(IF(INDEX('Base articles'!$N$2:$N$1153,MATCH(69,'Base articles'!$T$2:$T$1153,0))="","",INDEX('Base articles'!$N$2:$N$1153,MATCH(69,'Base articles'!$T$2:$T$1153,0))),"")</f>
        <v/>
      </c>
      <c r="H75" s="19" t="str">
        <f aca="false">IFERROR(IF(INDEX('Base articles'!$P$2:$P$1153,MATCH(69,'Base articles'!$T$2:$T$1153,0))="","",INDEX('Base articles'!$P$2:$P$1153,MATCH(69,'Base articles'!$T$2:$T$1153,0))),"")</f>
        <v/>
      </c>
      <c r="I75" s="19" t="str">
        <f aca="false">IFERROR(IF(INDEX('Base articles'!$Q$2:$Q$1153,MATCH(69,'Base articles'!$T$2:$T$1153,0))="","",INDEX('Base articles'!$Q$2:$Q$1153,MATCH(69,'Base articles'!$T$2:$T$1153,0))),"")</f>
        <v/>
      </c>
      <c r="J75" s="20" t="str">
        <f aca="false">IFERROR(IF(INDEX('Base articles'!$B$2:$B$1153,MATCH(69,'Base articles'!$T$2:$T$1153,0))="","",INDEX('Base articles'!$B$2:$B$1153,MATCH(69,'Base articles'!$T$2:$T$1153,0))),"")</f>
        <v/>
      </c>
    </row>
    <row r="76" customFormat="false" ht="27.75" hidden="false" customHeight="true" outlineLevel="0" collapsed="false">
      <c r="A76" s="23" t="str">
        <f aca="false">IFERROR(IF(INDEX('Base articles'!$D$2:$D$1153,MATCH(70,'Base articles'!$T$2:$T$1153,0))="","",INDEX('Base articles'!$D$2:$D$1153,MATCH(70,'Base articles'!$T$2:$T$1153,0))),"")</f>
        <v/>
      </c>
      <c r="B76" s="24" t="str">
        <f aca="false">IFERROR(IF(INDEX('Base articles'!$F$2:$F$1153,MATCH(70,'Base articles'!$T$2:$T$1153,0))="","",INDEX('Base articles'!$F$2:$F$1153,MATCH(70,'Base articles'!$T$2:$T$1153,0))),"")</f>
        <v/>
      </c>
      <c r="C76" s="25" t="str">
        <f aca="false">IFERROR(INDEX('Base articles'!$H$2:$H$1153,MATCH(70,'Base articles'!$T$2:$T$1153,0)),"")</f>
        <v/>
      </c>
      <c r="D76" s="24" t="str">
        <f aca="false">IFERROR(IF(INDEX('Base articles'!$G$2:$G$1153,MATCH(70,'Base articles'!$T$2:$T$1153,0))="","",INDEX('Base articles'!$G$2:$G$1153,MATCH(70,'Base articles'!$T$2:$T$1153,0))),"")</f>
        <v/>
      </c>
      <c r="E76" s="23" t="str">
        <f aca="false">IFERROR(IF(INDEX('Base articles'!$K$2:$K$1153,MATCH(70,'Base articles'!$T$2:$T$1153,0))="","",INDEX('Base articles'!$K$2:$K$1153,MATCH(70,'Base articles'!$T$2:$T$1153,0))),"")</f>
        <v/>
      </c>
      <c r="F76" s="24" t="str">
        <f aca="false">IFERROR(IF(INDEX('Base articles'!$M$2:$M$1153,MATCH(70,'Base articles'!$T$2:$T$1153,0))="","",INDEX('Base articles'!$M$2:$M$1153,MATCH(70,'Base articles'!$T$2:$T$1153,0))),"")</f>
        <v/>
      </c>
      <c r="G76" s="26" t="str">
        <f aca="false">IFERROR(IF(INDEX('Base articles'!$N$2:$N$1153,MATCH(70,'Base articles'!$T$2:$T$1153,0))="","",INDEX('Base articles'!$N$2:$N$1153,MATCH(70,'Base articles'!$T$2:$T$1153,0))),"")</f>
        <v/>
      </c>
      <c r="H76" s="23" t="str">
        <f aca="false">IFERROR(IF(INDEX('Base articles'!$P$2:$P$1153,MATCH(70,'Base articles'!$T$2:$T$1153,0))="","",INDEX('Base articles'!$P$2:$P$1153,MATCH(70,'Base articles'!$T$2:$T$1153,0))),"")</f>
        <v/>
      </c>
      <c r="I76" s="23" t="str">
        <f aca="false">IFERROR(IF(INDEX('Base articles'!$Q$2:$Q$1153,MATCH(70,'Base articles'!$T$2:$T$1153,0))="","",INDEX('Base articles'!$Q$2:$Q$1153,MATCH(70,'Base articles'!$T$2:$T$1153,0))),"")</f>
        <v/>
      </c>
      <c r="J76" s="24" t="str">
        <f aca="false">IFERROR(IF(INDEX('Base articles'!$B$2:$B$1153,MATCH(70,'Base articles'!$T$2:$T$1153,0))="","",INDEX('Base articles'!$B$2:$B$1153,MATCH(70,'Base articles'!$T$2:$T$1153,0))),"")</f>
        <v/>
      </c>
    </row>
    <row r="77" customFormat="false" ht="27.75" hidden="false" customHeight="true" outlineLevel="0" collapsed="false">
      <c r="A77" s="19" t="str">
        <f aca="false">IFERROR(IF(INDEX('Base articles'!$D$2:$D$1153,MATCH(71,'Base articles'!$T$2:$T$1153,0))="","",INDEX('Base articles'!$D$2:$D$1153,MATCH(71,'Base articles'!$T$2:$T$1153,0))),"")</f>
        <v/>
      </c>
      <c r="B77" s="20" t="str">
        <f aca="false">IFERROR(IF(INDEX('Base articles'!$F$2:$F$1153,MATCH(71,'Base articles'!$T$2:$T$1153,0))="","",INDEX('Base articles'!$F$2:$F$1153,MATCH(71,'Base articles'!$T$2:$T$1153,0))),"")</f>
        <v/>
      </c>
      <c r="C77" s="21" t="str">
        <f aca="false">IFERROR(INDEX('Base articles'!$H$2:$H$1153,MATCH(71,'Base articles'!$T$2:$T$1153,0)),"")</f>
        <v/>
      </c>
      <c r="D77" s="20" t="str">
        <f aca="false">IFERROR(IF(INDEX('Base articles'!$G$2:$G$1153,MATCH(71,'Base articles'!$T$2:$T$1153,0))="","",INDEX('Base articles'!$G$2:$G$1153,MATCH(71,'Base articles'!$T$2:$T$1153,0))),"")</f>
        <v/>
      </c>
      <c r="E77" s="19" t="str">
        <f aca="false">IFERROR(IF(INDEX('Base articles'!$K$2:$K$1153,MATCH(71,'Base articles'!$T$2:$T$1153,0))="","",INDEX('Base articles'!$K$2:$K$1153,MATCH(71,'Base articles'!$T$2:$T$1153,0))),"")</f>
        <v/>
      </c>
      <c r="F77" s="20" t="str">
        <f aca="false">IFERROR(IF(INDEX('Base articles'!$M$2:$M$1153,MATCH(71,'Base articles'!$T$2:$T$1153,0))="","",INDEX('Base articles'!$M$2:$M$1153,MATCH(71,'Base articles'!$T$2:$T$1153,0))),"")</f>
        <v/>
      </c>
      <c r="G77" s="22" t="str">
        <f aca="false">IFERROR(IF(INDEX('Base articles'!$N$2:$N$1153,MATCH(71,'Base articles'!$T$2:$T$1153,0))="","",INDEX('Base articles'!$N$2:$N$1153,MATCH(71,'Base articles'!$T$2:$T$1153,0))),"")</f>
        <v/>
      </c>
      <c r="H77" s="19" t="str">
        <f aca="false">IFERROR(IF(INDEX('Base articles'!$P$2:$P$1153,MATCH(71,'Base articles'!$T$2:$T$1153,0))="","",INDEX('Base articles'!$P$2:$P$1153,MATCH(71,'Base articles'!$T$2:$T$1153,0))),"")</f>
        <v/>
      </c>
      <c r="I77" s="19" t="str">
        <f aca="false">IFERROR(IF(INDEX('Base articles'!$Q$2:$Q$1153,MATCH(71,'Base articles'!$T$2:$T$1153,0))="","",INDEX('Base articles'!$Q$2:$Q$1153,MATCH(71,'Base articles'!$T$2:$T$1153,0))),"")</f>
        <v/>
      </c>
      <c r="J77" s="20" t="str">
        <f aca="false">IFERROR(IF(INDEX('Base articles'!$B$2:$B$1153,MATCH(71,'Base articles'!$T$2:$T$1153,0))="","",INDEX('Base articles'!$B$2:$B$1153,MATCH(71,'Base articles'!$T$2:$T$1153,0))),"")</f>
        <v/>
      </c>
    </row>
    <row r="78" customFormat="false" ht="27.75" hidden="false" customHeight="true" outlineLevel="0" collapsed="false">
      <c r="A78" s="23" t="str">
        <f aca="false">IFERROR(IF(INDEX('Base articles'!$D$2:$D$1153,MATCH(72,'Base articles'!$T$2:$T$1153,0))="","",INDEX('Base articles'!$D$2:$D$1153,MATCH(72,'Base articles'!$T$2:$T$1153,0))),"")</f>
        <v/>
      </c>
      <c r="B78" s="24" t="str">
        <f aca="false">IFERROR(IF(INDEX('Base articles'!$F$2:$F$1153,MATCH(72,'Base articles'!$T$2:$T$1153,0))="","",INDEX('Base articles'!$F$2:$F$1153,MATCH(72,'Base articles'!$T$2:$T$1153,0))),"")</f>
        <v/>
      </c>
      <c r="C78" s="25" t="str">
        <f aca="false">IFERROR(INDEX('Base articles'!$H$2:$H$1153,MATCH(72,'Base articles'!$T$2:$T$1153,0)),"")</f>
        <v/>
      </c>
      <c r="D78" s="24" t="str">
        <f aca="false">IFERROR(IF(INDEX('Base articles'!$G$2:$G$1153,MATCH(72,'Base articles'!$T$2:$T$1153,0))="","",INDEX('Base articles'!$G$2:$G$1153,MATCH(72,'Base articles'!$T$2:$T$1153,0))),"")</f>
        <v/>
      </c>
      <c r="E78" s="23" t="str">
        <f aca="false">IFERROR(IF(INDEX('Base articles'!$K$2:$K$1153,MATCH(72,'Base articles'!$T$2:$T$1153,0))="","",INDEX('Base articles'!$K$2:$K$1153,MATCH(72,'Base articles'!$T$2:$T$1153,0))),"")</f>
        <v/>
      </c>
      <c r="F78" s="24" t="str">
        <f aca="false">IFERROR(IF(INDEX('Base articles'!$M$2:$M$1153,MATCH(72,'Base articles'!$T$2:$T$1153,0))="","",INDEX('Base articles'!$M$2:$M$1153,MATCH(72,'Base articles'!$T$2:$T$1153,0))),"")</f>
        <v/>
      </c>
      <c r="G78" s="26" t="str">
        <f aca="false">IFERROR(IF(INDEX('Base articles'!$N$2:$N$1153,MATCH(72,'Base articles'!$T$2:$T$1153,0))="","",INDEX('Base articles'!$N$2:$N$1153,MATCH(72,'Base articles'!$T$2:$T$1153,0))),"")</f>
        <v/>
      </c>
      <c r="H78" s="23" t="str">
        <f aca="false">IFERROR(IF(INDEX('Base articles'!$P$2:$P$1153,MATCH(72,'Base articles'!$T$2:$T$1153,0))="","",INDEX('Base articles'!$P$2:$P$1153,MATCH(72,'Base articles'!$T$2:$T$1153,0))),"")</f>
        <v/>
      </c>
      <c r="I78" s="23" t="str">
        <f aca="false">IFERROR(IF(INDEX('Base articles'!$Q$2:$Q$1153,MATCH(72,'Base articles'!$T$2:$T$1153,0))="","",INDEX('Base articles'!$Q$2:$Q$1153,MATCH(72,'Base articles'!$T$2:$T$1153,0))),"")</f>
        <v/>
      </c>
      <c r="J78" s="24" t="str">
        <f aca="false">IFERROR(IF(INDEX('Base articles'!$B$2:$B$1153,MATCH(72,'Base articles'!$T$2:$T$1153,0))="","",INDEX('Base articles'!$B$2:$B$1153,MATCH(72,'Base articles'!$T$2:$T$1153,0))),"")</f>
        <v/>
      </c>
    </row>
    <row r="79" customFormat="false" ht="27.75" hidden="false" customHeight="true" outlineLevel="0" collapsed="false">
      <c r="A79" s="19" t="str">
        <f aca="false">IFERROR(IF(INDEX('Base articles'!$D$2:$D$1153,MATCH(73,'Base articles'!$T$2:$T$1153,0))="","",INDEX('Base articles'!$D$2:$D$1153,MATCH(73,'Base articles'!$T$2:$T$1153,0))),"")</f>
        <v/>
      </c>
      <c r="B79" s="20" t="str">
        <f aca="false">IFERROR(IF(INDEX('Base articles'!$F$2:$F$1153,MATCH(73,'Base articles'!$T$2:$T$1153,0))="","",INDEX('Base articles'!$F$2:$F$1153,MATCH(73,'Base articles'!$T$2:$T$1153,0))),"")</f>
        <v/>
      </c>
      <c r="C79" s="21" t="str">
        <f aca="false">IFERROR(INDEX('Base articles'!$H$2:$H$1153,MATCH(73,'Base articles'!$T$2:$T$1153,0)),"")</f>
        <v/>
      </c>
      <c r="D79" s="20" t="str">
        <f aca="false">IFERROR(IF(INDEX('Base articles'!$G$2:$G$1153,MATCH(73,'Base articles'!$T$2:$T$1153,0))="","",INDEX('Base articles'!$G$2:$G$1153,MATCH(73,'Base articles'!$T$2:$T$1153,0))),"")</f>
        <v/>
      </c>
      <c r="E79" s="19" t="str">
        <f aca="false">IFERROR(IF(INDEX('Base articles'!$K$2:$K$1153,MATCH(73,'Base articles'!$T$2:$T$1153,0))="","",INDEX('Base articles'!$K$2:$K$1153,MATCH(73,'Base articles'!$T$2:$T$1153,0))),"")</f>
        <v/>
      </c>
      <c r="F79" s="20" t="str">
        <f aca="false">IFERROR(IF(INDEX('Base articles'!$M$2:$M$1153,MATCH(73,'Base articles'!$T$2:$T$1153,0))="","",INDEX('Base articles'!$M$2:$M$1153,MATCH(73,'Base articles'!$T$2:$T$1153,0))),"")</f>
        <v/>
      </c>
      <c r="G79" s="22" t="str">
        <f aca="false">IFERROR(IF(INDEX('Base articles'!$N$2:$N$1153,MATCH(73,'Base articles'!$T$2:$T$1153,0))="","",INDEX('Base articles'!$N$2:$N$1153,MATCH(73,'Base articles'!$T$2:$T$1153,0))),"")</f>
        <v/>
      </c>
      <c r="H79" s="19" t="str">
        <f aca="false">IFERROR(IF(INDEX('Base articles'!$P$2:$P$1153,MATCH(73,'Base articles'!$T$2:$T$1153,0))="","",INDEX('Base articles'!$P$2:$P$1153,MATCH(73,'Base articles'!$T$2:$T$1153,0))),"")</f>
        <v/>
      </c>
      <c r="I79" s="19" t="str">
        <f aca="false">IFERROR(IF(INDEX('Base articles'!$Q$2:$Q$1153,MATCH(73,'Base articles'!$T$2:$T$1153,0))="","",INDEX('Base articles'!$Q$2:$Q$1153,MATCH(73,'Base articles'!$T$2:$T$1153,0))),"")</f>
        <v/>
      </c>
      <c r="J79" s="20" t="str">
        <f aca="false">IFERROR(IF(INDEX('Base articles'!$B$2:$B$1153,MATCH(73,'Base articles'!$T$2:$T$1153,0))="","",INDEX('Base articles'!$B$2:$B$1153,MATCH(73,'Base articles'!$T$2:$T$1153,0))),"")</f>
        <v/>
      </c>
    </row>
    <row r="80" customFormat="false" ht="27.75" hidden="false" customHeight="true" outlineLevel="0" collapsed="false">
      <c r="A80" s="23" t="str">
        <f aca="false">IFERROR(IF(INDEX('Base articles'!$D$2:$D$1153,MATCH(74,'Base articles'!$T$2:$T$1153,0))="","",INDEX('Base articles'!$D$2:$D$1153,MATCH(74,'Base articles'!$T$2:$T$1153,0))),"")</f>
        <v/>
      </c>
      <c r="B80" s="24" t="str">
        <f aca="false">IFERROR(IF(INDEX('Base articles'!$F$2:$F$1153,MATCH(74,'Base articles'!$T$2:$T$1153,0))="","",INDEX('Base articles'!$F$2:$F$1153,MATCH(74,'Base articles'!$T$2:$T$1153,0))),"")</f>
        <v/>
      </c>
      <c r="C80" s="25" t="str">
        <f aca="false">IFERROR(INDEX('Base articles'!$H$2:$H$1153,MATCH(74,'Base articles'!$T$2:$T$1153,0)),"")</f>
        <v/>
      </c>
      <c r="D80" s="24" t="str">
        <f aca="false">IFERROR(IF(INDEX('Base articles'!$G$2:$G$1153,MATCH(74,'Base articles'!$T$2:$T$1153,0))="","",INDEX('Base articles'!$G$2:$G$1153,MATCH(74,'Base articles'!$T$2:$T$1153,0))),"")</f>
        <v/>
      </c>
      <c r="E80" s="23" t="str">
        <f aca="false">IFERROR(IF(INDEX('Base articles'!$K$2:$K$1153,MATCH(74,'Base articles'!$T$2:$T$1153,0))="","",INDEX('Base articles'!$K$2:$K$1153,MATCH(74,'Base articles'!$T$2:$T$1153,0))),"")</f>
        <v/>
      </c>
      <c r="F80" s="24" t="str">
        <f aca="false">IFERROR(IF(INDEX('Base articles'!$M$2:$M$1153,MATCH(74,'Base articles'!$T$2:$T$1153,0))="","",INDEX('Base articles'!$M$2:$M$1153,MATCH(74,'Base articles'!$T$2:$T$1153,0))),"")</f>
        <v/>
      </c>
      <c r="G80" s="26" t="str">
        <f aca="false">IFERROR(IF(INDEX('Base articles'!$N$2:$N$1153,MATCH(74,'Base articles'!$T$2:$T$1153,0))="","",INDEX('Base articles'!$N$2:$N$1153,MATCH(74,'Base articles'!$T$2:$T$1153,0))),"")</f>
        <v/>
      </c>
      <c r="H80" s="23" t="str">
        <f aca="false">IFERROR(IF(INDEX('Base articles'!$P$2:$P$1153,MATCH(74,'Base articles'!$T$2:$T$1153,0))="","",INDEX('Base articles'!$P$2:$P$1153,MATCH(74,'Base articles'!$T$2:$T$1153,0))),"")</f>
        <v/>
      </c>
      <c r="I80" s="23" t="str">
        <f aca="false">IFERROR(IF(INDEX('Base articles'!$Q$2:$Q$1153,MATCH(74,'Base articles'!$T$2:$T$1153,0))="","",INDEX('Base articles'!$Q$2:$Q$1153,MATCH(74,'Base articles'!$T$2:$T$1153,0))),"")</f>
        <v/>
      </c>
      <c r="J80" s="24" t="str">
        <f aca="false">IFERROR(IF(INDEX('Base articles'!$B$2:$B$1153,MATCH(74,'Base articles'!$T$2:$T$1153,0))="","",INDEX('Base articles'!$B$2:$B$1153,MATCH(74,'Base articles'!$T$2:$T$1153,0))),"")</f>
        <v/>
      </c>
    </row>
    <row r="81" customFormat="false" ht="27.75" hidden="false" customHeight="true" outlineLevel="0" collapsed="false">
      <c r="A81" s="19" t="str">
        <f aca="false">IFERROR(IF(INDEX('Base articles'!$D$2:$D$1153,MATCH(75,'Base articles'!$T$2:$T$1153,0))="","",INDEX('Base articles'!$D$2:$D$1153,MATCH(75,'Base articles'!$T$2:$T$1153,0))),"")</f>
        <v/>
      </c>
      <c r="B81" s="20" t="str">
        <f aca="false">IFERROR(IF(INDEX('Base articles'!$F$2:$F$1153,MATCH(75,'Base articles'!$T$2:$T$1153,0))="","",INDEX('Base articles'!$F$2:$F$1153,MATCH(75,'Base articles'!$T$2:$T$1153,0))),"")</f>
        <v/>
      </c>
      <c r="C81" s="21" t="str">
        <f aca="false">IFERROR(INDEX('Base articles'!$H$2:$H$1153,MATCH(75,'Base articles'!$T$2:$T$1153,0)),"")</f>
        <v/>
      </c>
      <c r="D81" s="20" t="str">
        <f aca="false">IFERROR(IF(INDEX('Base articles'!$G$2:$G$1153,MATCH(75,'Base articles'!$T$2:$T$1153,0))="","",INDEX('Base articles'!$G$2:$G$1153,MATCH(75,'Base articles'!$T$2:$T$1153,0))),"")</f>
        <v/>
      </c>
      <c r="E81" s="19" t="str">
        <f aca="false">IFERROR(IF(INDEX('Base articles'!$K$2:$K$1153,MATCH(75,'Base articles'!$T$2:$T$1153,0))="","",INDEX('Base articles'!$K$2:$K$1153,MATCH(75,'Base articles'!$T$2:$T$1153,0))),"")</f>
        <v/>
      </c>
      <c r="F81" s="20" t="str">
        <f aca="false">IFERROR(IF(INDEX('Base articles'!$M$2:$M$1153,MATCH(75,'Base articles'!$T$2:$T$1153,0))="","",INDEX('Base articles'!$M$2:$M$1153,MATCH(75,'Base articles'!$T$2:$T$1153,0))),"")</f>
        <v/>
      </c>
      <c r="G81" s="22" t="str">
        <f aca="false">IFERROR(IF(INDEX('Base articles'!$N$2:$N$1153,MATCH(75,'Base articles'!$T$2:$T$1153,0))="","",INDEX('Base articles'!$N$2:$N$1153,MATCH(75,'Base articles'!$T$2:$T$1153,0))),"")</f>
        <v/>
      </c>
      <c r="H81" s="19" t="str">
        <f aca="false">IFERROR(IF(INDEX('Base articles'!$P$2:$P$1153,MATCH(75,'Base articles'!$T$2:$T$1153,0))="","",INDEX('Base articles'!$P$2:$P$1153,MATCH(75,'Base articles'!$T$2:$T$1153,0))),"")</f>
        <v/>
      </c>
      <c r="I81" s="19" t="str">
        <f aca="false">IFERROR(IF(INDEX('Base articles'!$Q$2:$Q$1153,MATCH(75,'Base articles'!$T$2:$T$1153,0))="","",INDEX('Base articles'!$Q$2:$Q$1153,MATCH(75,'Base articles'!$T$2:$T$1153,0))),"")</f>
        <v/>
      </c>
      <c r="J81" s="20" t="str">
        <f aca="false">IFERROR(IF(INDEX('Base articles'!$B$2:$B$1153,MATCH(75,'Base articles'!$T$2:$T$1153,0))="","",INDEX('Base articles'!$B$2:$B$1153,MATCH(75,'Base articles'!$T$2:$T$1153,0))),"")</f>
        <v/>
      </c>
    </row>
    <row r="82" customFormat="false" ht="27.75" hidden="false" customHeight="true" outlineLevel="0" collapsed="false">
      <c r="A82" s="23" t="str">
        <f aca="false">IFERROR(IF(INDEX('Base articles'!$D$2:$D$1153,MATCH(76,'Base articles'!$T$2:$T$1153,0))="","",INDEX('Base articles'!$D$2:$D$1153,MATCH(76,'Base articles'!$T$2:$T$1153,0))),"")</f>
        <v/>
      </c>
      <c r="B82" s="24" t="str">
        <f aca="false">IFERROR(IF(INDEX('Base articles'!$F$2:$F$1153,MATCH(76,'Base articles'!$T$2:$T$1153,0))="","",INDEX('Base articles'!$F$2:$F$1153,MATCH(76,'Base articles'!$T$2:$T$1153,0))),"")</f>
        <v/>
      </c>
      <c r="C82" s="25" t="str">
        <f aca="false">IFERROR(INDEX('Base articles'!$H$2:$H$1153,MATCH(76,'Base articles'!$T$2:$T$1153,0)),"")</f>
        <v/>
      </c>
      <c r="D82" s="24" t="str">
        <f aca="false">IFERROR(IF(INDEX('Base articles'!$G$2:$G$1153,MATCH(76,'Base articles'!$T$2:$T$1153,0))="","",INDEX('Base articles'!$G$2:$G$1153,MATCH(76,'Base articles'!$T$2:$T$1153,0))),"")</f>
        <v/>
      </c>
      <c r="E82" s="23" t="str">
        <f aca="false">IFERROR(IF(INDEX('Base articles'!$K$2:$K$1153,MATCH(76,'Base articles'!$T$2:$T$1153,0))="","",INDEX('Base articles'!$K$2:$K$1153,MATCH(76,'Base articles'!$T$2:$T$1153,0))),"")</f>
        <v/>
      </c>
      <c r="F82" s="24" t="str">
        <f aca="false">IFERROR(IF(INDEX('Base articles'!$M$2:$M$1153,MATCH(76,'Base articles'!$T$2:$T$1153,0))="","",INDEX('Base articles'!$M$2:$M$1153,MATCH(76,'Base articles'!$T$2:$T$1153,0))),"")</f>
        <v/>
      </c>
      <c r="G82" s="26" t="str">
        <f aca="false">IFERROR(IF(INDEX('Base articles'!$N$2:$N$1153,MATCH(76,'Base articles'!$T$2:$T$1153,0))="","",INDEX('Base articles'!$N$2:$N$1153,MATCH(76,'Base articles'!$T$2:$T$1153,0))),"")</f>
        <v/>
      </c>
      <c r="H82" s="23" t="str">
        <f aca="false">IFERROR(IF(INDEX('Base articles'!$P$2:$P$1153,MATCH(76,'Base articles'!$T$2:$T$1153,0))="","",INDEX('Base articles'!$P$2:$P$1153,MATCH(76,'Base articles'!$T$2:$T$1153,0))),"")</f>
        <v/>
      </c>
      <c r="I82" s="23" t="str">
        <f aca="false">IFERROR(IF(INDEX('Base articles'!$Q$2:$Q$1153,MATCH(76,'Base articles'!$T$2:$T$1153,0))="","",INDEX('Base articles'!$Q$2:$Q$1153,MATCH(76,'Base articles'!$T$2:$T$1153,0))),"")</f>
        <v/>
      </c>
      <c r="J82" s="24" t="str">
        <f aca="false">IFERROR(IF(INDEX('Base articles'!$B$2:$B$1153,MATCH(76,'Base articles'!$T$2:$T$1153,0))="","",INDEX('Base articles'!$B$2:$B$1153,MATCH(76,'Base articles'!$T$2:$T$1153,0))),"")</f>
        <v/>
      </c>
    </row>
    <row r="83" customFormat="false" ht="27.75" hidden="false" customHeight="true" outlineLevel="0" collapsed="false">
      <c r="A83" s="19" t="str">
        <f aca="false">IFERROR(IF(INDEX('Base articles'!$D$2:$D$1153,MATCH(77,'Base articles'!$T$2:$T$1153,0))="","",INDEX('Base articles'!$D$2:$D$1153,MATCH(77,'Base articles'!$T$2:$T$1153,0))),"")</f>
        <v/>
      </c>
      <c r="B83" s="20" t="str">
        <f aca="false">IFERROR(IF(INDEX('Base articles'!$F$2:$F$1153,MATCH(77,'Base articles'!$T$2:$T$1153,0))="","",INDEX('Base articles'!$F$2:$F$1153,MATCH(77,'Base articles'!$T$2:$T$1153,0))),"")</f>
        <v/>
      </c>
      <c r="C83" s="21" t="str">
        <f aca="false">IFERROR(INDEX('Base articles'!$H$2:$H$1153,MATCH(77,'Base articles'!$T$2:$T$1153,0)),"")</f>
        <v/>
      </c>
      <c r="D83" s="20" t="str">
        <f aca="false">IFERROR(IF(INDEX('Base articles'!$G$2:$G$1153,MATCH(77,'Base articles'!$T$2:$T$1153,0))="","",INDEX('Base articles'!$G$2:$G$1153,MATCH(77,'Base articles'!$T$2:$T$1153,0))),"")</f>
        <v/>
      </c>
      <c r="E83" s="19" t="str">
        <f aca="false">IFERROR(IF(INDEX('Base articles'!$K$2:$K$1153,MATCH(77,'Base articles'!$T$2:$T$1153,0))="","",INDEX('Base articles'!$K$2:$K$1153,MATCH(77,'Base articles'!$T$2:$T$1153,0))),"")</f>
        <v/>
      </c>
      <c r="F83" s="20" t="str">
        <f aca="false">IFERROR(IF(INDEX('Base articles'!$M$2:$M$1153,MATCH(77,'Base articles'!$T$2:$T$1153,0))="","",INDEX('Base articles'!$M$2:$M$1153,MATCH(77,'Base articles'!$T$2:$T$1153,0))),"")</f>
        <v/>
      </c>
      <c r="G83" s="22" t="str">
        <f aca="false">IFERROR(IF(INDEX('Base articles'!$N$2:$N$1153,MATCH(77,'Base articles'!$T$2:$T$1153,0))="","",INDEX('Base articles'!$N$2:$N$1153,MATCH(77,'Base articles'!$T$2:$T$1153,0))),"")</f>
        <v/>
      </c>
      <c r="H83" s="19" t="str">
        <f aca="false">IFERROR(IF(INDEX('Base articles'!$P$2:$P$1153,MATCH(77,'Base articles'!$T$2:$T$1153,0))="","",INDEX('Base articles'!$P$2:$P$1153,MATCH(77,'Base articles'!$T$2:$T$1153,0))),"")</f>
        <v/>
      </c>
      <c r="I83" s="19" t="str">
        <f aca="false">IFERROR(IF(INDEX('Base articles'!$Q$2:$Q$1153,MATCH(77,'Base articles'!$T$2:$T$1153,0))="","",INDEX('Base articles'!$Q$2:$Q$1153,MATCH(77,'Base articles'!$T$2:$T$1153,0))),"")</f>
        <v/>
      </c>
      <c r="J83" s="20" t="str">
        <f aca="false">IFERROR(IF(INDEX('Base articles'!$B$2:$B$1153,MATCH(77,'Base articles'!$T$2:$T$1153,0))="","",INDEX('Base articles'!$B$2:$B$1153,MATCH(77,'Base articles'!$T$2:$T$1153,0))),"")</f>
        <v/>
      </c>
    </row>
    <row r="84" customFormat="false" ht="27.75" hidden="false" customHeight="true" outlineLevel="0" collapsed="false">
      <c r="A84" s="23" t="str">
        <f aca="false">IFERROR(IF(INDEX('Base articles'!$D$2:$D$1153,MATCH(78,'Base articles'!$T$2:$T$1153,0))="","",INDEX('Base articles'!$D$2:$D$1153,MATCH(78,'Base articles'!$T$2:$T$1153,0))),"")</f>
        <v/>
      </c>
      <c r="B84" s="24" t="str">
        <f aca="false">IFERROR(IF(INDEX('Base articles'!$F$2:$F$1153,MATCH(78,'Base articles'!$T$2:$T$1153,0))="","",INDEX('Base articles'!$F$2:$F$1153,MATCH(78,'Base articles'!$T$2:$T$1153,0))),"")</f>
        <v/>
      </c>
      <c r="C84" s="25" t="str">
        <f aca="false">IFERROR(INDEX('Base articles'!$H$2:$H$1153,MATCH(78,'Base articles'!$T$2:$T$1153,0)),"")</f>
        <v/>
      </c>
      <c r="D84" s="24" t="str">
        <f aca="false">IFERROR(IF(INDEX('Base articles'!$G$2:$G$1153,MATCH(78,'Base articles'!$T$2:$T$1153,0))="","",INDEX('Base articles'!$G$2:$G$1153,MATCH(78,'Base articles'!$T$2:$T$1153,0))),"")</f>
        <v/>
      </c>
      <c r="E84" s="23" t="str">
        <f aca="false">IFERROR(IF(INDEX('Base articles'!$K$2:$K$1153,MATCH(78,'Base articles'!$T$2:$T$1153,0))="","",INDEX('Base articles'!$K$2:$K$1153,MATCH(78,'Base articles'!$T$2:$T$1153,0))),"")</f>
        <v/>
      </c>
      <c r="F84" s="24" t="str">
        <f aca="false">IFERROR(IF(INDEX('Base articles'!$M$2:$M$1153,MATCH(78,'Base articles'!$T$2:$T$1153,0))="","",INDEX('Base articles'!$M$2:$M$1153,MATCH(78,'Base articles'!$T$2:$T$1153,0))),"")</f>
        <v/>
      </c>
      <c r="G84" s="26" t="str">
        <f aca="false">IFERROR(IF(INDEX('Base articles'!$N$2:$N$1153,MATCH(78,'Base articles'!$T$2:$T$1153,0))="","",INDEX('Base articles'!$N$2:$N$1153,MATCH(78,'Base articles'!$T$2:$T$1153,0))),"")</f>
        <v/>
      </c>
      <c r="H84" s="23" t="str">
        <f aca="false">IFERROR(IF(INDEX('Base articles'!$P$2:$P$1153,MATCH(78,'Base articles'!$T$2:$T$1153,0))="","",INDEX('Base articles'!$P$2:$P$1153,MATCH(78,'Base articles'!$T$2:$T$1153,0))),"")</f>
        <v/>
      </c>
      <c r="I84" s="23" t="str">
        <f aca="false">IFERROR(IF(INDEX('Base articles'!$Q$2:$Q$1153,MATCH(78,'Base articles'!$T$2:$T$1153,0))="","",INDEX('Base articles'!$Q$2:$Q$1153,MATCH(78,'Base articles'!$T$2:$T$1153,0))),"")</f>
        <v/>
      </c>
      <c r="J84" s="24" t="str">
        <f aca="false">IFERROR(IF(INDEX('Base articles'!$B$2:$B$1153,MATCH(78,'Base articles'!$T$2:$T$1153,0))="","",INDEX('Base articles'!$B$2:$B$1153,MATCH(78,'Base articles'!$T$2:$T$1153,0))),"")</f>
        <v/>
      </c>
    </row>
    <row r="85" customFormat="false" ht="27.75" hidden="false" customHeight="true" outlineLevel="0" collapsed="false">
      <c r="A85" s="19" t="str">
        <f aca="false">IFERROR(IF(INDEX('Base articles'!$D$2:$D$1153,MATCH(79,'Base articles'!$T$2:$T$1153,0))="","",INDEX('Base articles'!$D$2:$D$1153,MATCH(79,'Base articles'!$T$2:$T$1153,0))),"")</f>
        <v/>
      </c>
      <c r="B85" s="20" t="str">
        <f aca="false">IFERROR(IF(INDEX('Base articles'!$F$2:$F$1153,MATCH(79,'Base articles'!$T$2:$T$1153,0))="","",INDEX('Base articles'!$F$2:$F$1153,MATCH(79,'Base articles'!$T$2:$T$1153,0))),"")</f>
        <v/>
      </c>
      <c r="C85" s="21" t="str">
        <f aca="false">IFERROR(INDEX('Base articles'!$H$2:$H$1153,MATCH(79,'Base articles'!$T$2:$T$1153,0)),"")</f>
        <v/>
      </c>
      <c r="D85" s="20" t="str">
        <f aca="false">IFERROR(IF(INDEX('Base articles'!$G$2:$G$1153,MATCH(79,'Base articles'!$T$2:$T$1153,0))="","",INDEX('Base articles'!$G$2:$G$1153,MATCH(79,'Base articles'!$T$2:$T$1153,0))),"")</f>
        <v/>
      </c>
      <c r="E85" s="19" t="str">
        <f aca="false">IFERROR(IF(INDEX('Base articles'!$K$2:$K$1153,MATCH(79,'Base articles'!$T$2:$T$1153,0))="","",INDEX('Base articles'!$K$2:$K$1153,MATCH(79,'Base articles'!$T$2:$T$1153,0))),"")</f>
        <v/>
      </c>
      <c r="F85" s="20" t="str">
        <f aca="false">IFERROR(IF(INDEX('Base articles'!$M$2:$M$1153,MATCH(79,'Base articles'!$T$2:$T$1153,0))="","",INDEX('Base articles'!$M$2:$M$1153,MATCH(79,'Base articles'!$T$2:$T$1153,0))),"")</f>
        <v/>
      </c>
      <c r="G85" s="22" t="str">
        <f aca="false">IFERROR(IF(INDEX('Base articles'!$N$2:$N$1153,MATCH(79,'Base articles'!$T$2:$T$1153,0))="","",INDEX('Base articles'!$N$2:$N$1153,MATCH(79,'Base articles'!$T$2:$T$1153,0))),"")</f>
        <v/>
      </c>
      <c r="H85" s="19" t="str">
        <f aca="false">IFERROR(IF(INDEX('Base articles'!$P$2:$P$1153,MATCH(79,'Base articles'!$T$2:$T$1153,0))="","",INDEX('Base articles'!$P$2:$P$1153,MATCH(79,'Base articles'!$T$2:$T$1153,0))),"")</f>
        <v/>
      </c>
      <c r="I85" s="19" t="str">
        <f aca="false">IFERROR(IF(INDEX('Base articles'!$Q$2:$Q$1153,MATCH(79,'Base articles'!$T$2:$T$1153,0))="","",INDEX('Base articles'!$Q$2:$Q$1153,MATCH(79,'Base articles'!$T$2:$T$1153,0))),"")</f>
        <v/>
      </c>
      <c r="J85" s="20" t="str">
        <f aca="false">IFERROR(IF(INDEX('Base articles'!$B$2:$B$1153,MATCH(79,'Base articles'!$T$2:$T$1153,0))="","",INDEX('Base articles'!$B$2:$B$1153,MATCH(79,'Base articles'!$T$2:$T$1153,0))),"")</f>
        <v/>
      </c>
    </row>
    <row r="86" customFormat="false" ht="27.75" hidden="false" customHeight="true" outlineLevel="0" collapsed="false">
      <c r="A86" s="23" t="str">
        <f aca="false">IFERROR(IF(INDEX('Base articles'!$D$2:$D$1153,MATCH(80,'Base articles'!$T$2:$T$1153,0))="","",INDEX('Base articles'!$D$2:$D$1153,MATCH(80,'Base articles'!$T$2:$T$1153,0))),"")</f>
        <v/>
      </c>
      <c r="B86" s="24" t="str">
        <f aca="false">IFERROR(IF(INDEX('Base articles'!$F$2:$F$1153,MATCH(80,'Base articles'!$T$2:$T$1153,0))="","",INDEX('Base articles'!$F$2:$F$1153,MATCH(80,'Base articles'!$T$2:$T$1153,0))),"")</f>
        <v/>
      </c>
      <c r="C86" s="25" t="str">
        <f aca="false">IFERROR(INDEX('Base articles'!$H$2:$H$1153,MATCH(80,'Base articles'!$T$2:$T$1153,0)),"")</f>
        <v/>
      </c>
      <c r="D86" s="24" t="str">
        <f aca="false">IFERROR(IF(INDEX('Base articles'!$G$2:$G$1153,MATCH(80,'Base articles'!$T$2:$T$1153,0))="","",INDEX('Base articles'!$G$2:$G$1153,MATCH(80,'Base articles'!$T$2:$T$1153,0))),"")</f>
        <v/>
      </c>
      <c r="E86" s="23" t="str">
        <f aca="false">IFERROR(IF(INDEX('Base articles'!$K$2:$K$1153,MATCH(80,'Base articles'!$T$2:$T$1153,0))="","",INDEX('Base articles'!$K$2:$K$1153,MATCH(80,'Base articles'!$T$2:$T$1153,0))),"")</f>
        <v/>
      </c>
      <c r="F86" s="24" t="str">
        <f aca="false">IFERROR(IF(INDEX('Base articles'!$M$2:$M$1153,MATCH(80,'Base articles'!$T$2:$T$1153,0))="","",INDEX('Base articles'!$M$2:$M$1153,MATCH(80,'Base articles'!$T$2:$T$1153,0))),"")</f>
        <v/>
      </c>
      <c r="G86" s="26" t="str">
        <f aca="false">IFERROR(IF(INDEX('Base articles'!$N$2:$N$1153,MATCH(80,'Base articles'!$T$2:$T$1153,0))="","",INDEX('Base articles'!$N$2:$N$1153,MATCH(80,'Base articles'!$T$2:$T$1153,0))),"")</f>
        <v/>
      </c>
      <c r="H86" s="23" t="str">
        <f aca="false">IFERROR(IF(INDEX('Base articles'!$P$2:$P$1153,MATCH(80,'Base articles'!$T$2:$T$1153,0))="","",INDEX('Base articles'!$P$2:$P$1153,MATCH(80,'Base articles'!$T$2:$T$1153,0))),"")</f>
        <v/>
      </c>
      <c r="I86" s="23" t="str">
        <f aca="false">IFERROR(IF(INDEX('Base articles'!$Q$2:$Q$1153,MATCH(80,'Base articles'!$T$2:$T$1153,0))="","",INDEX('Base articles'!$Q$2:$Q$1153,MATCH(80,'Base articles'!$T$2:$T$1153,0))),"")</f>
        <v/>
      </c>
      <c r="J86" s="24" t="str">
        <f aca="false">IFERROR(IF(INDEX('Base articles'!$B$2:$B$1153,MATCH(80,'Base articles'!$T$2:$T$1153,0))="","",INDEX('Base articles'!$B$2:$B$1153,MATCH(80,'Base articles'!$T$2:$T$1153,0))),"")</f>
        <v/>
      </c>
    </row>
  </sheetData>
  <mergeCells count="3">
    <mergeCell ref="A1:I1"/>
    <mergeCell ref="A2:J2"/>
    <mergeCell ref="B4:D4"/>
  </mergeCell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294B"/>
    <pageSetUpPr fitToPage="true"/>
  </sheetPr>
  <dimension ref="A1:H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1"/>
    <col collapsed="false" customWidth="true" hidden="false" outlineLevel="0" max="3" min="3" style="0" width="13"/>
    <col collapsed="false" customWidth="true" hidden="false" outlineLevel="0" max="5" min="4" style="0" width="16"/>
    <col collapsed="false" customWidth="true" hidden="false" outlineLevel="0" max="6" min="6" style="0" width="13"/>
    <col collapsed="false" customWidth="true" hidden="false" outlineLevel="0" max="7" min="7" style="0" width="12"/>
    <col collapsed="false" customWidth="true" hidden="false" outlineLevel="0" max="8" min="8" style="0" width="15"/>
  </cols>
  <sheetData>
    <row r="1" customFormat="false" ht="30" hidden="false" customHeight="true" outlineLevel="0" collapsed="false">
      <c r="A1" s="14" t="s">
        <v>46</v>
      </c>
      <c r="B1" s="14"/>
      <c r="C1" s="14"/>
      <c r="D1" s="14"/>
      <c r="E1" s="14"/>
      <c r="F1" s="14"/>
      <c r="G1" s="14"/>
      <c r="H1" s="14"/>
    </row>
    <row r="2" customFormat="false" ht="30" hidden="false" customHeight="true" outlineLevel="0" collapsed="false">
      <c r="A2" s="3" t="s">
        <v>47</v>
      </c>
      <c r="B2" s="3"/>
      <c r="C2" s="3"/>
      <c r="D2" s="3"/>
      <c r="E2" s="3"/>
      <c r="F2" s="3"/>
      <c r="G2" s="3"/>
      <c r="H2" s="3"/>
    </row>
    <row r="4" customFormat="false" ht="31.5" hidden="false" customHeight="true" outlineLevel="0" collapsed="false">
      <c r="A4" s="18" t="s">
        <v>45</v>
      </c>
      <c r="B4" s="18" t="s">
        <v>48</v>
      </c>
      <c r="C4" s="18" t="s">
        <v>49</v>
      </c>
      <c r="D4" s="18" t="s">
        <v>50</v>
      </c>
      <c r="E4" s="18" t="s">
        <v>51</v>
      </c>
      <c r="F4" s="18" t="s">
        <v>52</v>
      </c>
      <c r="G4" s="18" t="s">
        <v>53</v>
      </c>
      <c r="H4" s="18" t="s">
        <v>54</v>
      </c>
    </row>
    <row r="5" customFormat="false" ht="15" hidden="false" customHeight="false" outlineLevel="0" collapsed="false">
      <c r="A5" s="27" t="s">
        <v>55</v>
      </c>
      <c r="B5" s="22" t="n">
        <v>54</v>
      </c>
      <c r="C5" s="22" t="n">
        <v>52</v>
      </c>
      <c r="D5" s="28" t="n">
        <v>42</v>
      </c>
      <c r="E5" s="22" t="n">
        <v>36</v>
      </c>
      <c r="F5" s="22" t="n">
        <v>2</v>
      </c>
      <c r="G5" s="29" t="n">
        <v>0.962962962962963</v>
      </c>
      <c r="H5" s="21" t="n">
        <v>51.4328846153846</v>
      </c>
    </row>
    <row r="6" customFormat="false" ht="15" hidden="false" customHeight="false" outlineLevel="0" collapsed="false">
      <c r="A6" s="30" t="s">
        <v>56</v>
      </c>
      <c r="B6" s="26" t="n">
        <v>26</v>
      </c>
      <c r="C6" s="26" t="n">
        <v>24</v>
      </c>
      <c r="D6" s="28" t="n">
        <v>17</v>
      </c>
      <c r="E6" s="26" t="n">
        <v>10</v>
      </c>
      <c r="F6" s="26" t="n">
        <v>2</v>
      </c>
      <c r="G6" s="31" t="n">
        <v>0.923076923076923</v>
      </c>
      <c r="H6" s="25" t="n">
        <v>260.71625</v>
      </c>
    </row>
    <row r="7" customFormat="false" ht="15" hidden="false" customHeight="false" outlineLevel="0" collapsed="false">
      <c r="A7" s="32" t="s">
        <v>57</v>
      </c>
      <c r="B7" s="22" t="n">
        <v>19</v>
      </c>
      <c r="C7" s="22" t="n">
        <v>19</v>
      </c>
      <c r="D7" s="28" t="n">
        <v>9</v>
      </c>
      <c r="E7" s="22" t="n">
        <v>6</v>
      </c>
      <c r="F7" s="22" t="n">
        <v>0</v>
      </c>
      <c r="G7" s="29" t="n">
        <v>1</v>
      </c>
      <c r="H7" s="21" t="n">
        <v>93.0031578947368</v>
      </c>
    </row>
    <row r="8" customFormat="false" ht="15" hidden="false" customHeight="false" outlineLevel="0" collapsed="false">
      <c r="A8" s="33" t="s">
        <v>58</v>
      </c>
      <c r="B8" s="26" t="n">
        <v>45</v>
      </c>
      <c r="C8" s="26" t="n">
        <v>44</v>
      </c>
      <c r="D8" s="28" t="n">
        <v>39</v>
      </c>
      <c r="E8" s="26" t="n">
        <v>40</v>
      </c>
      <c r="F8" s="26" t="n">
        <v>1</v>
      </c>
      <c r="G8" s="31" t="n">
        <v>0.977777777777778</v>
      </c>
      <c r="H8" s="25" t="n">
        <v>57.3306818181818</v>
      </c>
    </row>
    <row r="9" customFormat="false" ht="15" hidden="false" customHeight="false" outlineLevel="0" collapsed="false">
      <c r="A9" s="34" t="s">
        <v>59</v>
      </c>
      <c r="B9" s="22" t="n">
        <v>28</v>
      </c>
      <c r="C9" s="22" t="n">
        <v>26</v>
      </c>
      <c r="D9" s="28" t="n">
        <v>20</v>
      </c>
      <c r="E9" s="22" t="n">
        <v>18</v>
      </c>
      <c r="F9" s="22" t="n">
        <v>2</v>
      </c>
      <c r="G9" s="29" t="n">
        <v>0.928571428571429</v>
      </c>
      <c r="H9" s="21" t="n">
        <v>127.109615384615</v>
      </c>
    </row>
    <row r="10" customFormat="false" ht="15" hidden="false" customHeight="false" outlineLevel="0" collapsed="false">
      <c r="A10" s="35" t="s">
        <v>60</v>
      </c>
      <c r="B10" s="26" t="n">
        <v>36</v>
      </c>
      <c r="C10" s="26" t="n">
        <v>33</v>
      </c>
      <c r="D10" s="28" t="n">
        <v>27</v>
      </c>
      <c r="E10" s="26" t="n">
        <v>29</v>
      </c>
      <c r="F10" s="26" t="n">
        <v>3</v>
      </c>
      <c r="G10" s="31" t="n">
        <v>0.916666666666667</v>
      </c>
      <c r="H10" s="25" t="n">
        <v>39.379696969697</v>
      </c>
    </row>
    <row r="11" customFormat="false" ht="15" hidden="false" customHeight="false" outlineLevel="0" collapsed="false">
      <c r="A11" s="36" t="s">
        <v>61</v>
      </c>
      <c r="B11" s="22" t="n">
        <v>17</v>
      </c>
      <c r="C11" s="22" t="n">
        <v>12</v>
      </c>
      <c r="D11" s="28" t="n">
        <v>10</v>
      </c>
      <c r="E11" s="22" t="n">
        <v>7</v>
      </c>
      <c r="F11" s="22" t="n">
        <v>5</v>
      </c>
      <c r="G11" s="29" t="n">
        <v>0.705882352941177</v>
      </c>
      <c r="H11" s="21" t="n">
        <v>157.53</v>
      </c>
    </row>
    <row r="12" customFormat="false" ht="15" hidden="false" customHeight="false" outlineLevel="0" collapsed="false">
      <c r="A12" s="37" t="s">
        <v>62</v>
      </c>
      <c r="B12" s="26" t="n">
        <v>23</v>
      </c>
      <c r="C12" s="26" t="n">
        <v>23</v>
      </c>
      <c r="D12" s="28" t="n">
        <v>23</v>
      </c>
      <c r="E12" s="26" t="n">
        <v>23</v>
      </c>
      <c r="F12" s="26" t="n">
        <v>0</v>
      </c>
      <c r="G12" s="31" t="n">
        <v>1</v>
      </c>
      <c r="H12" s="25" t="n">
        <v>8.91695652173913</v>
      </c>
    </row>
    <row r="13" customFormat="false" ht="15" hidden="false" customHeight="false" outlineLevel="0" collapsed="false">
      <c r="A13" s="38" t="s">
        <v>63</v>
      </c>
      <c r="B13" s="22" t="n">
        <v>23</v>
      </c>
      <c r="C13" s="22" t="n">
        <v>23</v>
      </c>
      <c r="D13" s="28" t="n">
        <v>21</v>
      </c>
      <c r="E13" s="22" t="n">
        <v>21</v>
      </c>
      <c r="F13" s="22" t="n">
        <v>0</v>
      </c>
      <c r="G13" s="29" t="n">
        <v>1</v>
      </c>
      <c r="H13" s="21" t="n">
        <v>13.014347826087</v>
      </c>
    </row>
    <row r="14" customFormat="false" ht="15" hidden="false" customHeight="false" outlineLevel="0" collapsed="false">
      <c r="A14" s="39" t="s">
        <v>64</v>
      </c>
      <c r="B14" s="26" t="n">
        <v>17</v>
      </c>
      <c r="C14" s="26" t="n">
        <v>14</v>
      </c>
      <c r="D14" s="28" t="n">
        <v>14</v>
      </c>
      <c r="E14" s="26" t="n">
        <v>14</v>
      </c>
      <c r="F14" s="26" t="n">
        <v>3</v>
      </c>
      <c r="G14" s="31" t="n">
        <v>0.823529411764706</v>
      </c>
      <c r="H14" s="25" t="n">
        <v>20.4664285714286</v>
      </c>
    </row>
    <row r="15" customFormat="false" ht="15" hidden="false" customHeight="false" outlineLevel="0" collapsed="false">
      <c r="A15" s="40" t="s">
        <v>65</v>
      </c>
      <c r="B15" s="22" t="n">
        <v>16</v>
      </c>
      <c r="C15" s="22" t="n">
        <v>16</v>
      </c>
      <c r="D15" s="28" t="n">
        <v>13</v>
      </c>
      <c r="E15" s="22" t="n">
        <v>12</v>
      </c>
      <c r="F15" s="22" t="n">
        <v>0</v>
      </c>
      <c r="G15" s="29" t="n">
        <v>1</v>
      </c>
      <c r="H15" s="21" t="n">
        <v>31.914375</v>
      </c>
    </row>
    <row r="16" customFormat="false" ht="15" hidden="false" customHeight="false" outlineLevel="0" collapsed="false">
      <c r="A16" s="41" t="s">
        <v>66</v>
      </c>
      <c r="B16" s="26" t="n">
        <v>20</v>
      </c>
      <c r="C16" s="26" t="n">
        <v>19</v>
      </c>
      <c r="D16" s="28" t="n">
        <v>16</v>
      </c>
      <c r="E16" s="26" t="n">
        <v>14</v>
      </c>
      <c r="F16" s="26" t="n">
        <v>1</v>
      </c>
      <c r="G16" s="31" t="n">
        <v>0.95</v>
      </c>
      <c r="H16" s="25" t="n">
        <v>4.77947368421053</v>
      </c>
    </row>
    <row r="17" customFormat="false" ht="15" hidden="false" customHeight="false" outlineLevel="0" collapsed="false">
      <c r="A17" s="42" t="s">
        <v>67</v>
      </c>
      <c r="B17" s="22" t="n">
        <v>20</v>
      </c>
      <c r="C17" s="22" t="n">
        <v>20</v>
      </c>
      <c r="D17" s="28" t="n">
        <v>12</v>
      </c>
      <c r="E17" s="22" t="n">
        <v>15</v>
      </c>
      <c r="F17" s="22" t="n">
        <v>0</v>
      </c>
      <c r="G17" s="29" t="n">
        <v>1</v>
      </c>
      <c r="H17" s="21" t="n">
        <v>14.7385</v>
      </c>
    </row>
    <row r="18" customFormat="false" ht="15" hidden="false" customHeight="false" outlineLevel="0" collapsed="false">
      <c r="A18" s="43" t="s">
        <v>68</v>
      </c>
      <c r="B18" s="26" t="n">
        <v>19</v>
      </c>
      <c r="C18" s="26" t="n">
        <v>19</v>
      </c>
      <c r="D18" s="28" t="n">
        <v>17</v>
      </c>
      <c r="E18" s="26" t="n">
        <v>18</v>
      </c>
      <c r="F18" s="26" t="n">
        <v>0</v>
      </c>
      <c r="G18" s="31" t="n">
        <v>1</v>
      </c>
      <c r="H18" s="25" t="n">
        <v>11.6842105263158</v>
      </c>
    </row>
    <row r="19" customFormat="false" ht="15" hidden="false" customHeight="false" outlineLevel="0" collapsed="false">
      <c r="A19" s="44" t="s">
        <v>69</v>
      </c>
      <c r="B19" s="22" t="n">
        <v>16</v>
      </c>
      <c r="C19" s="22" t="n">
        <v>16</v>
      </c>
      <c r="D19" s="28" t="n">
        <v>14</v>
      </c>
      <c r="E19" s="22" t="n">
        <v>15</v>
      </c>
      <c r="F19" s="22" t="n">
        <v>0</v>
      </c>
      <c r="G19" s="29" t="n">
        <v>1</v>
      </c>
      <c r="H19" s="21" t="n">
        <v>115.363125</v>
      </c>
    </row>
    <row r="20" customFormat="false" ht="15" hidden="false" customHeight="false" outlineLevel="0" collapsed="false">
      <c r="A20" s="45" t="s">
        <v>70</v>
      </c>
      <c r="B20" s="26" t="n">
        <v>18</v>
      </c>
      <c r="C20" s="26" t="n">
        <v>16</v>
      </c>
      <c r="D20" s="28" t="n">
        <v>13</v>
      </c>
      <c r="E20" s="26" t="n">
        <v>11</v>
      </c>
      <c r="F20" s="26" t="n">
        <v>2</v>
      </c>
      <c r="G20" s="31" t="n">
        <v>0.888888888888889</v>
      </c>
      <c r="H20" s="25" t="n">
        <v>29.776875</v>
      </c>
    </row>
    <row r="21" customFormat="false" ht="15" hidden="false" customHeight="false" outlineLevel="0" collapsed="false">
      <c r="A21" s="20" t="s">
        <v>71</v>
      </c>
      <c r="B21" s="22" t="n">
        <v>150</v>
      </c>
      <c r="C21" s="22" t="n">
        <v>150</v>
      </c>
      <c r="D21" s="22" t="n">
        <v>0</v>
      </c>
      <c r="E21" s="22" t="n">
        <v>0</v>
      </c>
      <c r="F21" s="22" t="n">
        <v>0</v>
      </c>
      <c r="G21" s="29" t="n">
        <v>1</v>
      </c>
      <c r="H21" s="22"/>
    </row>
    <row r="22" customFormat="false" ht="15" hidden="false" customHeight="false" outlineLevel="0" collapsed="false">
      <c r="A22" s="46" t="s">
        <v>72</v>
      </c>
      <c r="B22" s="47" t="n">
        <v>547</v>
      </c>
      <c r="C22" s="47" t="n">
        <v>526</v>
      </c>
      <c r="D22" s="47" t="n">
        <v>307</v>
      </c>
      <c r="E22" s="47" t="n">
        <v>289</v>
      </c>
      <c r="F22" s="47" t="n">
        <v>21</v>
      </c>
      <c r="G22" s="48" t="n">
        <v>0.961608775137112</v>
      </c>
      <c r="H22" s="47"/>
    </row>
  </sheetData>
  <mergeCells count="2">
    <mergeCell ref="A1:H1"/>
    <mergeCell ref="A2:H2"/>
  </mergeCell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8C"/>
    <pageSetUpPr fitToPage="true"/>
  </sheetPr>
  <dimension ref="A1:S40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11" min="4" style="0" width="17"/>
    <col collapsed="false" customWidth="true" hidden="false" outlineLevel="0" max="12" min="12" style="0" width="22"/>
    <col collapsed="false" customWidth="true" hidden="false" outlineLevel="0" max="13" min="13" style="0" width="13"/>
    <col collapsed="false" customWidth="true" hidden="false" outlineLevel="0" max="15" min="14" style="0" width="11"/>
    <col collapsed="false" customWidth="true" hidden="false" outlineLevel="0" max="16" min="16" style="0" width="30"/>
    <col collapsed="false" customWidth="true" hidden="false" outlineLevel="0" max="17" min="17" style="0" width="34"/>
    <col collapsed="false" customWidth="true" hidden="false" outlineLevel="0" max="18" min="18" style="0" width="46"/>
    <col collapsed="false" customWidth="true" hidden="false" outlineLevel="0" max="19" min="19" style="0" width="16"/>
  </cols>
  <sheetData>
    <row r="1" customFormat="false" ht="30" hidden="false" customHeight="true" outlineLevel="0" collapsed="false">
      <c r="A1" s="14" t="s">
        <v>73</v>
      </c>
      <c r="B1" s="14"/>
      <c r="C1" s="14"/>
      <c r="D1" s="14"/>
      <c r="E1" s="14"/>
      <c r="F1" s="14"/>
      <c r="G1" s="14"/>
      <c r="H1" s="14"/>
      <c r="I1" s="14"/>
      <c r="J1" s="14"/>
      <c r="K1" s="14"/>
      <c r="L1" s="14"/>
      <c r="M1" s="14"/>
      <c r="N1" s="14"/>
      <c r="O1" s="14"/>
      <c r="P1" s="14"/>
      <c r="Q1" s="14"/>
      <c r="R1" s="14"/>
      <c r="S1" s="14"/>
    </row>
    <row r="2" customFormat="false" ht="30" hidden="false" customHeight="true" outlineLevel="0" collapsed="false">
      <c r="A2" s="3" t="s">
        <v>74</v>
      </c>
      <c r="B2" s="3"/>
      <c r="C2" s="3"/>
      <c r="D2" s="3"/>
      <c r="E2" s="3"/>
      <c r="F2" s="3"/>
      <c r="G2" s="3"/>
      <c r="H2" s="3"/>
      <c r="I2" s="3"/>
      <c r="J2" s="3"/>
      <c r="K2" s="3"/>
      <c r="L2" s="3"/>
      <c r="M2" s="3"/>
      <c r="N2" s="3"/>
      <c r="O2" s="3"/>
      <c r="P2" s="3"/>
      <c r="Q2" s="3"/>
      <c r="R2" s="3"/>
      <c r="S2" s="3"/>
    </row>
    <row r="4" customFormat="false" ht="31.5" hidden="false" customHeight="true" outlineLevel="0" collapsed="false">
      <c r="A4" s="18" t="s">
        <v>45</v>
      </c>
      <c r="B4" s="18" t="s">
        <v>36</v>
      </c>
      <c r="C4" s="18" t="s">
        <v>75</v>
      </c>
      <c r="D4" s="18" t="s">
        <v>76</v>
      </c>
      <c r="E4" s="18" t="s">
        <v>77</v>
      </c>
      <c r="F4" s="18" t="s">
        <v>78</v>
      </c>
      <c r="G4" s="18" t="s">
        <v>79</v>
      </c>
      <c r="H4" s="18" t="s">
        <v>80</v>
      </c>
      <c r="I4" s="18" t="s">
        <v>81</v>
      </c>
      <c r="J4" s="18" t="s">
        <v>82</v>
      </c>
      <c r="K4" s="18" t="s">
        <v>83</v>
      </c>
      <c r="L4" s="18" t="s">
        <v>84</v>
      </c>
      <c r="M4" s="18" t="s">
        <v>8</v>
      </c>
      <c r="N4" s="18" t="s">
        <v>85</v>
      </c>
      <c r="O4" s="18" t="s">
        <v>86</v>
      </c>
      <c r="P4" s="18" t="s">
        <v>87</v>
      </c>
      <c r="Q4" s="18" t="s">
        <v>43</v>
      </c>
      <c r="R4" s="18" t="s">
        <v>88</v>
      </c>
      <c r="S4" s="18" t="s">
        <v>89</v>
      </c>
    </row>
    <row r="5" customFormat="false" ht="22.35" hidden="false" customHeight="false" outlineLevel="0" collapsed="false">
      <c r="A5" s="20" t="s">
        <v>55</v>
      </c>
      <c r="B5" s="19" t="s">
        <v>90</v>
      </c>
      <c r="C5" s="22" t="s">
        <v>91</v>
      </c>
      <c r="D5" s="49" t="n">
        <v>8.46</v>
      </c>
      <c r="E5" s="21"/>
      <c r="F5" s="21" t="n">
        <v>8.78</v>
      </c>
      <c r="G5" s="21"/>
      <c r="H5" s="21"/>
      <c r="I5" s="21"/>
      <c r="J5" s="21"/>
      <c r="K5" s="21"/>
      <c r="L5" s="50" t="s">
        <v>76</v>
      </c>
      <c r="M5" s="51" t="n">
        <v>8.46</v>
      </c>
      <c r="N5" s="52" t="n">
        <v>3.6</v>
      </c>
      <c r="O5" s="22" t="n">
        <v>2</v>
      </c>
      <c r="P5" s="53" t="s">
        <v>92</v>
      </c>
      <c r="Q5" s="54" t="s">
        <v>93</v>
      </c>
      <c r="R5" s="54" t="s">
        <v>94</v>
      </c>
      <c r="S5" s="55" t="s">
        <v>95</v>
      </c>
    </row>
    <row r="6" customFormat="false" ht="22.35" hidden="false" customHeight="false" outlineLevel="0" collapsed="false">
      <c r="A6" s="24" t="s">
        <v>55</v>
      </c>
      <c r="B6" s="23" t="s">
        <v>96</v>
      </c>
      <c r="C6" s="26" t="s">
        <v>91</v>
      </c>
      <c r="D6" s="25" t="n">
        <v>8.09</v>
      </c>
      <c r="E6" s="25"/>
      <c r="F6" s="49" t="n">
        <v>6.89</v>
      </c>
      <c r="G6" s="25"/>
      <c r="H6" s="25"/>
      <c r="I6" s="25"/>
      <c r="J6" s="25"/>
      <c r="K6" s="25"/>
      <c r="L6" s="56" t="s">
        <v>78</v>
      </c>
      <c r="M6" s="57" t="n">
        <v>6.89</v>
      </c>
      <c r="N6" s="58" t="n">
        <v>14.8</v>
      </c>
      <c r="O6" s="26" t="n">
        <v>2</v>
      </c>
      <c r="P6" s="59" t="s">
        <v>97</v>
      </c>
      <c r="Q6" s="60" t="s">
        <v>93</v>
      </c>
      <c r="R6" s="60" t="s">
        <v>98</v>
      </c>
      <c r="S6" s="61" t="s">
        <v>95</v>
      </c>
    </row>
    <row r="7" customFormat="false" ht="15" hidden="false" customHeight="false" outlineLevel="0" collapsed="false">
      <c r="A7" s="20" t="s">
        <v>55</v>
      </c>
      <c r="B7" s="19" t="s">
        <v>99</v>
      </c>
      <c r="C7" s="22" t="s">
        <v>91</v>
      </c>
      <c r="D7" s="49" t="n">
        <v>5.9</v>
      </c>
      <c r="E7" s="21"/>
      <c r="F7" s="21" t="n">
        <v>6.82</v>
      </c>
      <c r="G7" s="21"/>
      <c r="H7" s="21"/>
      <c r="I7" s="21"/>
      <c r="J7" s="21"/>
      <c r="K7" s="21"/>
      <c r="L7" s="50" t="s">
        <v>76</v>
      </c>
      <c r="M7" s="51" t="n">
        <v>5.9</v>
      </c>
      <c r="N7" s="52" t="n">
        <v>13.5</v>
      </c>
      <c r="O7" s="22" t="n">
        <v>2</v>
      </c>
      <c r="P7" s="59" t="s">
        <v>97</v>
      </c>
      <c r="Q7" s="54" t="s">
        <v>93</v>
      </c>
      <c r="R7" s="54" t="s">
        <v>100</v>
      </c>
      <c r="S7" s="55" t="s">
        <v>95</v>
      </c>
    </row>
    <row r="8" customFormat="false" ht="15" hidden="false" customHeight="false" outlineLevel="0" collapsed="false">
      <c r="A8" s="24" t="s">
        <v>55</v>
      </c>
      <c r="B8" s="23" t="s">
        <v>101</v>
      </c>
      <c r="C8" s="26" t="s">
        <v>91</v>
      </c>
      <c r="D8" s="49" t="n">
        <v>10.61</v>
      </c>
      <c r="E8" s="25"/>
      <c r="F8" s="25" t="n">
        <v>13.1</v>
      </c>
      <c r="G8" s="25"/>
      <c r="H8" s="25"/>
      <c r="I8" s="25"/>
      <c r="J8" s="25"/>
      <c r="K8" s="25"/>
      <c r="L8" s="56" t="s">
        <v>76</v>
      </c>
      <c r="M8" s="57" t="n">
        <v>10.61</v>
      </c>
      <c r="N8" s="58" t="n">
        <v>19</v>
      </c>
      <c r="O8" s="26" t="n">
        <v>2</v>
      </c>
      <c r="P8" s="62" t="s">
        <v>92</v>
      </c>
      <c r="Q8" s="60" t="s">
        <v>93</v>
      </c>
      <c r="R8" s="60" t="s">
        <v>102</v>
      </c>
      <c r="S8" s="61" t="s">
        <v>95</v>
      </c>
    </row>
    <row r="9" customFormat="false" ht="22.35" hidden="false" customHeight="false" outlineLevel="0" collapsed="false">
      <c r="A9" s="20" t="s">
        <v>55</v>
      </c>
      <c r="B9" s="19" t="s">
        <v>103</v>
      </c>
      <c r="C9" s="22" t="s">
        <v>91</v>
      </c>
      <c r="D9" s="21" t="n">
        <v>107.92</v>
      </c>
      <c r="E9" s="21"/>
      <c r="F9" s="21"/>
      <c r="G9" s="21"/>
      <c r="H9" s="21"/>
      <c r="I9" s="21"/>
      <c r="J9" s="21"/>
      <c r="K9" s="21"/>
      <c r="L9" s="50" t="s">
        <v>76</v>
      </c>
      <c r="M9" s="51" t="n">
        <v>107.92</v>
      </c>
      <c r="N9" s="52"/>
      <c r="O9" s="22" t="n">
        <v>1</v>
      </c>
      <c r="P9" s="63"/>
      <c r="Q9" s="54" t="s">
        <v>93</v>
      </c>
      <c r="R9" s="54" t="s">
        <v>104</v>
      </c>
      <c r="S9" s="55" t="s">
        <v>95</v>
      </c>
    </row>
    <row r="10" customFormat="false" ht="22.35" hidden="false" customHeight="false" outlineLevel="0" collapsed="false">
      <c r="A10" s="24" t="s">
        <v>55</v>
      </c>
      <c r="B10" s="23" t="s">
        <v>105</v>
      </c>
      <c r="C10" s="26" t="s">
        <v>91</v>
      </c>
      <c r="D10" s="25" t="n">
        <v>58</v>
      </c>
      <c r="E10" s="25"/>
      <c r="F10" s="49" t="n">
        <v>47.05</v>
      </c>
      <c r="G10" s="25"/>
      <c r="H10" s="25" t="n">
        <v>50.85</v>
      </c>
      <c r="I10" s="25"/>
      <c r="J10" s="25"/>
      <c r="K10" s="25"/>
      <c r="L10" s="56" t="s">
        <v>78</v>
      </c>
      <c r="M10" s="57" t="n">
        <v>47.05</v>
      </c>
      <c r="N10" s="58" t="n">
        <v>18.9</v>
      </c>
      <c r="O10" s="26" t="n">
        <v>3</v>
      </c>
      <c r="P10" s="62" t="s">
        <v>92</v>
      </c>
      <c r="Q10" s="60" t="s">
        <v>93</v>
      </c>
      <c r="R10" s="60" t="s">
        <v>106</v>
      </c>
      <c r="S10" s="61" t="s">
        <v>95</v>
      </c>
    </row>
    <row r="11" customFormat="false" ht="22.35" hidden="false" customHeight="false" outlineLevel="0" collapsed="false">
      <c r="A11" s="20" t="s">
        <v>55</v>
      </c>
      <c r="B11" s="19" t="s">
        <v>107</v>
      </c>
      <c r="C11" s="22" t="s">
        <v>91</v>
      </c>
      <c r="D11" s="49" t="n">
        <v>277.14</v>
      </c>
      <c r="E11" s="21"/>
      <c r="F11" s="21"/>
      <c r="G11" s="21"/>
      <c r="H11" s="21" t="n">
        <v>121.52</v>
      </c>
      <c r="I11" s="21"/>
      <c r="J11" s="21"/>
      <c r="K11" s="21"/>
      <c r="L11" s="50" t="s">
        <v>76</v>
      </c>
      <c r="M11" s="51" t="n">
        <v>277.14</v>
      </c>
      <c r="N11" s="52"/>
      <c r="O11" s="22" t="n">
        <v>2</v>
      </c>
      <c r="P11" s="53" t="s">
        <v>92</v>
      </c>
      <c r="Q11" s="54" t="s">
        <v>93</v>
      </c>
      <c r="R11" s="54" t="s">
        <v>108</v>
      </c>
      <c r="S11" s="55" t="s">
        <v>95</v>
      </c>
    </row>
    <row r="12" customFormat="false" ht="22.35" hidden="false" customHeight="false" outlineLevel="0" collapsed="false">
      <c r="A12" s="24" t="s">
        <v>55</v>
      </c>
      <c r="B12" s="23" t="s">
        <v>109</v>
      </c>
      <c r="C12" s="26" t="s">
        <v>91</v>
      </c>
      <c r="D12" s="25" t="n">
        <v>140.64</v>
      </c>
      <c r="E12" s="25" t="n">
        <v>251.34</v>
      </c>
      <c r="F12" s="49" t="n">
        <v>135.9</v>
      </c>
      <c r="G12" s="25"/>
      <c r="H12" s="25"/>
      <c r="I12" s="25"/>
      <c r="J12" s="25"/>
      <c r="K12" s="25"/>
      <c r="L12" s="56" t="s">
        <v>78</v>
      </c>
      <c r="M12" s="57" t="n">
        <v>135.9</v>
      </c>
      <c r="N12" s="58" t="n">
        <v>45.9</v>
      </c>
      <c r="O12" s="26" t="n">
        <v>3</v>
      </c>
      <c r="P12" s="59" t="s">
        <v>97</v>
      </c>
      <c r="Q12" s="60" t="s">
        <v>93</v>
      </c>
      <c r="R12" s="60" t="s">
        <v>110</v>
      </c>
      <c r="S12" s="61" t="s">
        <v>95</v>
      </c>
    </row>
    <row r="13" customFormat="false" ht="22.35" hidden="false" customHeight="false" outlineLevel="0" collapsed="false">
      <c r="A13" s="20" t="s">
        <v>55</v>
      </c>
      <c r="B13" s="19" t="s">
        <v>111</v>
      </c>
      <c r="C13" s="22" t="s">
        <v>91</v>
      </c>
      <c r="D13" s="21"/>
      <c r="E13" s="21" t="n">
        <v>92.05</v>
      </c>
      <c r="F13" s="49" t="n">
        <v>60.72</v>
      </c>
      <c r="G13" s="21"/>
      <c r="H13" s="21"/>
      <c r="I13" s="21"/>
      <c r="J13" s="21"/>
      <c r="K13" s="21"/>
      <c r="L13" s="50" t="s">
        <v>78</v>
      </c>
      <c r="M13" s="51" t="n">
        <v>60.72</v>
      </c>
      <c r="N13" s="52" t="n">
        <v>34</v>
      </c>
      <c r="O13" s="22" t="n">
        <v>2</v>
      </c>
      <c r="P13" s="59" t="s">
        <v>97</v>
      </c>
      <c r="Q13" s="54" t="s">
        <v>93</v>
      </c>
      <c r="R13" s="54" t="s">
        <v>112</v>
      </c>
      <c r="S13" s="55" t="s">
        <v>95</v>
      </c>
    </row>
    <row r="14" customFormat="false" ht="22.35" hidden="false" customHeight="false" outlineLevel="0" collapsed="false">
      <c r="A14" s="24" t="s">
        <v>55</v>
      </c>
      <c r="B14" s="23" t="s">
        <v>113</v>
      </c>
      <c r="C14" s="26" t="s">
        <v>91</v>
      </c>
      <c r="D14" s="25" t="n">
        <v>83.08</v>
      </c>
      <c r="E14" s="49" t="n">
        <v>74.75</v>
      </c>
      <c r="F14" s="25" t="n">
        <v>80.46</v>
      </c>
      <c r="G14" s="25"/>
      <c r="H14" s="25"/>
      <c r="I14" s="25"/>
      <c r="J14" s="25"/>
      <c r="K14" s="25"/>
      <c r="L14" s="56" t="s">
        <v>77</v>
      </c>
      <c r="M14" s="57" t="n">
        <v>74.75</v>
      </c>
      <c r="N14" s="58" t="n">
        <v>10</v>
      </c>
      <c r="O14" s="26" t="n">
        <v>3</v>
      </c>
      <c r="P14" s="59" t="s">
        <v>97</v>
      </c>
      <c r="Q14" s="60" t="s">
        <v>114</v>
      </c>
      <c r="R14" s="60" t="s">
        <v>115</v>
      </c>
      <c r="S14" s="26"/>
    </row>
    <row r="15" customFormat="false" ht="15" hidden="false" customHeight="false" outlineLevel="0" collapsed="false">
      <c r="A15" s="20" t="s">
        <v>55</v>
      </c>
      <c r="B15" s="19" t="s">
        <v>116</v>
      </c>
      <c r="C15" s="22" t="s">
        <v>91</v>
      </c>
      <c r="D15" s="21"/>
      <c r="E15" s="21" t="n">
        <v>122.01</v>
      </c>
      <c r="F15" s="49" t="n">
        <v>78.77</v>
      </c>
      <c r="G15" s="21"/>
      <c r="H15" s="21" t="n">
        <v>37.79</v>
      </c>
      <c r="I15" s="21"/>
      <c r="J15" s="21"/>
      <c r="K15" s="21"/>
      <c r="L15" s="50" t="s">
        <v>78</v>
      </c>
      <c r="M15" s="51" t="n">
        <v>78.77</v>
      </c>
      <c r="N15" s="52" t="n">
        <v>35.4</v>
      </c>
      <c r="O15" s="22" t="n">
        <v>3</v>
      </c>
      <c r="P15" s="53" t="s">
        <v>92</v>
      </c>
      <c r="Q15" s="54" t="s">
        <v>93</v>
      </c>
      <c r="R15" s="54" t="s">
        <v>117</v>
      </c>
      <c r="S15" s="55" t="s">
        <v>95</v>
      </c>
    </row>
    <row r="16" customFormat="false" ht="15" hidden="false" customHeight="false" outlineLevel="0" collapsed="false">
      <c r="A16" s="24" t="s">
        <v>55</v>
      </c>
      <c r="B16" s="23" t="s">
        <v>118</v>
      </c>
      <c r="C16" s="26" t="s">
        <v>91</v>
      </c>
      <c r="D16" s="25"/>
      <c r="E16" s="25" t="n">
        <v>66.74</v>
      </c>
      <c r="F16" s="25" t="n">
        <v>56.26</v>
      </c>
      <c r="G16" s="25"/>
      <c r="H16" s="25" t="n">
        <v>28.2</v>
      </c>
      <c r="I16" s="49" t="n">
        <v>43.79</v>
      </c>
      <c r="J16" s="25"/>
      <c r="K16" s="25"/>
      <c r="L16" s="56" t="s">
        <v>81</v>
      </c>
      <c r="M16" s="57" t="n">
        <v>43.79</v>
      </c>
      <c r="N16" s="58" t="n">
        <v>34.4</v>
      </c>
      <c r="O16" s="26" t="n">
        <v>4</v>
      </c>
      <c r="P16" s="59" t="s">
        <v>97</v>
      </c>
      <c r="Q16" s="60" t="s">
        <v>119</v>
      </c>
      <c r="R16" s="60" t="s">
        <v>120</v>
      </c>
      <c r="S16" s="61" t="s">
        <v>95</v>
      </c>
    </row>
    <row r="17" customFormat="false" ht="22.35" hidden="false" customHeight="false" outlineLevel="0" collapsed="false">
      <c r="A17" s="20" t="s">
        <v>55</v>
      </c>
      <c r="B17" s="19" t="s">
        <v>121</v>
      </c>
      <c r="C17" s="22" t="s">
        <v>91</v>
      </c>
      <c r="D17" s="49" t="n">
        <v>45.64</v>
      </c>
      <c r="E17" s="21"/>
      <c r="F17" s="21" t="n">
        <v>46.31</v>
      </c>
      <c r="G17" s="21"/>
      <c r="H17" s="21"/>
      <c r="I17" s="21"/>
      <c r="J17" s="21"/>
      <c r="K17" s="21"/>
      <c r="L17" s="50" t="s">
        <v>76</v>
      </c>
      <c r="M17" s="51" t="n">
        <v>45.64</v>
      </c>
      <c r="N17" s="52" t="n">
        <v>1.4</v>
      </c>
      <c r="O17" s="22" t="n">
        <v>2</v>
      </c>
      <c r="P17" s="59" t="s">
        <v>97</v>
      </c>
      <c r="Q17" s="54" t="s">
        <v>93</v>
      </c>
      <c r="R17" s="54" t="s">
        <v>122</v>
      </c>
      <c r="S17" s="55" t="s">
        <v>95</v>
      </c>
    </row>
    <row r="18" customFormat="false" ht="22.35" hidden="false" customHeight="false" outlineLevel="0" collapsed="false">
      <c r="A18" s="24" t="s">
        <v>55</v>
      </c>
      <c r="B18" s="23" t="s">
        <v>123</v>
      </c>
      <c r="C18" s="26" t="s">
        <v>91</v>
      </c>
      <c r="D18" s="25" t="n">
        <v>84.44</v>
      </c>
      <c r="E18" s="25"/>
      <c r="F18" s="25"/>
      <c r="G18" s="25"/>
      <c r="H18" s="25"/>
      <c r="I18" s="25"/>
      <c r="J18" s="25"/>
      <c r="K18" s="25"/>
      <c r="L18" s="56" t="s">
        <v>76</v>
      </c>
      <c r="M18" s="57" t="n">
        <v>84.44</v>
      </c>
      <c r="N18" s="58"/>
      <c r="O18" s="26" t="n">
        <v>1</v>
      </c>
      <c r="P18" s="64"/>
      <c r="Q18" s="60" t="s">
        <v>93</v>
      </c>
      <c r="R18" s="60" t="s">
        <v>124</v>
      </c>
      <c r="S18" s="61" t="s">
        <v>95</v>
      </c>
    </row>
    <row r="19" customFormat="false" ht="22.35" hidden="false" customHeight="false" outlineLevel="0" collapsed="false">
      <c r="A19" s="20" t="s">
        <v>55</v>
      </c>
      <c r="B19" s="19" t="s">
        <v>125</v>
      </c>
      <c r="C19" s="22" t="s">
        <v>91</v>
      </c>
      <c r="D19" s="49" t="n">
        <v>4.7</v>
      </c>
      <c r="E19" s="21" t="n">
        <v>27.95</v>
      </c>
      <c r="F19" s="21"/>
      <c r="G19" s="21"/>
      <c r="H19" s="21" t="n">
        <v>5.5</v>
      </c>
      <c r="I19" s="21"/>
      <c r="J19" s="21"/>
      <c r="K19" s="21"/>
      <c r="L19" s="50" t="s">
        <v>76</v>
      </c>
      <c r="M19" s="51" t="n">
        <v>4.7</v>
      </c>
      <c r="N19" s="52" t="n">
        <v>83.2</v>
      </c>
      <c r="O19" s="22" t="n">
        <v>3</v>
      </c>
      <c r="P19" s="59" t="s">
        <v>97</v>
      </c>
      <c r="Q19" s="54" t="s">
        <v>93</v>
      </c>
      <c r="R19" s="54" t="s">
        <v>126</v>
      </c>
      <c r="S19" s="55" t="s">
        <v>95</v>
      </c>
    </row>
    <row r="20" customFormat="false" ht="32.8" hidden="false" customHeight="false" outlineLevel="0" collapsed="false">
      <c r="A20" s="24" t="s">
        <v>55</v>
      </c>
      <c r="B20" s="23" t="s">
        <v>127</v>
      </c>
      <c r="C20" s="26" t="s">
        <v>91</v>
      </c>
      <c r="D20" s="25"/>
      <c r="E20" s="25" t="n">
        <v>674.69</v>
      </c>
      <c r="F20" s="25"/>
      <c r="G20" s="25"/>
      <c r="H20" s="25"/>
      <c r="I20" s="25"/>
      <c r="J20" s="25"/>
      <c r="K20" s="25"/>
      <c r="L20" s="56" t="s">
        <v>77</v>
      </c>
      <c r="M20" s="57" t="n">
        <v>674.69</v>
      </c>
      <c r="N20" s="58"/>
      <c r="O20" s="26" t="n">
        <v>1</v>
      </c>
      <c r="P20" s="64"/>
      <c r="Q20" s="60" t="s">
        <v>114</v>
      </c>
      <c r="R20" s="60" t="s">
        <v>128</v>
      </c>
      <c r="S20" s="26"/>
    </row>
    <row r="21" customFormat="false" ht="32.8" hidden="false" customHeight="false" outlineLevel="0" collapsed="false">
      <c r="A21" s="20" t="s">
        <v>55</v>
      </c>
      <c r="B21" s="19" t="s">
        <v>129</v>
      </c>
      <c r="C21" s="22" t="s">
        <v>91</v>
      </c>
      <c r="D21" s="21"/>
      <c r="E21" s="21" t="n">
        <v>674.69</v>
      </c>
      <c r="F21" s="21"/>
      <c r="G21" s="21"/>
      <c r="H21" s="21"/>
      <c r="I21" s="21"/>
      <c r="J21" s="21"/>
      <c r="K21" s="21"/>
      <c r="L21" s="50" t="s">
        <v>77</v>
      </c>
      <c r="M21" s="51" t="n">
        <v>674.69</v>
      </c>
      <c r="N21" s="52"/>
      <c r="O21" s="22" t="n">
        <v>1</v>
      </c>
      <c r="P21" s="63"/>
      <c r="Q21" s="54" t="s">
        <v>114</v>
      </c>
      <c r="R21" s="54" t="s">
        <v>128</v>
      </c>
      <c r="S21" s="22"/>
    </row>
    <row r="22" customFormat="false" ht="15" hidden="false" customHeight="false" outlineLevel="0" collapsed="false">
      <c r="A22" s="24" t="s">
        <v>55</v>
      </c>
      <c r="B22" s="23" t="s">
        <v>130</v>
      </c>
      <c r="C22" s="26" t="s">
        <v>91</v>
      </c>
      <c r="D22" s="49" t="n">
        <v>36.75</v>
      </c>
      <c r="E22" s="25" t="n">
        <v>80.09</v>
      </c>
      <c r="F22" s="25" t="n">
        <v>105.54</v>
      </c>
      <c r="G22" s="25"/>
      <c r="H22" s="25" t="n">
        <v>71.43</v>
      </c>
      <c r="I22" s="25"/>
      <c r="J22" s="25"/>
      <c r="K22" s="25"/>
      <c r="L22" s="56" t="s">
        <v>76</v>
      </c>
      <c r="M22" s="57" t="n">
        <v>36.75</v>
      </c>
      <c r="N22" s="58" t="n">
        <v>65.2</v>
      </c>
      <c r="O22" s="26" t="n">
        <v>4</v>
      </c>
      <c r="P22" s="62" t="s">
        <v>92</v>
      </c>
      <c r="Q22" s="60" t="s">
        <v>93</v>
      </c>
      <c r="R22" s="60" t="s">
        <v>131</v>
      </c>
      <c r="S22" s="61" t="s">
        <v>95</v>
      </c>
    </row>
    <row r="23" customFormat="false" ht="22.35" hidden="false" customHeight="false" outlineLevel="0" collapsed="false">
      <c r="A23" s="20" t="s">
        <v>55</v>
      </c>
      <c r="B23" s="19" t="s">
        <v>132</v>
      </c>
      <c r="C23" s="22" t="s">
        <v>91</v>
      </c>
      <c r="D23" s="49" t="n">
        <v>28.36</v>
      </c>
      <c r="E23" s="21"/>
      <c r="F23" s="21" t="n">
        <v>44.73</v>
      </c>
      <c r="G23" s="21"/>
      <c r="H23" s="21"/>
      <c r="I23" s="21"/>
      <c r="J23" s="21"/>
      <c r="K23" s="21"/>
      <c r="L23" s="50" t="s">
        <v>76</v>
      </c>
      <c r="M23" s="51" t="n">
        <v>28.36</v>
      </c>
      <c r="N23" s="52" t="n">
        <v>36.6</v>
      </c>
      <c r="O23" s="22" t="n">
        <v>2</v>
      </c>
      <c r="P23" s="53" t="s">
        <v>92</v>
      </c>
      <c r="Q23" s="54" t="s">
        <v>93</v>
      </c>
      <c r="R23" s="54" t="s">
        <v>133</v>
      </c>
      <c r="S23" s="55" t="s">
        <v>95</v>
      </c>
    </row>
    <row r="24" customFormat="false" ht="22.35" hidden="false" customHeight="false" outlineLevel="0" collapsed="false">
      <c r="A24" s="24" t="s">
        <v>55</v>
      </c>
      <c r="B24" s="23" t="s">
        <v>134</v>
      </c>
      <c r="C24" s="26" t="s">
        <v>91</v>
      </c>
      <c r="D24" s="49" t="n">
        <v>4.75</v>
      </c>
      <c r="E24" s="25" t="n">
        <v>13.52</v>
      </c>
      <c r="F24" s="25" t="n">
        <v>17.08</v>
      </c>
      <c r="G24" s="25"/>
      <c r="H24" s="25"/>
      <c r="I24" s="25"/>
      <c r="J24" s="25"/>
      <c r="K24" s="25"/>
      <c r="L24" s="56" t="s">
        <v>76</v>
      </c>
      <c r="M24" s="57" t="n">
        <v>4.75</v>
      </c>
      <c r="N24" s="58" t="n">
        <v>72.2</v>
      </c>
      <c r="O24" s="26" t="n">
        <v>3</v>
      </c>
      <c r="P24" s="62" t="s">
        <v>92</v>
      </c>
      <c r="Q24" s="60" t="s">
        <v>93</v>
      </c>
      <c r="R24" s="60" t="s">
        <v>135</v>
      </c>
      <c r="S24" s="61" t="s">
        <v>95</v>
      </c>
    </row>
    <row r="25" customFormat="false" ht="22.35" hidden="false" customHeight="false" outlineLevel="0" collapsed="false">
      <c r="A25" s="20" t="s">
        <v>55</v>
      </c>
      <c r="B25" s="19" t="s">
        <v>136</v>
      </c>
      <c r="C25" s="22" t="s">
        <v>137</v>
      </c>
      <c r="D25" s="49" t="n">
        <v>17.82</v>
      </c>
      <c r="E25" s="21"/>
      <c r="F25" s="21"/>
      <c r="G25" s="21"/>
      <c r="H25" s="21"/>
      <c r="I25" s="21" t="n">
        <v>32.04</v>
      </c>
      <c r="J25" s="21"/>
      <c r="K25" s="21"/>
      <c r="L25" s="50" t="s">
        <v>76</v>
      </c>
      <c r="M25" s="51" t="n">
        <v>17.82</v>
      </c>
      <c r="N25" s="52"/>
      <c r="O25" s="22" t="n">
        <v>2</v>
      </c>
      <c r="P25" s="59" t="s">
        <v>138</v>
      </c>
      <c r="Q25" s="54" t="s">
        <v>93</v>
      </c>
      <c r="R25" s="54" t="s">
        <v>139</v>
      </c>
      <c r="S25" s="55" t="s">
        <v>95</v>
      </c>
    </row>
    <row r="26" customFormat="false" ht="22.35" hidden="false" customHeight="false" outlineLevel="0" collapsed="false">
      <c r="A26" s="24" t="s">
        <v>55</v>
      </c>
      <c r="B26" s="23" t="s">
        <v>140</v>
      </c>
      <c r="C26" s="26" t="s">
        <v>137</v>
      </c>
      <c r="D26" s="49" t="n">
        <v>27.43</v>
      </c>
      <c r="E26" s="25"/>
      <c r="F26" s="25"/>
      <c r="G26" s="25"/>
      <c r="H26" s="25"/>
      <c r="I26" s="25" t="n">
        <v>86.67</v>
      </c>
      <c r="J26" s="25"/>
      <c r="K26" s="25"/>
      <c r="L26" s="56" t="s">
        <v>76</v>
      </c>
      <c r="M26" s="57" t="n">
        <v>27.43</v>
      </c>
      <c r="N26" s="58"/>
      <c r="O26" s="26" t="n">
        <v>2</v>
      </c>
      <c r="P26" s="59" t="s">
        <v>138</v>
      </c>
      <c r="Q26" s="60" t="s">
        <v>93</v>
      </c>
      <c r="R26" s="60" t="s">
        <v>141</v>
      </c>
      <c r="S26" s="61" t="s">
        <v>95</v>
      </c>
    </row>
    <row r="27" customFormat="false" ht="22.35" hidden="false" customHeight="false" outlineLevel="0" collapsed="false">
      <c r="A27" s="20" t="s">
        <v>55</v>
      </c>
      <c r="B27" s="19" t="s">
        <v>142</v>
      </c>
      <c r="C27" s="22" t="s">
        <v>137</v>
      </c>
      <c r="D27" s="21"/>
      <c r="E27" s="21"/>
      <c r="F27" s="21" t="n">
        <v>8.24</v>
      </c>
      <c r="G27" s="21"/>
      <c r="H27" s="21"/>
      <c r="I27" s="21"/>
      <c r="J27" s="21"/>
      <c r="K27" s="21"/>
      <c r="L27" s="50" t="s">
        <v>78</v>
      </c>
      <c r="M27" s="51" t="n">
        <v>8.24</v>
      </c>
      <c r="N27" s="52"/>
      <c r="O27" s="22" t="n">
        <v>1</v>
      </c>
      <c r="P27" s="63"/>
      <c r="Q27" s="54" t="s">
        <v>93</v>
      </c>
      <c r="R27" s="54" t="s">
        <v>143</v>
      </c>
      <c r="S27" s="22"/>
    </row>
    <row r="28" customFormat="false" ht="15" hidden="false" customHeight="false" outlineLevel="0" collapsed="false">
      <c r="A28" s="24" t="s">
        <v>55</v>
      </c>
      <c r="B28" s="23" t="s">
        <v>144</v>
      </c>
      <c r="C28" s="26" t="s">
        <v>145</v>
      </c>
      <c r="D28" s="25"/>
      <c r="E28" s="25"/>
      <c r="F28" s="49" t="n">
        <v>25</v>
      </c>
      <c r="G28" s="25"/>
      <c r="H28" s="25"/>
      <c r="I28" s="25" t="n">
        <v>30.3</v>
      </c>
      <c r="J28" s="25"/>
      <c r="K28" s="25"/>
      <c r="L28" s="56" t="s">
        <v>78</v>
      </c>
      <c r="M28" s="57" t="n">
        <v>25</v>
      </c>
      <c r="N28" s="58" t="n">
        <v>17.5</v>
      </c>
      <c r="O28" s="26" t="n">
        <v>2</v>
      </c>
      <c r="P28" s="62" t="s">
        <v>92</v>
      </c>
      <c r="Q28" s="60" t="s">
        <v>93</v>
      </c>
      <c r="R28" s="60" t="s">
        <v>146</v>
      </c>
      <c r="S28" s="26"/>
    </row>
    <row r="29" customFormat="false" ht="15" hidden="false" customHeight="false" outlineLevel="0" collapsed="false">
      <c r="A29" s="20" t="s">
        <v>55</v>
      </c>
      <c r="B29" s="19" t="s">
        <v>147</v>
      </c>
      <c r="C29" s="22" t="s">
        <v>145</v>
      </c>
      <c r="D29" s="21"/>
      <c r="E29" s="21"/>
      <c r="F29" s="49" t="n">
        <v>42</v>
      </c>
      <c r="G29" s="21"/>
      <c r="H29" s="21"/>
      <c r="I29" s="21" t="n">
        <v>46.11</v>
      </c>
      <c r="J29" s="21"/>
      <c r="K29" s="21"/>
      <c r="L29" s="50" t="s">
        <v>78</v>
      </c>
      <c r="M29" s="51" t="n">
        <v>42</v>
      </c>
      <c r="N29" s="52" t="n">
        <v>8.9</v>
      </c>
      <c r="O29" s="22" t="n">
        <v>2</v>
      </c>
      <c r="P29" s="53" t="s">
        <v>92</v>
      </c>
      <c r="Q29" s="54" t="s">
        <v>93</v>
      </c>
      <c r="R29" s="54" t="s">
        <v>148</v>
      </c>
      <c r="S29" s="55" t="s">
        <v>95</v>
      </c>
    </row>
    <row r="30" customFormat="false" ht="15" hidden="false" customHeight="false" outlineLevel="0" collapsed="false">
      <c r="A30" s="24" t="s">
        <v>55</v>
      </c>
      <c r="B30" s="23" t="s">
        <v>149</v>
      </c>
      <c r="C30" s="26" t="s">
        <v>137</v>
      </c>
      <c r="D30" s="25"/>
      <c r="E30" s="25"/>
      <c r="F30" s="25" t="n">
        <v>1.53</v>
      </c>
      <c r="G30" s="25"/>
      <c r="H30" s="25"/>
      <c r="I30" s="25"/>
      <c r="J30" s="25"/>
      <c r="K30" s="25"/>
      <c r="L30" s="56" t="s">
        <v>78</v>
      </c>
      <c r="M30" s="57" t="n">
        <v>1.53</v>
      </c>
      <c r="N30" s="58"/>
      <c r="O30" s="26" t="n">
        <v>1</v>
      </c>
      <c r="P30" s="64"/>
      <c r="Q30" s="60" t="s">
        <v>93</v>
      </c>
      <c r="R30" s="60" t="s">
        <v>150</v>
      </c>
      <c r="S30" s="61" t="s">
        <v>95</v>
      </c>
    </row>
    <row r="31" customFormat="false" ht="22.35" hidden="false" customHeight="false" outlineLevel="0" collapsed="false">
      <c r="A31" s="20" t="s">
        <v>55</v>
      </c>
      <c r="B31" s="19" t="s">
        <v>151</v>
      </c>
      <c r="C31" s="22" t="s">
        <v>137</v>
      </c>
      <c r="D31" s="21"/>
      <c r="E31" s="21" t="n">
        <v>3.98</v>
      </c>
      <c r="F31" s="21"/>
      <c r="G31" s="21"/>
      <c r="H31" s="21"/>
      <c r="I31" s="21"/>
      <c r="J31" s="21"/>
      <c r="K31" s="21"/>
      <c r="L31" s="50" t="s">
        <v>77</v>
      </c>
      <c r="M31" s="51" t="n">
        <v>3.98</v>
      </c>
      <c r="N31" s="52"/>
      <c r="O31" s="22" t="n">
        <v>1</v>
      </c>
      <c r="P31" s="63"/>
      <c r="Q31" s="54" t="s">
        <v>114</v>
      </c>
      <c r="R31" s="54" t="s">
        <v>152</v>
      </c>
      <c r="S31" s="22"/>
    </row>
    <row r="32" customFormat="false" ht="22.35" hidden="false" customHeight="false" outlineLevel="0" collapsed="false">
      <c r="A32" s="24" t="s">
        <v>55</v>
      </c>
      <c r="B32" s="23" t="s">
        <v>153</v>
      </c>
      <c r="C32" s="26" t="s">
        <v>145</v>
      </c>
      <c r="D32" s="25"/>
      <c r="E32" s="25"/>
      <c r="F32" s="49" t="n">
        <v>47</v>
      </c>
      <c r="G32" s="25"/>
      <c r="H32" s="25" t="n">
        <v>59.3</v>
      </c>
      <c r="I32" s="25"/>
      <c r="J32" s="25"/>
      <c r="K32" s="25"/>
      <c r="L32" s="56" t="s">
        <v>78</v>
      </c>
      <c r="M32" s="57" t="n">
        <v>47</v>
      </c>
      <c r="N32" s="58"/>
      <c r="O32" s="26" t="n">
        <v>2</v>
      </c>
      <c r="P32" s="62" t="s">
        <v>92</v>
      </c>
      <c r="Q32" s="60" t="s">
        <v>93</v>
      </c>
      <c r="R32" s="60" t="s">
        <v>154</v>
      </c>
      <c r="S32" s="61" t="s">
        <v>95</v>
      </c>
    </row>
    <row r="33" customFormat="false" ht="22.35" hidden="false" customHeight="false" outlineLevel="0" collapsed="false">
      <c r="A33" s="20" t="s">
        <v>55</v>
      </c>
      <c r="B33" s="19" t="s">
        <v>155</v>
      </c>
      <c r="C33" s="22" t="s">
        <v>145</v>
      </c>
      <c r="D33" s="49" t="n">
        <v>63.11</v>
      </c>
      <c r="E33" s="21"/>
      <c r="F33" s="21" t="n">
        <v>0.82</v>
      </c>
      <c r="G33" s="21"/>
      <c r="H33" s="21"/>
      <c r="I33" s="21"/>
      <c r="J33" s="21"/>
      <c r="K33" s="21"/>
      <c r="L33" s="50" t="s">
        <v>76</v>
      </c>
      <c r="M33" s="51" t="n">
        <v>63.11</v>
      </c>
      <c r="N33" s="52"/>
      <c r="O33" s="22" t="n">
        <v>2</v>
      </c>
      <c r="P33" s="53" t="s">
        <v>92</v>
      </c>
      <c r="Q33" s="54" t="s">
        <v>93</v>
      </c>
      <c r="R33" s="54" t="s">
        <v>156</v>
      </c>
      <c r="S33" s="55" t="s">
        <v>95</v>
      </c>
    </row>
    <row r="34" customFormat="false" ht="15" hidden="false" customHeight="false" outlineLevel="0" collapsed="false">
      <c r="A34" s="24" t="s">
        <v>55</v>
      </c>
      <c r="B34" s="23" t="s">
        <v>157</v>
      </c>
      <c r="C34" s="26" t="s">
        <v>137</v>
      </c>
      <c r="D34" s="25" t="n">
        <v>1.86</v>
      </c>
      <c r="E34" s="25"/>
      <c r="F34" s="25"/>
      <c r="G34" s="25"/>
      <c r="H34" s="25"/>
      <c r="I34" s="25"/>
      <c r="J34" s="25"/>
      <c r="K34" s="25"/>
      <c r="L34" s="56" t="s">
        <v>76</v>
      </c>
      <c r="M34" s="57" t="n">
        <v>1.86</v>
      </c>
      <c r="N34" s="58"/>
      <c r="O34" s="26" t="n">
        <v>1</v>
      </c>
      <c r="P34" s="64"/>
      <c r="Q34" s="60" t="s">
        <v>93</v>
      </c>
      <c r="R34" s="60" t="s">
        <v>158</v>
      </c>
      <c r="S34" s="61" t="s">
        <v>95</v>
      </c>
    </row>
    <row r="35" customFormat="false" ht="22.35" hidden="false" customHeight="false" outlineLevel="0" collapsed="false">
      <c r="A35" s="20" t="s">
        <v>55</v>
      </c>
      <c r="B35" s="19" t="s">
        <v>159</v>
      </c>
      <c r="C35" s="22" t="s">
        <v>137</v>
      </c>
      <c r="D35" s="49" t="n">
        <v>22.11</v>
      </c>
      <c r="E35" s="21"/>
      <c r="F35" s="21" t="n">
        <v>16.02</v>
      </c>
      <c r="G35" s="21"/>
      <c r="H35" s="21"/>
      <c r="I35" s="21"/>
      <c r="J35" s="21"/>
      <c r="K35" s="21"/>
      <c r="L35" s="50" t="s">
        <v>76</v>
      </c>
      <c r="M35" s="51" t="n">
        <v>22.11</v>
      </c>
      <c r="N35" s="52"/>
      <c r="O35" s="22" t="n">
        <v>2</v>
      </c>
      <c r="P35" s="53" t="s">
        <v>92</v>
      </c>
      <c r="Q35" s="54" t="s">
        <v>93</v>
      </c>
      <c r="R35" s="54" t="s">
        <v>160</v>
      </c>
      <c r="S35" s="55" t="s">
        <v>95</v>
      </c>
    </row>
    <row r="36" customFormat="false" ht="22.35" hidden="false" customHeight="false" outlineLevel="0" collapsed="false">
      <c r="A36" s="24" t="s">
        <v>55</v>
      </c>
      <c r="B36" s="23" t="s">
        <v>161</v>
      </c>
      <c r="C36" s="26" t="s">
        <v>137</v>
      </c>
      <c r="D36" s="25" t="n">
        <v>22.11</v>
      </c>
      <c r="E36" s="25"/>
      <c r="F36" s="25"/>
      <c r="G36" s="25"/>
      <c r="H36" s="25"/>
      <c r="I36" s="25"/>
      <c r="J36" s="25"/>
      <c r="K36" s="25"/>
      <c r="L36" s="56" t="s">
        <v>76</v>
      </c>
      <c r="M36" s="57" t="n">
        <v>22.11</v>
      </c>
      <c r="N36" s="58"/>
      <c r="O36" s="26" t="n">
        <v>1</v>
      </c>
      <c r="P36" s="64"/>
      <c r="Q36" s="60" t="s">
        <v>93</v>
      </c>
      <c r="R36" s="60" t="s">
        <v>160</v>
      </c>
      <c r="S36" s="61" t="s">
        <v>95</v>
      </c>
    </row>
    <row r="37" customFormat="false" ht="22.35" hidden="false" customHeight="false" outlineLevel="0" collapsed="false">
      <c r="A37" s="20" t="s">
        <v>55</v>
      </c>
      <c r="B37" s="19" t="s">
        <v>162</v>
      </c>
      <c r="C37" s="22" t="s">
        <v>137</v>
      </c>
      <c r="D37" s="21"/>
      <c r="E37" s="21"/>
      <c r="F37" s="21"/>
      <c r="G37" s="21"/>
      <c r="H37" s="21"/>
      <c r="I37" s="21" t="n">
        <v>2.37</v>
      </c>
      <c r="J37" s="21"/>
      <c r="K37" s="21"/>
      <c r="L37" s="50" t="s">
        <v>81</v>
      </c>
      <c r="M37" s="51" t="n">
        <v>2.37</v>
      </c>
      <c r="N37" s="52"/>
      <c r="O37" s="22" t="n">
        <v>1</v>
      </c>
      <c r="P37" s="63"/>
      <c r="Q37" s="54" t="s">
        <v>119</v>
      </c>
      <c r="R37" s="54" t="s">
        <v>163</v>
      </c>
      <c r="S37" s="55" t="s">
        <v>95</v>
      </c>
    </row>
    <row r="38" customFormat="false" ht="22.35" hidden="false" customHeight="false" outlineLevel="0" collapsed="false">
      <c r="A38" s="24" t="s">
        <v>55</v>
      </c>
      <c r="B38" s="23" t="s">
        <v>164</v>
      </c>
      <c r="C38" s="26" t="s">
        <v>137</v>
      </c>
      <c r="D38" s="25" t="n">
        <v>24.86</v>
      </c>
      <c r="E38" s="25"/>
      <c r="F38" s="25"/>
      <c r="G38" s="25"/>
      <c r="H38" s="25"/>
      <c r="I38" s="25"/>
      <c r="J38" s="25"/>
      <c r="K38" s="25"/>
      <c r="L38" s="56" t="s">
        <v>76</v>
      </c>
      <c r="M38" s="57" t="n">
        <v>24.86</v>
      </c>
      <c r="N38" s="58"/>
      <c r="O38" s="26" t="n">
        <v>1</v>
      </c>
      <c r="P38" s="64"/>
      <c r="Q38" s="60" t="s">
        <v>93</v>
      </c>
      <c r="R38" s="60" t="s">
        <v>165</v>
      </c>
      <c r="S38" s="61" t="s">
        <v>95</v>
      </c>
    </row>
    <row r="39" customFormat="false" ht="22.35" hidden="false" customHeight="false" outlineLevel="0" collapsed="false">
      <c r="A39" s="20" t="s">
        <v>55</v>
      </c>
      <c r="B39" s="19" t="s">
        <v>166</v>
      </c>
      <c r="C39" s="22" t="s">
        <v>91</v>
      </c>
      <c r="D39" s="21"/>
      <c r="E39" s="21"/>
      <c r="F39" s="21" t="n">
        <v>0.39</v>
      </c>
      <c r="G39" s="21"/>
      <c r="H39" s="21"/>
      <c r="I39" s="21"/>
      <c r="J39" s="21"/>
      <c r="K39" s="21"/>
      <c r="L39" s="50" t="s">
        <v>78</v>
      </c>
      <c r="M39" s="51" t="n">
        <v>0.39</v>
      </c>
      <c r="N39" s="52"/>
      <c r="O39" s="22" t="n">
        <v>1</v>
      </c>
      <c r="P39" s="63"/>
      <c r="Q39" s="54" t="s">
        <v>93</v>
      </c>
      <c r="R39" s="54" t="s">
        <v>167</v>
      </c>
      <c r="S39" s="22"/>
    </row>
    <row r="40" customFormat="false" ht="15" hidden="false" customHeight="false" outlineLevel="0" collapsed="false">
      <c r="A40" s="24" t="s">
        <v>55</v>
      </c>
      <c r="B40" s="23" t="s">
        <v>168</v>
      </c>
      <c r="C40" s="26" t="s">
        <v>91</v>
      </c>
      <c r="D40" s="25" t="n">
        <v>15.8</v>
      </c>
      <c r="E40" s="25" t="n">
        <v>28.88</v>
      </c>
      <c r="F40" s="25" t="n">
        <v>42.97</v>
      </c>
      <c r="G40" s="25"/>
      <c r="H40" s="25" t="n">
        <v>3.57</v>
      </c>
      <c r="I40" s="49" t="n">
        <v>5.18</v>
      </c>
      <c r="J40" s="25"/>
      <c r="K40" s="25"/>
      <c r="L40" s="56" t="s">
        <v>81</v>
      </c>
      <c r="M40" s="57" t="n">
        <v>5.18</v>
      </c>
      <c r="N40" s="58" t="n">
        <v>87.9</v>
      </c>
      <c r="O40" s="26" t="n">
        <v>5</v>
      </c>
      <c r="P40" s="62" t="s">
        <v>92</v>
      </c>
      <c r="Q40" s="60" t="s">
        <v>169</v>
      </c>
      <c r="R40" s="60" t="s">
        <v>170</v>
      </c>
      <c r="S40" s="61" t="s">
        <v>95</v>
      </c>
    </row>
    <row r="41" customFormat="false" ht="22.35" hidden="false" customHeight="false" outlineLevel="0" collapsed="false">
      <c r="A41" s="20" t="s">
        <v>55</v>
      </c>
      <c r="B41" s="19" t="s">
        <v>171</v>
      </c>
      <c r="C41" s="22" t="s">
        <v>91</v>
      </c>
      <c r="D41" s="49" t="n">
        <v>11.2</v>
      </c>
      <c r="E41" s="21" t="n">
        <v>16.28</v>
      </c>
      <c r="F41" s="21"/>
      <c r="G41" s="21"/>
      <c r="H41" s="21"/>
      <c r="I41" s="21"/>
      <c r="J41" s="21"/>
      <c r="K41" s="21"/>
      <c r="L41" s="50" t="s">
        <v>76</v>
      </c>
      <c r="M41" s="51" t="n">
        <v>11.2</v>
      </c>
      <c r="N41" s="52" t="n">
        <v>31.2</v>
      </c>
      <c r="O41" s="22" t="n">
        <v>2</v>
      </c>
      <c r="P41" s="53" t="s">
        <v>92</v>
      </c>
      <c r="Q41" s="54" t="s">
        <v>93</v>
      </c>
      <c r="R41" s="54" t="s">
        <v>172</v>
      </c>
      <c r="S41" s="55" t="s">
        <v>95</v>
      </c>
    </row>
    <row r="42" customFormat="false" ht="15" hidden="false" customHeight="false" outlineLevel="0" collapsed="false">
      <c r="A42" s="24" t="s">
        <v>55</v>
      </c>
      <c r="B42" s="23" t="s">
        <v>173</v>
      </c>
      <c r="C42" s="26" t="s">
        <v>91</v>
      </c>
      <c r="D42" s="25" t="n">
        <v>46.21</v>
      </c>
      <c r="E42" s="25"/>
      <c r="F42" s="25"/>
      <c r="G42" s="25"/>
      <c r="H42" s="25"/>
      <c r="I42" s="25"/>
      <c r="J42" s="25"/>
      <c r="K42" s="25"/>
      <c r="L42" s="56" t="s">
        <v>76</v>
      </c>
      <c r="M42" s="57" t="n">
        <v>46.21</v>
      </c>
      <c r="N42" s="58"/>
      <c r="O42" s="26" t="n">
        <v>1</v>
      </c>
      <c r="P42" s="64"/>
      <c r="Q42" s="60" t="s">
        <v>93</v>
      </c>
      <c r="R42" s="60" t="s">
        <v>174</v>
      </c>
      <c r="S42" s="61" t="s">
        <v>95</v>
      </c>
    </row>
    <row r="43" customFormat="false" ht="22.35" hidden="false" customHeight="false" outlineLevel="0" collapsed="false">
      <c r="A43" s="20" t="s">
        <v>55</v>
      </c>
      <c r="B43" s="19" t="s">
        <v>175</v>
      </c>
      <c r="C43" s="22" t="s">
        <v>91</v>
      </c>
      <c r="D43" s="49" t="n">
        <v>11.48</v>
      </c>
      <c r="E43" s="21" t="n">
        <v>25.19</v>
      </c>
      <c r="F43" s="21"/>
      <c r="G43" s="21"/>
      <c r="H43" s="21" t="n">
        <v>3.82</v>
      </c>
      <c r="I43" s="21"/>
      <c r="J43" s="21"/>
      <c r="K43" s="21"/>
      <c r="L43" s="50" t="s">
        <v>76</v>
      </c>
      <c r="M43" s="51" t="n">
        <v>11.48</v>
      </c>
      <c r="N43" s="52" t="n">
        <v>54.4</v>
      </c>
      <c r="O43" s="22" t="n">
        <v>3</v>
      </c>
      <c r="P43" s="53" t="s">
        <v>92</v>
      </c>
      <c r="Q43" s="54" t="s">
        <v>93</v>
      </c>
      <c r="R43" s="54" t="s">
        <v>176</v>
      </c>
      <c r="S43" s="55" t="s">
        <v>95</v>
      </c>
    </row>
    <row r="44" customFormat="false" ht="22.35" hidden="false" customHeight="false" outlineLevel="0" collapsed="false">
      <c r="A44" s="24" t="s">
        <v>55</v>
      </c>
      <c r="B44" s="23" t="s">
        <v>177</v>
      </c>
      <c r="C44" s="26" t="s">
        <v>91</v>
      </c>
      <c r="D44" s="25" t="n">
        <v>51.33</v>
      </c>
      <c r="E44" s="49" t="n">
        <v>34.09</v>
      </c>
      <c r="F44" s="25"/>
      <c r="G44" s="25"/>
      <c r="H44" s="25" t="n">
        <v>3.97</v>
      </c>
      <c r="I44" s="25" t="n">
        <v>109.88</v>
      </c>
      <c r="J44" s="25"/>
      <c r="K44" s="25"/>
      <c r="L44" s="56" t="s">
        <v>77</v>
      </c>
      <c r="M44" s="57" t="n">
        <v>34.09</v>
      </c>
      <c r="N44" s="58" t="n">
        <v>69</v>
      </c>
      <c r="O44" s="26" t="n">
        <v>4</v>
      </c>
      <c r="P44" s="59" t="s">
        <v>97</v>
      </c>
      <c r="Q44" s="60" t="s">
        <v>114</v>
      </c>
      <c r="R44" s="60" t="s">
        <v>178</v>
      </c>
      <c r="S44" s="26"/>
    </row>
    <row r="45" customFormat="false" ht="22.35" hidden="false" customHeight="false" outlineLevel="0" collapsed="false">
      <c r="A45" s="20" t="s">
        <v>55</v>
      </c>
      <c r="B45" s="19" t="s">
        <v>179</v>
      </c>
      <c r="C45" s="22" t="s">
        <v>91</v>
      </c>
      <c r="D45" s="49" t="n">
        <v>75</v>
      </c>
      <c r="E45" s="21" t="n">
        <v>83.6</v>
      </c>
      <c r="F45" s="21"/>
      <c r="G45" s="21"/>
      <c r="H45" s="21" t="n">
        <v>51.23</v>
      </c>
      <c r="I45" s="21"/>
      <c r="J45" s="21"/>
      <c r="K45" s="21"/>
      <c r="L45" s="50" t="s">
        <v>76</v>
      </c>
      <c r="M45" s="51" t="n">
        <v>75</v>
      </c>
      <c r="N45" s="52" t="n">
        <v>10.3</v>
      </c>
      <c r="O45" s="22" t="n">
        <v>3</v>
      </c>
      <c r="P45" s="59" t="s">
        <v>97</v>
      </c>
      <c r="Q45" s="54" t="s">
        <v>93</v>
      </c>
      <c r="R45" s="54" t="s">
        <v>180</v>
      </c>
      <c r="S45" s="55" t="s">
        <v>95</v>
      </c>
    </row>
    <row r="46" customFormat="false" ht="22.35" hidden="false" customHeight="false" outlineLevel="0" collapsed="false">
      <c r="A46" s="24" t="s">
        <v>55</v>
      </c>
      <c r="B46" s="23" t="s">
        <v>181</v>
      </c>
      <c r="C46" s="26" t="s">
        <v>91</v>
      </c>
      <c r="D46" s="25" t="n">
        <v>34.16</v>
      </c>
      <c r="E46" s="25"/>
      <c r="F46" s="25"/>
      <c r="G46" s="25"/>
      <c r="H46" s="25"/>
      <c r="I46" s="25"/>
      <c r="J46" s="25"/>
      <c r="K46" s="25"/>
      <c r="L46" s="56" t="s">
        <v>76</v>
      </c>
      <c r="M46" s="57" t="n">
        <v>34.16</v>
      </c>
      <c r="N46" s="58"/>
      <c r="O46" s="26" t="n">
        <v>1</v>
      </c>
      <c r="P46" s="64"/>
      <c r="Q46" s="60" t="s">
        <v>93</v>
      </c>
      <c r="R46" s="60" t="s">
        <v>182</v>
      </c>
      <c r="S46" s="61" t="s">
        <v>95</v>
      </c>
    </row>
    <row r="47" customFormat="false" ht="22.35" hidden="false" customHeight="false" outlineLevel="0" collapsed="false">
      <c r="A47" s="20" t="s">
        <v>55</v>
      </c>
      <c r="B47" s="19" t="s">
        <v>183</v>
      </c>
      <c r="C47" s="22" t="s">
        <v>91</v>
      </c>
      <c r="D47" s="49" t="n">
        <v>1.85</v>
      </c>
      <c r="E47" s="21" t="n">
        <v>4.53</v>
      </c>
      <c r="F47" s="21" t="n">
        <v>24.45</v>
      </c>
      <c r="G47" s="21"/>
      <c r="H47" s="21" t="n">
        <v>0.78</v>
      </c>
      <c r="I47" s="21"/>
      <c r="J47" s="21"/>
      <c r="K47" s="21"/>
      <c r="L47" s="50" t="s">
        <v>76</v>
      </c>
      <c r="M47" s="51" t="n">
        <v>1.85</v>
      </c>
      <c r="N47" s="52" t="n">
        <v>92.4</v>
      </c>
      <c r="O47" s="22" t="n">
        <v>4</v>
      </c>
      <c r="P47" s="53" t="s">
        <v>92</v>
      </c>
      <c r="Q47" s="54" t="s">
        <v>93</v>
      </c>
      <c r="R47" s="54" t="s">
        <v>184</v>
      </c>
      <c r="S47" s="55" t="s">
        <v>95</v>
      </c>
    </row>
    <row r="48" customFormat="false" ht="22.35" hidden="false" customHeight="false" outlineLevel="0" collapsed="false">
      <c r="A48" s="24" t="s">
        <v>55</v>
      </c>
      <c r="B48" s="23" t="s">
        <v>185</v>
      </c>
      <c r="C48" s="26" t="s">
        <v>91</v>
      </c>
      <c r="D48" s="49" t="n">
        <v>5.55</v>
      </c>
      <c r="E48" s="25" t="n">
        <v>135.25</v>
      </c>
      <c r="F48" s="25" t="n">
        <v>7.47</v>
      </c>
      <c r="G48" s="25"/>
      <c r="H48" s="25"/>
      <c r="I48" s="25"/>
      <c r="J48" s="25"/>
      <c r="K48" s="25"/>
      <c r="L48" s="56" t="s">
        <v>76</v>
      </c>
      <c r="M48" s="57" t="n">
        <v>5.55</v>
      </c>
      <c r="N48" s="58" t="n">
        <v>95.9</v>
      </c>
      <c r="O48" s="26" t="n">
        <v>3</v>
      </c>
      <c r="P48" s="59" t="s">
        <v>97</v>
      </c>
      <c r="Q48" s="60" t="s">
        <v>93</v>
      </c>
      <c r="R48" s="60" t="s">
        <v>186</v>
      </c>
      <c r="S48" s="61" t="s">
        <v>95</v>
      </c>
    </row>
    <row r="49" customFormat="false" ht="22.35" hidden="false" customHeight="false" outlineLevel="0" collapsed="false">
      <c r="A49" s="20" t="s">
        <v>55</v>
      </c>
      <c r="B49" s="19" t="s">
        <v>187</v>
      </c>
      <c r="C49" s="22" t="s">
        <v>188</v>
      </c>
      <c r="D49" s="49" t="n">
        <v>26.23</v>
      </c>
      <c r="E49" s="21" t="n">
        <v>48.01</v>
      </c>
      <c r="F49" s="21" t="n">
        <v>60.93</v>
      </c>
      <c r="G49" s="21"/>
      <c r="H49" s="21"/>
      <c r="I49" s="21"/>
      <c r="J49" s="21"/>
      <c r="K49" s="21"/>
      <c r="L49" s="50" t="s">
        <v>76</v>
      </c>
      <c r="M49" s="51" t="n">
        <v>26.23</v>
      </c>
      <c r="N49" s="52"/>
      <c r="O49" s="22" t="n">
        <v>3</v>
      </c>
      <c r="P49" s="59" t="s">
        <v>138</v>
      </c>
      <c r="Q49" s="54" t="s">
        <v>93</v>
      </c>
      <c r="R49" s="54" t="s">
        <v>189</v>
      </c>
      <c r="S49" s="55" t="s">
        <v>95</v>
      </c>
    </row>
    <row r="50" customFormat="false" ht="22.35" hidden="false" customHeight="false" outlineLevel="0" collapsed="false">
      <c r="A50" s="24" t="s">
        <v>55</v>
      </c>
      <c r="B50" s="23" t="s">
        <v>190</v>
      </c>
      <c r="C50" s="26" t="s">
        <v>91</v>
      </c>
      <c r="D50" s="25" t="n">
        <v>4.18</v>
      </c>
      <c r="E50" s="25"/>
      <c r="F50" s="25"/>
      <c r="G50" s="25"/>
      <c r="H50" s="25"/>
      <c r="I50" s="25"/>
      <c r="J50" s="25"/>
      <c r="K50" s="25"/>
      <c r="L50" s="56" t="s">
        <v>76</v>
      </c>
      <c r="M50" s="57" t="n">
        <v>4.18</v>
      </c>
      <c r="N50" s="58"/>
      <c r="O50" s="26" t="n">
        <v>1</v>
      </c>
      <c r="P50" s="64"/>
      <c r="Q50" s="60" t="s">
        <v>93</v>
      </c>
      <c r="R50" s="60" t="s">
        <v>191</v>
      </c>
      <c r="S50" s="61" t="s">
        <v>95</v>
      </c>
    </row>
    <row r="51" customFormat="false" ht="15" hidden="false" customHeight="false" outlineLevel="0" collapsed="false">
      <c r="A51" s="20" t="s">
        <v>55</v>
      </c>
      <c r="B51" s="19" t="s">
        <v>192</v>
      </c>
      <c r="C51" s="22" t="s">
        <v>91</v>
      </c>
      <c r="D51" s="49" t="n">
        <v>0.89</v>
      </c>
      <c r="E51" s="21"/>
      <c r="F51" s="21"/>
      <c r="G51" s="21"/>
      <c r="H51" s="21" t="n">
        <v>1.44</v>
      </c>
      <c r="I51" s="21" t="n">
        <v>114.13</v>
      </c>
      <c r="J51" s="21"/>
      <c r="K51" s="21"/>
      <c r="L51" s="50" t="s">
        <v>76</v>
      </c>
      <c r="M51" s="51" t="n">
        <v>0.89</v>
      </c>
      <c r="N51" s="52" t="n">
        <v>99.2</v>
      </c>
      <c r="O51" s="22" t="n">
        <v>3</v>
      </c>
      <c r="P51" s="59" t="s">
        <v>97</v>
      </c>
      <c r="Q51" s="54" t="s">
        <v>93</v>
      </c>
      <c r="R51" s="54" t="s">
        <v>193</v>
      </c>
      <c r="S51" s="55" t="s">
        <v>95</v>
      </c>
    </row>
    <row r="52" customFormat="false" ht="22.35" hidden="false" customHeight="false" outlineLevel="0" collapsed="false">
      <c r="A52" s="24" t="s">
        <v>55</v>
      </c>
      <c r="B52" s="23" t="s">
        <v>194</v>
      </c>
      <c r="C52" s="26" t="s">
        <v>91</v>
      </c>
      <c r="D52" s="49" t="n">
        <v>10.27</v>
      </c>
      <c r="E52" s="25" t="n">
        <v>25.93</v>
      </c>
      <c r="F52" s="25"/>
      <c r="G52" s="25"/>
      <c r="H52" s="25" t="n">
        <v>16.16</v>
      </c>
      <c r="I52" s="25" t="n">
        <v>28.6</v>
      </c>
      <c r="J52" s="25"/>
      <c r="K52" s="25"/>
      <c r="L52" s="56" t="s">
        <v>76</v>
      </c>
      <c r="M52" s="57" t="n">
        <v>10.27</v>
      </c>
      <c r="N52" s="58" t="n">
        <v>64.1</v>
      </c>
      <c r="O52" s="26" t="n">
        <v>4</v>
      </c>
      <c r="P52" s="59" t="s">
        <v>97</v>
      </c>
      <c r="Q52" s="60" t="s">
        <v>93</v>
      </c>
      <c r="R52" s="60" t="s">
        <v>195</v>
      </c>
      <c r="S52" s="61" t="s">
        <v>95</v>
      </c>
    </row>
    <row r="53" customFormat="false" ht="15" hidden="false" customHeight="false" outlineLevel="0" collapsed="false">
      <c r="A53" s="20" t="s">
        <v>55</v>
      </c>
      <c r="B53" s="19" t="s">
        <v>196</v>
      </c>
      <c r="C53" s="22" t="s">
        <v>91</v>
      </c>
      <c r="D53" s="21" t="n">
        <v>10.74</v>
      </c>
      <c r="E53" s="21"/>
      <c r="F53" s="21"/>
      <c r="G53" s="21"/>
      <c r="H53" s="21"/>
      <c r="I53" s="21"/>
      <c r="J53" s="21"/>
      <c r="K53" s="21"/>
      <c r="L53" s="50" t="s">
        <v>76</v>
      </c>
      <c r="M53" s="51" t="n">
        <v>10.74</v>
      </c>
      <c r="N53" s="52"/>
      <c r="O53" s="22" t="n">
        <v>1</v>
      </c>
      <c r="P53" s="63"/>
      <c r="Q53" s="54" t="s">
        <v>93</v>
      </c>
      <c r="R53" s="54" t="s">
        <v>197</v>
      </c>
      <c r="S53" s="55" t="s">
        <v>95</v>
      </c>
    </row>
    <row r="54" customFormat="false" ht="15" hidden="false" customHeight="false" outlineLevel="0" collapsed="false">
      <c r="A54" s="24" t="s">
        <v>55</v>
      </c>
      <c r="B54" s="23" t="s">
        <v>198</v>
      </c>
      <c r="C54" s="26" t="s">
        <v>91</v>
      </c>
      <c r="D54" s="49" t="n">
        <v>8.17</v>
      </c>
      <c r="E54" s="25" t="n">
        <v>29.88</v>
      </c>
      <c r="F54" s="25" t="n">
        <v>14.2</v>
      </c>
      <c r="G54" s="25"/>
      <c r="H54" s="25" t="n">
        <v>4.79</v>
      </c>
      <c r="I54" s="25" t="n">
        <v>16.22</v>
      </c>
      <c r="J54" s="25"/>
      <c r="K54" s="25"/>
      <c r="L54" s="56" t="s">
        <v>76</v>
      </c>
      <c r="M54" s="57" t="n">
        <v>8.17</v>
      </c>
      <c r="N54" s="58" t="n">
        <v>72.7</v>
      </c>
      <c r="O54" s="26" t="n">
        <v>5</v>
      </c>
      <c r="P54" s="62" t="s">
        <v>92</v>
      </c>
      <c r="Q54" s="60" t="s">
        <v>93</v>
      </c>
      <c r="R54" s="60" t="s">
        <v>199</v>
      </c>
      <c r="S54" s="61" t="s">
        <v>95</v>
      </c>
    </row>
    <row r="55" customFormat="false" ht="22.35" hidden="false" customHeight="false" outlineLevel="0" collapsed="false">
      <c r="A55" s="20" t="s">
        <v>55</v>
      </c>
      <c r="B55" s="19" t="s">
        <v>200</v>
      </c>
      <c r="C55" s="22" t="s">
        <v>91</v>
      </c>
      <c r="D55" s="21"/>
      <c r="E55" s="21"/>
      <c r="F55" s="49" t="n">
        <v>6.64</v>
      </c>
      <c r="G55" s="21"/>
      <c r="H55" s="21" t="n">
        <v>34.75</v>
      </c>
      <c r="I55" s="21"/>
      <c r="J55" s="21"/>
      <c r="K55" s="21"/>
      <c r="L55" s="50" t="s">
        <v>78</v>
      </c>
      <c r="M55" s="51" t="n">
        <v>6.64</v>
      </c>
      <c r="N55" s="52"/>
      <c r="O55" s="22" t="n">
        <v>2</v>
      </c>
      <c r="P55" s="53" t="s">
        <v>92</v>
      </c>
      <c r="Q55" s="54" t="s">
        <v>93</v>
      </c>
      <c r="R55" s="54" t="s">
        <v>201</v>
      </c>
      <c r="S55" s="55" t="s">
        <v>95</v>
      </c>
    </row>
    <row r="56" customFormat="false" ht="22.35" hidden="false" customHeight="false" outlineLevel="0" collapsed="false">
      <c r="A56" s="24" t="s">
        <v>55</v>
      </c>
      <c r="B56" s="23" t="s">
        <v>202</v>
      </c>
      <c r="C56" s="26" t="s">
        <v>203</v>
      </c>
      <c r="D56" s="49" t="n">
        <v>27.54</v>
      </c>
      <c r="E56" s="25"/>
      <c r="F56" s="25"/>
      <c r="G56" s="25"/>
      <c r="H56" s="25" t="n">
        <v>9.12</v>
      </c>
      <c r="I56" s="25" t="n">
        <v>108.93</v>
      </c>
      <c r="J56" s="25"/>
      <c r="K56" s="25"/>
      <c r="L56" s="56" t="s">
        <v>76</v>
      </c>
      <c r="M56" s="57" t="n">
        <v>27.54</v>
      </c>
      <c r="N56" s="58" t="n">
        <v>74.7</v>
      </c>
      <c r="O56" s="26" t="n">
        <v>3</v>
      </c>
      <c r="P56" s="59" t="s">
        <v>138</v>
      </c>
      <c r="Q56" s="60" t="s">
        <v>93</v>
      </c>
      <c r="R56" s="60" t="s">
        <v>204</v>
      </c>
      <c r="S56" s="61" t="s">
        <v>95</v>
      </c>
    </row>
    <row r="57" customFormat="false" ht="22.35" hidden="false" customHeight="false" outlineLevel="0" collapsed="false">
      <c r="A57" s="20" t="s">
        <v>56</v>
      </c>
      <c r="B57" s="19" t="s">
        <v>205</v>
      </c>
      <c r="C57" s="22" t="s">
        <v>137</v>
      </c>
      <c r="D57" s="49" t="n">
        <v>152.8</v>
      </c>
      <c r="E57" s="21"/>
      <c r="F57" s="21" t="n">
        <v>1.05</v>
      </c>
      <c r="G57" s="21"/>
      <c r="H57" s="21"/>
      <c r="I57" s="21"/>
      <c r="J57" s="21"/>
      <c r="K57" s="21"/>
      <c r="L57" s="50" t="s">
        <v>76</v>
      </c>
      <c r="M57" s="51" t="n">
        <v>152.8</v>
      </c>
      <c r="N57" s="52"/>
      <c r="O57" s="22" t="n">
        <v>2</v>
      </c>
      <c r="P57" s="53" t="s">
        <v>92</v>
      </c>
      <c r="Q57" s="54" t="s">
        <v>93</v>
      </c>
      <c r="R57" s="54" t="s">
        <v>206</v>
      </c>
      <c r="S57" s="55" t="s">
        <v>95</v>
      </c>
    </row>
    <row r="58" customFormat="false" ht="22.35" hidden="false" customHeight="false" outlineLevel="0" collapsed="false">
      <c r="A58" s="24" t="s">
        <v>56</v>
      </c>
      <c r="B58" s="23" t="s">
        <v>207</v>
      </c>
      <c r="C58" s="26" t="s">
        <v>91</v>
      </c>
      <c r="D58" s="25"/>
      <c r="E58" s="25"/>
      <c r="F58" s="25" t="n">
        <v>78.64</v>
      </c>
      <c r="G58" s="25"/>
      <c r="H58" s="25"/>
      <c r="I58" s="25"/>
      <c r="J58" s="25"/>
      <c r="K58" s="25"/>
      <c r="L58" s="56" t="s">
        <v>78</v>
      </c>
      <c r="M58" s="57" t="n">
        <v>78.64</v>
      </c>
      <c r="N58" s="58"/>
      <c r="O58" s="26" t="n">
        <v>1</v>
      </c>
      <c r="P58" s="64"/>
      <c r="Q58" s="60" t="s">
        <v>93</v>
      </c>
      <c r="R58" s="60" t="s">
        <v>208</v>
      </c>
      <c r="S58" s="26"/>
    </row>
    <row r="59" customFormat="false" ht="22.35" hidden="false" customHeight="false" outlineLevel="0" collapsed="false">
      <c r="A59" s="20" t="s">
        <v>56</v>
      </c>
      <c r="B59" s="19" t="s">
        <v>209</v>
      </c>
      <c r="C59" s="22" t="s">
        <v>91</v>
      </c>
      <c r="D59" s="21"/>
      <c r="E59" s="21" t="n">
        <v>24.07</v>
      </c>
      <c r="F59" s="21"/>
      <c r="G59" s="21"/>
      <c r="H59" s="21"/>
      <c r="I59" s="21"/>
      <c r="J59" s="21"/>
      <c r="K59" s="21"/>
      <c r="L59" s="50" t="s">
        <v>77</v>
      </c>
      <c r="M59" s="51" t="n">
        <v>24.07</v>
      </c>
      <c r="N59" s="52"/>
      <c r="O59" s="22" t="n">
        <v>1</v>
      </c>
      <c r="P59" s="63"/>
      <c r="Q59" s="54" t="s">
        <v>114</v>
      </c>
      <c r="R59" s="54" t="s">
        <v>210</v>
      </c>
      <c r="S59" s="22"/>
    </row>
    <row r="60" customFormat="false" ht="22.35" hidden="false" customHeight="false" outlineLevel="0" collapsed="false">
      <c r="A60" s="24" t="s">
        <v>56</v>
      </c>
      <c r="B60" s="23" t="s">
        <v>211</v>
      </c>
      <c r="C60" s="26" t="s">
        <v>91</v>
      </c>
      <c r="D60" s="49" t="n">
        <v>145.13</v>
      </c>
      <c r="E60" s="25" t="n">
        <v>212.84</v>
      </c>
      <c r="F60" s="25"/>
      <c r="G60" s="25"/>
      <c r="H60" s="25"/>
      <c r="I60" s="25"/>
      <c r="J60" s="25"/>
      <c r="K60" s="25"/>
      <c r="L60" s="56" t="s">
        <v>76</v>
      </c>
      <c r="M60" s="57" t="n">
        <v>145.13</v>
      </c>
      <c r="N60" s="58" t="n">
        <v>31.8</v>
      </c>
      <c r="O60" s="26" t="n">
        <v>2</v>
      </c>
      <c r="P60" s="62" t="s">
        <v>92</v>
      </c>
      <c r="Q60" s="60" t="s">
        <v>93</v>
      </c>
      <c r="R60" s="60" t="s">
        <v>212</v>
      </c>
      <c r="S60" s="61" t="s">
        <v>95</v>
      </c>
    </row>
    <row r="61" customFormat="false" ht="22.35" hidden="false" customHeight="false" outlineLevel="0" collapsed="false">
      <c r="A61" s="20" t="s">
        <v>56</v>
      </c>
      <c r="B61" s="19" t="s">
        <v>213</v>
      </c>
      <c r="C61" s="22" t="s">
        <v>91</v>
      </c>
      <c r="D61" s="21"/>
      <c r="E61" s="21" t="n">
        <v>337.88</v>
      </c>
      <c r="F61" s="21"/>
      <c r="G61" s="21"/>
      <c r="H61" s="21"/>
      <c r="I61" s="21"/>
      <c r="J61" s="21"/>
      <c r="K61" s="21"/>
      <c r="L61" s="50" t="s">
        <v>77</v>
      </c>
      <c r="M61" s="51" t="n">
        <v>337.88</v>
      </c>
      <c r="N61" s="52"/>
      <c r="O61" s="22" t="n">
        <v>1</v>
      </c>
      <c r="P61" s="63"/>
      <c r="Q61" s="54" t="s">
        <v>114</v>
      </c>
      <c r="R61" s="54" t="s">
        <v>214</v>
      </c>
      <c r="S61" s="22"/>
    </row>
    <row r="62" customFormat="false" ht="22.35" hidden="false" customHeight="false" outlineLevel="0" collapsed="false">
      <c r="A62" s="24" t="s">
        <v>56</v>
      </c>
      <c r="B62" s="23" t="s">
        <v>215</v>
      </c>
      <c r="C62" s="26" t="s">
        <v>91</v>
      </c>
      <c r="D62" s="25" t="n">
        <v>133.8</v>
      </c>
      <c r="E62" s="49" t="n">
        <v>36.99</v>
      </c>
      <c r="F62" s="25"/>
      <c r="G62" s="25"/>
      <c r="H62" s="25"/>
      <c r="I62" s="25"/>
      <c r="J62" s="25"/>
      <c r="K62" s="25"/>
      <c r="L62" s="56" t="s">
        <v>77</v>
      </c>
      <c r="M62" s="57" t="n">
        <v>36.99</v>
      </c>
      <c r="N62" s="58" t="n">
        <v>72.4</v>
      </c>
      <c r="O62" s="26" t="n">
        <v>2</v>
      </c>
      <c r="P62" s="59" t="s">
        <v>97</v>
      </c>
      <c r="Q62" s="60" t="s">
        <v>114</v>
      </c>
      <c r="R62" s="60" t="s">
        <v>216</v>
      </c>
      <c r="S62" s="26"/>
    </row>
    <row r="63" customFormat="false" ht="22.35" hidden="false" customHeight="false" outlineLevel="0" collapsed="false">
      <c r="A63" s="20" t="s">
        <v>56</v>
      </c>
      <c r="B63" s="19" t="s">
        <v>217</v>
      </c>
      <c r="C63" s="22" t="s">
        <v>91</v>
      </c>
      <c r="D63" s="21" t="n">
        <v>164.7</v>
      </c>
      <c r="E63" s="21"/>
      <c r="F63" s="21"/>
      <c r="G63" s="21"/>
      <c r="H63" s="21"/>
      <c r="I63" s="21"/>
      <c r="J63" s="21"/>
      <c r="K63" s="21"/>
      <c r="L63" s="50" t="s">
        <v>76</v>
      </c>
      <c r="M63" s="51" t="n">
        <v>164.7</v>
      </c>
      <c r="N63" s="52"/>
      <c r="O63" s="22" t="n">
        <v>1</v>
      </c>
      <c r="P63" s="63"/>
      <c r="Q63" s="54" t="s">
        <v>93</v>
      </c>
      <c r="R63" s="54" t="s">
        <v>218</v>
      </c>
      <c r="S63" s="55" t="s">
        <v>95</v>
      </c>
    </row>
    <row r="64" customFormat="false" ht="22.35" hidden="false" customHeight="false" outlineLevel="0" collapsed="false">
      <c r="A64" s="24" t="s">
        <v>56</v>
      </c>
      <c r="B64" s="23" t="s">
        <v>219</v>
      </c>
      <c r="C64" s="26" t="s">
        <v>91</v>
      </c>
      <c r="D64" s="49" t="n">
        <v>224.6</v>
      </c>
      <c r="E64" s="25"/>
      <c r="F64" s="25" t="n">
        <v>549.98</v>
      </c>
      <c r="G64" s="25"/>
      <c r="H64" s="25"/>
      <c r="I64" s="25"/>
      <c r="J64" s="25"/>
      <c r="K64" s="25"/>
      <c r="L64" s="56" t="s">
        <v>76</v>
      </c>
      <c r="M64" s="57" t="n">
        <v>224.6</v>
      </c>
      <c r="N64" s="58" t="n">
        <v>59.2</v>
      </c>
      <c r="O64" s="26" t="n">
        <v>2</v>
      </c>
      <c r="P64" s="59" t="s">
        <v>97</v>
      </c>
      <c r="Q64" s="60" t="s">
        <v>93</v>
      </c>
      <c r="R64" s="60" t="s">
        <v>220</v>
      </c>
      <c r="S64" s="61" t="s">
        <v>95</v>
      </c>
    </row>
    <row r="65" customFormat="false" ht="32.8" hidden="false" customHeight="false" outlineLevel="0" collapsed="false">
      <c r="A65" s="20" t="s">
        <v>56</v>
      </c>
      <c r="B65" s="19" t="s">
        <v>221</v>
      </c>
      <c r="C65" s="22" t="s">
        <v>91</v>
      </c>
      <c r="D65" s="21"/>
      <c r="E65" s="21" t="n">
        <v>581.48</v>
      </c>
      <c r="F65" s="21"/>
      <c r="G65" s="21"/>
      <c r="H65" s="21"/>
      <c r="I65" s="21"/>
      <c r="J65" s="21"/>
      <c r="K65" s="21"/>
      <c r="L65" s="50" t="s">
        <v>77</v>
      </c>
      <c r="M65" s="51" t="n">
        <v>581.48</v>
      </c>
      <c r="N65" s="52"/>
      <c r="O65" s="22" t="n">
        <v>1</v>
      </c>
      <c r="P65" s="63"/>
      <c r="Q65" s="54" t="s">
        <v>114</v>
      </c>
      <c r="R65" s="54" t="s">
        <v>222</v>
      </c>
      <c r="S65" s="22"/>
    </row>
    <row r="66" customFormat="false" ht="15" hidden="false" customHeight="false" outlineLevel="0" collapsed="false">
      <c r="A66" s="24" t="s">
        <v>56</v>
      </c>
      <c r="B66" s="23" t="s">
        <v>223</v>
      </c>
      <c r="C66" s="26" t="s">
        <v>91</v>
      </c>
      <c r="D66" s="25" t="n">
        <v>30.02</v>
      </c>
      <c r="E66" s="25"/>
      <c r="F66" s="25"/>
      <c r="G66" s="25"/>
      <c r="H66" s="25"/>
      <c r="I66" s="25"/>
      <c r="J66" s="25"/>
      <c r="K66" s="25"/>
      <c r="L66" s="56" t="s">
        <v>76</v>
      </c>
      <c r="M66" s="57" t="n">
        <v>30.02</v>
      </c>
      <c r="N66" s="58"/>
      <c r="O66" s="26" t="n">
        <v>1</v>
      </c>
      <c r="P66" s="64"/>
      <c r="Q66" s="60" t="s">
        <v>93</v>
      </c>
      <c r="R66" s="60" t="s">
        <v>224</v>
      </c>
      <c r="S66" s="61" t="s">
        <v>95</v>
      </c>
    </row>
    <row r="67" customFormat="false" ht="32.8" hidden="false" customHeight="false" outlineLevel="0" collapsed="false">
      <c r="A67" s="20" t="s">
        <v>56</v>
      </c>
      <c r="B67" s="19" t="s">
        <v>225</v>
      </c>
      <c r="C67" s="22" t="s">
        <v>91</v>
      </c>
      <c r="D67" s="21"/>
      <c r="E67" s="21" t="n">
        <v>854.25</v>
      </c>
      <c r="F67" s="21"/>
      <c r="G67" s="21"/>
      <c r="H67" s="21"/>
      <c r="I67" s="21"/>
      <c r="J67" s="21"/>
      <c r="K67" s="21"/>
      <c r="L67" s="50" t="s">
        <v>77</v>
      </c>
      <c r="M67" s="51" t="n">
        <v>854.25</v>
      </c>
      <c r="N67" s="52"/>
      <c r="O67" s="22" t="n">
        <v>1</v>
      </c>
      <c r="P67" s="63"/>
      <c r="Q67" s="54" t="s">
        <v>114</v>
      </c>
      <c r="R67" s="54" t="s">
        <v>226</v>
      </c>
      <c r="S67" s="22"/>
    </row>
    <row r="68" customFormat="false" ht="15" hidden="false" customHeight="false" outlineLevel="0" collapsed="false">
      <c r="A68" s="24" t="s">
        <v>56</v>
      </c>
      <c r="B68" s="23" t="s">
        <v>227</v>
      </c>
      <c r="C68" s="26" t="s">
        <v>91</v>
      </c>
      <c r="D68" s="25" t="n">
        <v>509.9</v>
      </c>
      <c r="E68" s="25"/>
      <c r="F68" s="25"/>
      <c r="G68" s="25"/>
      <c r="H68" s="25"/>
      <c r="I68" s="25"/>
      <c r="J68" s="25"/>
      <c r="K68" s="25"/>
      <c r="L68" s="56" t="s">
        <v>76</v>
      </c>
      <c r="M68" s="57" t="n">
        <v>509.9</v>
      </c>
      <c r="N68" s="58"/>
      <c r="O68" s="26" t="n">
        <v>1</v>
      </c>
      <c r="P68" s="64"/>
      <c r="Q68" s="60" t="s">
        <v>93</v>
      </c>
      <c r="R68" s="60" t="s">
        <v>228</v>
      </c>
      <c r="S68" s="61" t="s">
        <v>95</v>
      </c>
    </row>
    <row r="69" customFormat="false" ht="15" hidden="false" customHeight="false" outlineLevel="0" collapsed="false">
      <c r="A69" s="20" t="s">
        <v>56</v>
      </c>
      <c r="B69" s="19" t="s">
        <v>229</v>
      </c>
      <c r="C69" s="22" t="s">
        <v>91</v>
      </c>
      <c r="D69" s="49" t="n">
        <v>1.14</v>
      </c>
      <c r="E69" s="21"/>
      <c r="F69" s="21" t="n">
        <v>3.03</v>
      </c>
      <c r="G69" s="21"/>
      <c r="H69" s="21"/>
      <c r="I69" s="21"/>
      <c r="J69" s="21"/>
      <c r="K69" s="21"/>
      <c r="L69" s="50" t="s">
        <v>76</v>
      </c>
      <c r="M69" s="51" t="n">
        <v>1.14</v>
      </c>
      <c r="N69" s="52" t="n">
        <v>62.4</v>
      </c>
      <c r="O69" s="22" t="n">
        <v>2</v>
      </c>
      <c r="P69" s="53" t="s">
        <v>92</v>
      </c>
      <c r="Q69" s="54" t="s">
        <v>93</v>
      </c>
      <c r="R69" s="54" t="s">
        <v>230</v>
      </c>
      <c r="S69" s="55" t="s">
        <v>95</v>
      </c>
    </row>
    <row r="70" customFormat="false" ht="15" hidden="false" customHeight="false" outlineLevel="0" collapsed="false">
      <c r="A70" s="24" t="s">
        <v>56</v>
      </c>
      <c r="B70" s="23" t="s">
        <v>231</v>
      </c>
      <c r="C70" s="26" t="s">
        <v>91</v>
      </c>
      <c r="D70" s="49" t="n">
        <v>54</v>
      </c>
      <c r="E70" s="25" t="n">
        <v>123.25</v>
      </c>
      <c r="F70" s="25"/>
      <c r="G70" s="25"/>
      <c r="H70" s="25"/>
      <c r="I70" s="25"/>
      <c r="J70" s="25"/>
      <c r="K70" s="25"/>
      <c r="L70" s="56" t="s">
        <v>76</v>
      </c>
      <c r="M70" s="57" t="n">
        <v>54</v>
      </c>
      <c r="N70" s="58" t="n">
        <v>56.2</v>
      </c>
      <c r="O70" s="26" t="n">
        <v>2</v>
      </c>
      <c r="P70" s="59" t="s">
        <v>97</v>
      </c>
      <c r="Q70" s="60" t="s">
        <v>93</v>
      </c>
      <c r="R70" s="60" t="s">
        <v>232</v>
      </c>
      <c r="S70" s="61" t="s">
        <v>95</v>
      </c>
    </row>
    <row r="71" customFormat="false" ht="15" hidden="false" customHeight="false" outlineLevel="0" collapsed="false">
      <c r="A71" s="20" t="s">
        <v>56</v>
      </c>
      <c r="B71" s="19" t="s">
        <v>233</v>
      </c>
      <c r="C71" s="22" t="s">
        <v>91</v>
      </c>
      <c r="D71" s="49" t="n">
        <v>2.2</v>
      </c>
      <c r="E71" s="21" t="n">
        <v>96.53</v>
      </c>
      <c r="F71" s="21"/>
      <c r="G71" s="21"/>
      <c r="H71" s="21"/>
      <c r="I71" s="21" t="n">
        <v>17.33</v>
      </c>
      <c r="J71" s="21"/>
      <c r="K71" s="21"/>
      <c r="L71" s="50" t="s">
        <v>76</v>
      </c>
      <c r="M71" s="51" t="n">
        <v>2.2</v>
      </c>
      <c r="N71" s="52" t="n">
        <v>97.7</v>
      </c>
      <c r="O71" s="22" t="n">
        <v>3</v>
      </c>
      <c r="P71" s="59" t="s">
        <v>97</v>
      </c>
      <c r="Q71" s="54" t="s">
        <v>93</v>
      </c>
      <c r="R71" s="54" t="s">
        <v>234</v>
      </c>
      <c r="S71" s="55" t="s">
        <v>95</v>
      </c>
    </row>
    <row r="72" customFormat="false" ht="15" hidden="false" customHeight="false" outlineLevel="0" collapsed="false">
      <c r="A72" s="24" t="s">
        <v>56</v>
      </c>
      <c r="B72" s="23" t="s">
        <v>235</v>
      </c>
      <c r="C72" s="26" t="s">
        <v>91</v>
      </c>
      <c r="D72" s="25" t="n">
        <v>472.58</v>
      </c>
      <c r="E72" s="25"/>
      <c r="F72" s="25"/>
      <c r="G72" s="25"/>
      <c r="H72" s="25"/>
      <c r="I72" s="25"/>
      <c r="J72" s="25"/>
      <c r="K72" s="25"/>
      <c r="L72" s="56" t="s">
        <v>76</v>
      </c>
      <c r="M72" s="57" t="n">
        <v>472.58</v>
      </c>
      <c r="N72" s="58"/>
      <c r="O72" s="26" t="n">
        <v>1</v>
      </c>
      <c r="P72" s="64"/>
      <c r="Q72" s="60" t="s">
        <v>93</v>
      </c>
      <c r="R72" s="60" t="s">
        <v>236</v>
      </c>
      <c r="S72" s="61" t="s">
        <v>95</v>
      </c>
    </row>
    <row r="73" customFormat="false" ht="22.35" hidden="false" customHeight="false" outlineLevel="0" collapsed="false">
      <c r="A73" s="20" t="s">
        <v>56</v>
      </c>
      <c r="B73" s="19" t="s">
        <v>237</v>
      </c>
      <c r="C73" s="22" t="s">
        <v>91</v>
      </c>
      <c r="D73" s="21" t="n">
        <v>21.13</v>
      </c>
      <c r="E73" s="21"/>
      <c r="F73" s="21"/>
      <c r="G73" s="21"/>
      <c r="H73" s="21"/>
      <c r="I73" s="21"/>
      <c r="J73" s="21"/>
      <c r="K73" s="21"/>
      <c r="L73" s="50" t="s">
        <v>76</v>
      </c>
      <c r="M73" s="51" t="n">
        <v>21.13</v>
      </c>
      <c r="N73" s="52"/>
      <c r="O73" s="22" t="n">
        <v>1</v>
      </c>
      <c r="P73" s="63"/>
      <c r="Q73" s="54" t="s">
        <v>93</v>
      </c>
      <c r="R73" s="54" t="s">
        <v>238</v>
      </c>
      <c r="S73" s="55" t="s">
        <v>95</v>
      </c>
    </row>
    <row r="74" customFormat="false" ht="22.35" hidden="false" customHeight="false" outlineLevel="0" collapsed="false">
      <c r="A74" s="24" t="s">
        <v>56</v>
      </c>
      <c r="B74" s="23" t="s">
        <v>239</v>
      </c>
      <c r="C74" s="26" t="s">
        <v>91</v>
      </c>
      <c r="D74" s="25" t="n">
        <v>8.91</v>
      </c>
      <c r="E74" s="25"/>
      <c r="F74" s="25"/>
      <c r="G74" s="25"/>
      <c r="H74" s="25"/>
      <c r="I74" s="25"/>
      <c r="J74" s="25"/>
      <c r="K74" s="25"/>
      <c r="L74" s="56" t="s">
        <v>76</v>
      </c>
      <c r="M74" s="57" t="n">
        <v>8.91</v>
      </c>
      <c r="N74" s="58"/>
      <c r="O74" s="26" t="n">
        <v>1</v>
      </c>
      <c r="P74" s="64"/>
      <c r="Q74" s="60" t="s">
        <v>93</v>
      </c>
      <c r="R74" s="60" t="s">
        <v>240</v>
      </c>
      <c r="S74" s="61" t="s">
        <v>95</v>
      </c>
    </row>
    <row r="75" customFormat="false" ht="22.35" hidden="false" customHeight="false" outlineLevel="0" collapsed="false">
      <c r="A75" s="20" t="s">
        <v>56</v>
      </c>
      <c r="B75" s="19" t="s">
        <v>241</v>
      </c>
      <c r="C75" s="22" t="s">
        <v>91</v>
      </c>
      <c r="D75" s="21" t="n">
        <v>137.91</v>
      </c>
      <c r="E75" s="21"/>
      <c r="F75" s="21"/>
      <c r="G75" s="21"/>
      <c r="H75" s="21"/>
      <c r="I75" s="21"/>
      <c r="J75" s="21"/>
      <c r="K75" s="21"/>
      <c r="L75" s="50" t="s">
        <v>76</v>
      </c>
      <c r="M75" s="51" t="n">
        <v>137.91</v>
      </c>
      <c r="N75" s="52"/>
      <c r="O75" s="22" t="n">
        <v>1</v>
      </c>
      <c r="P75" s="63"/>
      <c r="Q75" s="54" t="s">
        <v>93</v>
      </c>
      <c r="R75" s="54" t="s">
        <v>242</v>
      </c>
      <c r="S75" s="55" t="s">
        <v>95</v>
      </c>
    </row>
    <row r="76" customFormat="false" ht="22.35" hidden="false" customHeight="false" outlineLevel="0" collapsed="false">
      <c r="A76" s="24" t="s">
        <v>56</v>
      </c>
      <c r="B76" s="23" t="s">
        <v>243</v>
      </c>
      <c r="C76" s="26" t="s">
        <v>91</v>
      </c>
      <c r="D76" s="25"/>
      <c r="E76" s="25" t="n">
        <v>30.81</v>
      </c>
      <c r="F76" s="25"/>
      <c r="G76" s="25"/>
      <c r="H76" s="25"/>
      <c r="I76" s="25"/>
      <c r="J76" s="25"/>
      <c r="K76" s="25"/>
      <c r="L76" s="56" t="s">
        <v>77</v>
      </c>
      <c r="M76" s="57" t="n">
        <v>30.81</v>
      </c>
      <c r="N76" s="58"/>
      <c r="O76" s="26" t="n">
        <v>1</v>
      </c>
      <c r="P76" s="64"/>
      <c r="Q76" s="60" t="s">
        <v>114</v>
      </c>
      <c r="R76" s="60" t="s">
        <v>244</v>
      </c>
      <c r="S76" s="26"/>
    </row>
    <row r="77" customFormat="false" ht="15" hidden="false" customHeight="false" outlineLevel="0" collapsed="false">
      <c r="A77" s="20" t="s">
        <v>56</v>
      </c>
      <c r="B77" s="19" t="s">
        <v>245</v>
      </c>
      <c r="C77" s="22" t="s">
        <v>137</v>
      </c>
      <c r="D77" s="49" t="n">
        <v>2.96</v>
      </c>
      <c r="E77" s="21"/>
      <c r="F77" s="21"/>
      <c r="G77" s="21"/>
      <c r="H77" s="21" t="n">
        <v>114.45</v>
      </c>
      <c r="I77" s="21" t="n">
        <v>19.7</v>
      </c>
      <c r="J77" s="21"/>
      <c r="K77" s="21"/>
      <c r="L77" s="50" t="s">
        <v>76</v>
      </c>
      <c r="M77" s="51" t="n">
        <v>2.96</v>
      </c>
      <c r="N77" s="52"/>
      <c r="O77" s="22" t="n">
        <v>3</v>
      </c>
      <c r="P77" s="59" t="s">
        <v>138</v>
      </c>
      <c r="Q77" s="54" t="s">
        <v>93</v>
      </c>
      <c r="R77" s="54" t="s">
        <v>246</v>
      </c>
      <c r="S77" s="55" t="s">
        <v>95</v>
      </c>
    </row>
    <row r="78" customFormat="false" ht="15" hidden="false" customHeight="false" outlineLevel="0" collapsed="false">
      <c r="A78" s="24" t="s">
        <v>56</v>
      </c>
      <c r="B78" s="23" t="s">
        <v>247</v>
      </c>
      <c r="C78" s="26" t="s">
        <v>91</v>
      </c>
      <c r="D78" s="49" t="n">
        <v>23.65</v>
      </c>
      <c r="E78" s="25" t="n">
        <v>237.86</v>
      </c>
      <c r="F78" s="25"/>
      <c r="G78" s="25"/>
      <c r="H78" s="25"/>
      <c r="I78" s="25" t="n">
        <v>87.85</v>
      </c>
      <c r="J78" s="25"/>
      <c r="K78" s="25"/>
      <c r="L78" s="56" t="s">
        <v>76</v>
      </c>
      <c r="M78" s="57" t="n">
        <v>23.65</v>
      </c>
      <c r="N78" s="58" t="n">
        <v>90.1</v>
      </c>
      <c r="O78" s="26" t="n">
        <v>3</v>
      </c>
      <c r="P78" s="62" t="s">
        <v>92</v>
      </c>
      <c r="Q78" s="60" t="s">
        <v>93</v>
      </c>
      <c r="R78" s="60" t="s">
        <v>248</v>
      </c>
      <c r="S78" s="61" t="s">
        <v>95</v>
      </c>
    </row>
    <row r="79" customFormat="false" ht="15" hidden="false" customHeight="false" outlineLevel="0" collapsed="false">
      <c r="A79" s="20" t="s">
        <v>56</v>
      </c>
      <c r="B79" s="19" t="s">
        <v>249</v>
      </c>
      <c r="C79" s="22" t="s">
        <v>91</v>
      </c>
      <c r="D79" s="21"/>
      <c r="E79" s="21"/>
      <c r="F79" s="49" t="n">
        <v>25.14</v>
      </c>
      <c r="G79" s="21"/>
      <c r="H79" s="21"/>
      <c r="I79" s="21" t="n">
        <v>36.37</v>
      </c>
      <c r="J79" s="21"/>
      <c r="K79" s="21"/>
      <c r="L79" s="50" t="s">
        <v>78</v>
      </c>
      <c r="M79" s="51" t="n">
        <v>25.14</v>
      </c>
      <c r="N79" s="52" t="n">
        <v>30.9</v>
      </c>
      <c r="O79" s="22" t="n">
        <v>2</v>
      </c>
      <c r="P79" s="53" t="s">
        <v>92</v>
      </c>
      <c r="Q79" s="54" t="s">
        <v>93</v>
      </c>
      <c r="R79" s="54" t="s">
        <v>250</v>
      </c>
      <c r="S79" s="55" t="s">
        <v>95</v>
      </c>
    </row>
    <row r="80" customFormat="false" ht="15" hidden="false" customHeight="false" outlineLevel="0" collapsed="false">
      <c r="A80" s="24" t="s">
        <v>56</v>
      </c>
      <c r="B80" s="23" t="s">
        <v>251</v>
      </c>
      <c r="C80" s="26" t="s">
        <v>91</v>
      </c>
      <c r="D80" s="25"/>
      <c r="E80" s="25"/>
      <c r="F80" s="25" t="n">
        <v>2488.05</v>
      </c>
      <c r="G80" s="25"/>
      <c r="H80" s="25"/>
      <c r="I80" s="25"/>
      <c r="J80" s="25"/>
      <c r="K80" s="25"/>
      <c r="L80" s="56" t="s">
        <v>78</v>
      </c>
      <c r="M80" s="57" t="n">
        <v>2488.05</v>
      </c>
      <c r="N80" s="58"/>
      <c r="O80" s="26" t="n">
        <v>1</v>
      </c>
      <c r="P80" s="64"/>
      <c r="Q80" s="60" t="s">
        <v>93</v>
      </c>
      <c r="R80" s="60" t="s">
        <v>252</v>
      </c>
      <c r="S80" s="61" t="s">
        <v>95</v>
      </c>
    </row>
    <row r="81" customFormat="false" ht="22.35" hidden="false" customHeight="false" outlineLevel="0" collapsed="false">
      <c r="A81" s="20" t="s">
        <v>57</v>
      </c>
      <c r="B81" s="19" t="s">
        <v>253</v>
      </c>
      <c r="C81" s="22" t="s">
        <v>91</v>
      </c>
      <c r="D81" s="49" t="n">
        <v>11.39</v>
      </c>
      <c r="E81" s="21"/>
      <c r="F81" s="21"/>
      <c r="G81" s="21"/>
      <c r="H81" s="21" t="n">
        <v>118.84</v>
      </c>
      <c r="I81" s="21" t="n">
        <v>37.42</v>
      </c>
      <c r="J81" s="21"/>
      <c r="K81" s="21"/>
      <c r="L81" s="50" t="s">
        <v>76</v>
      </c>
      <c r="M81" s="51" t="n">
        <v>11.39</v>
      </c>
      <c r="N81" s="52" t="n">
        <v>69.6</v>
      </c>
      <c r="O81" s="22" t="n">
        <v>3</v>
      </c>
      <c r="P81" s="59" t="s">
        <v>138</v>
      </c>
      <c r="Q81" s="54" t="s">
        <v>93</v>
      </c>
      <c r="R81" s="54" t="s">
        <v>254</v>
      </c>
      <c r="S81" s="55" t="s">
        <v>95</v>
      </c>
    </row>
    <row r="82" customFormat="false" ht="22.35" hidden="false" customHeight="false" outlineLevel="0" collapsed="false">
      <c r="A82" s="24" t="s">
        <v>57</v>
      </c>
      <c r="B82" s="23" t="s">
        <v>255</v>
      </c>
      <c r="C82" s="26" t="s">
        <v>91</v>
      </c>
      <c r="D82" s="25" t="n">
        <v>112.71</v>
      </c>
      <c r="E82" s="25"/>
      <c r="F82" s="25"/>
      <c r="G82" s="25"/>
      <c r="H82" s="25"/>
      <c r="I82" s="25"/>
      <c r="J82" s="25"/>
      <c r="K82" s="25"/>
      <c r="L82" s="56" t="s">
        <v>76</v>
      </c>
      <c r="M82" s="57" t="n">
        <v>112.71</v>
      </c>
      <c r="N82" s="58"/>
      <c r="O82" s="26" t="n">
        <v>1</v>
      </c>
      <c r="P82" s="64"/>
      <c r="Q82" s="60" t="s">
        <v>93</v>
      </c>
      <c r="R82" s="60" t="s">
        <v>256</v>
      </c>
      <c r="S82" s="61" t="s">
        <v>95</v>
      </c>
    </row>
    <row r="83" customFormat="false" ht="22.35" hidden="false" customHeight="false" outlineLevel="0" collapsed="false">
      <c r="A83" s="20" t="s">
        <v>57</v>
      </c>
      <c r="B83" s="19" t="s">
        <v>257</v>
      </c>
      <c r="C83" s="22" t="s">
        <v>91</v>
      </c>
      <c r="D83" s="21" t="n">
        <v>27.39</v>
      </c>
      <c r="E83" s="21"/>
      <c r="F83" s="21"/>
      <c r="G83" s="21"/>
      <c r="H83" s="21"/>
      <c r="I83" s="21"/>
      <c r="J83" s="21"/>
      <c r="K83" s="21"/>
      <c r="L83" s="50" t="s">
        <v>76</v>
      </c>
      <c r="M83" s="51" t="n">
        <v>27.39</v>
      </c>
      <c r="N83" s="52"/>
      <c r="O83" s="22" t="n">
        <v>1</v>
      </c>
      <c r="P83" s="63"/>
      <c r="Q83" s="54" t="s">
        <v>93</v>
      </c>
      <c r="R83" s="54" t="s">
        <v>258</v>
      </c>
      <c r="S83" s="55" t="s">
        <v>95</v>
      </c>
    </row>
    <row r="84" customFormat="false" ht="22.35" hidden="false" customHeight="false" outlineLevel="0" collapsed="false">
      <c r="A84" s="24" t="s">
        <v>57</v>
      </c>
      <c r="B84" s="23" t="s">
        <v>259</v>
      </c>
      <c r="C84" s="26" t="s">
        <v>91</v>
      </c>
      <c r="D84" s="25"/>
      <c r="E84" s="25"/>
      <c r="F84" s="25" t="n">
        <v>41.94</v>
      </c>
      <c r="G84" s="25"/>
      <c r="H84" s="25"/>
      <c r="I84" s="25"/>
      <c r="J84" s="25"/>
      <c r="K84" s="25"/>
      <c r="L84" s="56" t="s">
        <v>78</v>
      </c>
      <c r="M84" s="57" t="n">
        <v>41.94</v>
      </c>
      <c r="N84" s="58"/>
      <c r="O84" s="26" t="n">
        <v>1</v>
      </c>
      <c r="P84" s="64"/>
      <c r="Q84" s="60" t="s">
        <v>93</v>
      </c>
      <c r="R84" s="60" t="s">
        <v>260</v>
      </c>
      <c r="S84" s="26"/>
    </row>
    <row r="85" customFormat="false" ht="22.35" hidden="false" customHeight="false" outlineLevel="0" collapsed="false">
      <c r="A85" s="20" t="s">
        <v>57</v>
      </c>
      <c r="B85" s="19" t="s">
        <v>261</v>
      </c>
      <c r="C85" s="22" t="s">
        <v>91</v>
      </c>
      <c r="D85" s="21" t="n">
        <v>20.6</v>
      </c>
      <c r="E85" s="21"/>
      <c r="F85" s="21"/>
      <c r="G85" s="21"/>
      <c r="H85" s="21"/>
      <c r="I85" s="21"/>
      <c r="J85" s="21"/>
      <c r="K85" s="21"/>
      <c r="L85" s="50" t="s">
        <v>76</v>
      </c>
      <c r="M85" s="51" t="n">
        <v>20.6</v>
      </c>
      <c r="N85" s="52"/>
      <c r="O85" s="22" t="n">
        <v>1</v>
      </c>
      <c r="P85" s="63"/>
      <c r="Q85" s="54" t="s">
        <v>93</v>
      </c>
      <c r="R85" s="54" t="s">
        <v>262</v>
      </c>
      <c r="S85" s="55" t="s">
        <v>95</v>
      </c>
    </row>
    <row r="86" customFormat="false" ht="22.35" hidden="false" customHeight="false" outlineLevel="0" collapsed="false">
      <c r="A86" s="24" t="s">
        <v>57</v>
      </c>
      <c r="B86" s="23" t="s">
        <v>263</v>
      </c>
      <c r="C86" s="26" t="s">
        <v>91</v>
      </c>
      <c r="D86" s="25" t="n">
        <v>39.6</v>
      </c>
      <c r="E86" s="25"/>
      <c r="F86" s="25"/>
      <c r="G86" s="25"/>
      <c r="H86" s="25"/>
      <c r="I86" s="25"/>
      <c r="J86" s="25"/>
      <c r="K86" s="25"/>
      <c r="L86" s="56" t="s">
        <v>76</v>
      </c>
      <c r="M86" s="57" t="n">
        <v>39.6</v>
      </c>
      <c r="N86" s="58"/>
      <c r="O86" s="26" t="n">
        <v>1</v>
      </c>
      <c r="P86" s="64"/>
      <c r="Q86" s="60" t="s">
        <v>93</v>
      </c>
      <c r="R86" s="60" t="s">
        <v>264</v>
      </c>
      <c r="S86" s="61" t="s">
        <v>95</v>
      </c>
    </row>
    <row r="87" customFormat="false" ht="15" hidden="false" customHeight="false" outlineLevel="0" collapsed="false">
      <c r="A87" s="20" t="s">
        <v>57</v>
      </c>
      <c r="B87" s="19" t="s">
        <v>265</v>
      </c>
      <c r="C87" s="22" t="s">
        <v>91</v>
      </c>
      <c r="D87" s="21"/>
      <c r="E87" s="21"/>
      <c r="F87" s="21" t="n">
        <v>121.28</v>
      </c>
      <c r="G87" s="21"/>
      <c r="H87" s="21" t="n">
        <v>34.34</v>
      </c>
      <c r="I87" s="49" t="n">
        <v>23.4</v>
      </c>
      <c r="J87" s="21"/>
      <c r="K87" s="21"/>
      <c r="L87" s="50" t="s">
        <v>81</v>
      </c>
      <c r="M87" s="51" t="n">
        <v>23.4</v>
      </c>
      <c r="N87" s="52" t="n">
        <v>80.7</v>
      </c>
      <c r="O87" s="22" t="n">
        <v>3</v>
      </c>
      <c r="P87" s="59" t="s">
        <v>97</v>
      </c>
      <c r="Q87" s="54" t="s">
        <v>169</v>
      </c>
      <c r="R87" s="54" t="s">
        <v>266</v>
      </c>
      <c r="S87" s="55" t="s">
        <v>95</v>
      </c>
    </row>
    <row r="88" customFormat="false" ht="22.35" hidden="false" customHeight="false" outlineLevel="0" collapsed="false">
      <c r="A88" s="24" t="s">
        <v>57</v>
      </c>
      <c r="B88" s="23" t="s">
        <v>267</v>
      </c>
      <c r="C88" s="26" t="s">
        <v>137</v>
      </c>
      <c r="D88" s="25"/>
      <c r="E88" s="25"/>
      <c r="F88" s="25" t="n">
        <v>8.9</v>
      </c>
      <c r="G88" s="25"/>
      <c r="H88" s="25"/>
      <c r="I88" s="25"/>
      <c r="J88" s="25"/>
      <c r="K88" s="25"/>
      <c r="L88" s="56" t="s">
        <v>78</v>
      </c>
      <c r="M88" s="57" t="n">
        <v>8.9</v>
      </c>
      <c r="N88" s="58"/>
      <c r="O88" s="26" t="n">
        <v>1</v>
      </c>
      <c r="P88" s="64"/>
      <c r="Q88" s="60" t="s">
        <v>93</v>
      </c>
      <c r="R88" s="60" t="s">
        <v>268</v>
      </c>
      <c r="S88" s="26"/>
    </row>
    <row r="89" customFormat="false" ht="15" hidden="false" customHeight="false" outlineLevel="0" collapsed="false">
      <c r="A89" s="20" t="s">
        <v>57</v>
      </c>
      <c r="B89" s="19" t="s">
        <v>269</v>
      </c>
      <c r="C89" s="22" t="s">
        <v>91</v>
      </c>
      <c r="D89" s="21" t="n">
        <v>158.77</v>
      </c>
      <c r="E89" s="21"/>
      <c r="F89" s="21"/>
      <c r="G89" s="21"/>
      <c r="H89" s="21"/>
      <c r="I89" s="21"/>
      <c r="J89" s="21"/>
      <c r="K89" s="21"/>
      <c r="L89" s="50" t="s">
        <v>76</v>
      </c>
      <c r="M89" s="51" t="n">
        <v>158.77</v>
      </c>
      <c r="N89" s="52"/>
      <c r="O89" s="22" t="n">
        <v>1</v>
      </c>
      <c r="P89" s="63"/>
      <c r="Q89" s="54" t="s">
        <v>93</v>
      </c>
      <c r="R89" s="54" t="s">
        <v>270</v>
      </c>
      <c r="S89" s="55" t="s">
        <v>95</v>
      </c>
    </row>
    <row r="90" customFormat="false" ht="22.35" hidden="false" customHeight="false" outlineLevel="0" collapsed="false">
      <c r="A90" s="24" t="s">
        <v>57</v>
      </c>
      <c r="B90" s="23" t="s">
        <v>271</v>
      </c>
      <c r="C90" s="26" t="s">
        <v>91</v>
      </c>
      <c r="D90" s="49" t="n">
        <v>50.9</v>
      </c>
      <c r="E90" s="25"/>
      <c r="F90" s="25"/>
      <c r="G90" s="25"/>
      <c r="H90" s="25" t="n">
        <v>1.58</v>
      </c>
      <c r="I90" s="25"/>
      <c r="J90" s="25"/>
      <c r="K90" s="25"/>
      <c r="L90" s="56" t="s">
        <v>76</v>
      </c>
      <c r="M90" s="57" t="n">
        <v>50.9</v>
      </c>
      <c r="N90" s="58"/>
      <c r="O90" s="26" t="n">
        <v>2</v>
      </c>
      <c r="P90" s="62" t="s">
        <v>92</v>
      </c>
      <c r="Q90" s="60" t="s">
        <v>93</v>
      </c>
      <c r="R90" s="60" t="s">
        <v>272</v>
      </c>
      <c r="S90" s="61" t="s">
        <v>95</v>
      </c>
    </row>
    <row r="91" customFormat="false" ht="15" hidden="false" customHeight="false" outlineLevel="0" collapsed="false">
      <c r="A91" s="20" t="s">
        <v>57</v>
      </c>
      <c r="B91" s="19" t="s">
        <v>273</v>
      </c>
      <c r="C91" s="22" t="s">
        <v>91</v>
      </c>
      <c r="D91" s="21" t="n">
        <v>2.58</v>
      </c>
      <c r="E91" s="21"/>
      <c r="F91" s="21"/>
      <c r="G91" s="21"/>
      <c r="H91" s="21"/>
      <c r="I91" s="21"/>
      <c r="J91" s="21"/>
      <c r="K91" s="21"/>
      <c r="L91" s="50" t="s">
        <v>76</v>
      </c>
      <c r="M91" s="51" t="n">
        <v>2.58</v>
      </c>
      <c r="N91" s="52"/>
      <c r="O91" s="22" t="n">
        <v>1</v>
      </c>
      <c r="P91" s="63"/>
      <c r="Q91" s="54" t="s">
        <v>93</v>
      </c>
      <c r="R91" s="54" t="s">
        <v>274</v>
      </c>
      <c r="S91" s="55" t="s">
        <v>95</v>
      </c>
    </row>
    <row r="92" customFormat="false" ht="22.35" hidden="false" customHeight="false" outlineLevel="0" collapsed="false">
      <c r="A92" s="24" t="s">
        <v>57</v>
      </c>
      <c r="B92" s="23" t="s">
        <v>275</v>
      </c>
      <c r="C92" s="26" t="s">
        <v>91</v>
      </c>
      <c r="D92" s="25" t="n">
        <v>38.38</v>
      </c>
      <c r="E92" s="25"/>
      <c r="F92" s="25"/>
      <c r="G92" s="25"/>
      <c r="H92" s="25"/>
      <c r="I92" s="25"/>
      <c r="J92" s="25"/>
      <c r="K92" s="25"/>
      <c r="L92" s="56" t="s">
        <v>76</v>
      </c>
      <c r="M92" s="57" t="n">
        <v>38.38</v>
      </c>
      <c r="N92" s="58"/>
      <c r="O92" s="26" t="n">
        <v>1</v>
      </c>
      <c r="P92" s="64"/>
      <c r="Q92" s="60" t="s">
        <v>93</v>
      </c>
      <c r="R92" s="60" t="s">
        <v>276</v>
      </c>
      <c r="S92" s="61" t="s">
        <v>95</v>
      </c>
    </row>
    <row r="93" customFormat="false" ht="32.8" hidden="false" customHeight="false" outlineLevel="0" collapsed="false">
      <c r="A93" s="20" t="s">
        <v>57</v>
      </c>
      <c r="B93" s="19" t="s">
        <v>277</v>
      </c>
      <c r="C93" s="22" t="s">
        <v>91</v>
      </c>
      <c r="D93" s="21" t="n">
        <v>420.54</v>
      </c>
      <c r="E93" s="21"/>
      <c r="F93" s="21"/>
      <c r="G93" s="21"/>
      <c r="H93" s="21" t="n">
        <v>34.34</v>
      </c>
      <c r="I93" s="49" t="n">
        <v>104.9</v>
      </c>
      <c r="J93" s="21"/>
      <c r="K93" s="21"/>
      <c r="L93" s="50" t="s">
        <v>81</v>
      </c>
      <c r="M93" s="51" t="n">
        <v>104.9</v>
      </c>
      <c r="N93" s="52" t="n">
        <v>75.1</v>
      </c>
      <c r="O93" s="22" t="n">
        <v>3</v>
      </c>
      <c r="P93" s="59" t="s">
        <v>97</v>
      </c>
      <c r="Q93" s="54" t="s">
        <v>119</v>
      </c>
      <c r="R93" s="54" t="s">
        <v>278</v>
      </c>
      <c r="S93" s="55" t="s">
        <v>95</v>
      </c>
    </row>
    <row r="94" customFormat="false" ht="22.35" hidden="false" customHeight="false" outlineLevel="0" collapsed="false">
      <c r="A94" s="24" t="s">
        <v>57</v>
      </c>
      <c r="B94" s="23" t="s">
        <v>279</v>
      </c>
      <c r="C94" s="26" t="s">
        <v>91</v>
      </c>
      <c r="D94" s="25" t="n">
        <v>36.93</v>
      </c>
      <c r="E94" s="25"/>
      <c r="F94" s="25"/>
      <c r="G94" s="25"/>
      <c r="H94" s="25"/>
      <c r="I94" s="25"/>
      <c r="J94" s="25"/>
      <c r="K94" s="25"/>
      <c r="L94" s="56" t="s">
        <v>76</v>
      </c>
      <c r="M94" s="57" t="n">
        <v>36.93</v>
      </c>
      <c r="N94" s="58"/>
      <c r="O94" s="26" t="n">
        <v>1</v>
      </c>
      <c r="P94" s="64"/>
      <c r="Q94" s="60" t="s">
        <v>93</v>
      </c>
      <c r="R94" s="60" t="s">
        <v>280</v>
      </c>
      <c r="S94" s="61" t="s">
        <v>95</v>
      </c>
    </row>
    <row r="95" customFormat="false" ht="15" hidden="false" customHeight="false" outlineLevel="0" collapsed="false">
      <c r="A95" s="20" t="s">
        <v>57</v>
      </c>
      <c r="B95" s="19" t="s">
        <v>281</v>
      </c>
      <c r="C95" s="22" t="s">
        <v>91</v>
      </c>
      <c r="D95" s="21" t="n">
        <v>891.91</v>
      </c>
      <c r="E95" s="21"/>
      <c r="F95" s="21"/>
      <c r="G95" s="21"/>
      <c r="H95" s="21"/>
      <c r="I95" s="21"/>
      <c r="J95" s="21"/>
      <c r="K95" s="21"/>
      <c r="L95" s="50" t="s">
        <v>76</v>
      </c>
      <c r="M95" s="51" t="n">
        <v>891.91</v>
      </c>
      <c r="N95" s="52"/>
      <c r="O95" s="22" t="n">
        <v>1</v>
      </c>
      <c r="P95" s="63"/>
      <c r="Q95" s="54" t="s">
        <v>93</v>
      </c>
      <c r="R95" s="54" t="s">
        <v>282</v>
      </c>
      <c r="S95" s="55" t="s">
        <v>95</v>
      </c>
    </row>
    <row r="96" customFormat="false" ht="22.35" hidden="false" customHeight="false" outlineLevel="0" collapsed="false">
      <c r="A96" s="24" t="s">
        <v>57</v>
      </c>
      <c r="B96" s="23" t="s">
        <v>283</v>
      </c>
      <c r="C96" s="26" t="s">
        <v>91</v>
      </c>
      <c r="D96" s="25" t="n">
        <v>69.9</v>
      </c>
      <c r="E96" s="25" t="n">
        <v>414.16</v>
      </c>
      <c r="F96" s="49" t="n">
        <v>58.62</v>
      </c>
      <c r="G96" s="25"/>
      <c r="H96" s="25"/>
      <c r="I96" s="25"/>
      <c r="J96" s="25"/>
      <c r="K96" s="25"/>
      <c r="L96" s="56" t="s">
        <v>78</v>
      </c>
      <c r="M96" s="57" t="n">
        <v>58.62</v>
      </c>
      <c r="N96" s="58" t="n">
        <v>85.8</v>
      </c>
      <c r="O96" s="26" t="n">
        <v>3</v>
      </c>
      <c r="P96" s="59" t="s">
        <v>97</v>
      </c>
      <c r="Q96" s="60" t="s">
        <v>93</v>
      </c>
      <c r="R96" s="60" t="s">
        <v>284</v>
      </c>
      <c r="S96" s="61" t="s">
        <v>95</v>
      </c>
    </row>
    <row r="97" customFormat="false" ht="22.35" hidden="false" customHeight="false" outlineLevel="0" collapsed="false">
      <c r="A97" s="20" t="s">
        <v>57</v>
      </c>
      <c r="B97" s="19" t="s">
        <v>285</v>
      </c>
      <c r="C97" s="22" t="s">
        <v>91</v>
      </c>
      <c r="D97" s="21"/>
      <c r="E97" s="21"/>
      <c r="F97" s="21" t="n">
        <v>123.64</v>
      </c>
      <c r="G97" s="21"/>
      <c r="H97" s="21"/>
      <c r="I97" s="21"/>
      <c r="J97" s="21"/>
      <c r="K97" s="21"/>
      <c r="L97" s="50" t="s">
        <v>78</v>
      </c>
      <c r="M97" s="51" t="n">
        <v>123.64</v>
      </c>
      <c r="N97" s="52"/>
      <c r="O97" s="22" t="n">
        <v>1</v>
      </c>
      <c r="P97" s="63"/>
      <c r="Q97" s="54" t="s">
        <v>93</v>
      </c>
      <c r="R97" s="54" t="s">
        <v>286</v>
      </c>
      <c r="S97" s="22"/>
    </row>
    <row r="98" customFormat="false" ht="22.35" hidden="false" customHeight="false" outlineLevel="0" collapsed="false">
      <c r="A98" s="24" t="s">
        <v>57</v>
      </c>
      <c r="B98" s="23" t="s">
        <v>287</v>
      </c>
      <c r="C98" s="26" t="s">
        <v>91</v>
      </c>
      <c r="D98" s="25"/>
      <c r="E98" s="25" t="n">
        <v>234.11</v>
      </c>
      <c r="F98" s="49" t="n">
        <v>120.61</v>
      </c>
      <c r="G98" s="25"/>
      <c r="H98" s="25"/>
      <c r="I98" s="25"/>
      <c r="J98" s="25"/>
      <c r="K98" s="25"/>
      <c r="L98" s="56" t="s">
        <v>78</v>
      </c>
      <c r="M98" s="57" t="n">
        <v>120.61</v>
      </c>
      <c r="N98" s="58" t="n">
        <v>48.5</v>
      </c>
      <c r="O98" s="26" t="n">
        <v>2</v>
      </c>
      <c r="P98" s="59" t="s">
        <v>97</v>
      </c>
      <c r="Q98" s="60" t="s">
        <v>93</v>
      </c>
      <c r="R98" s="60" t="s">
        <v>288</v>
      </c>
      <c r="S98" s="26"/>
    </row>
    <row r="99" customFormat="false" ht="22.35" hidden="false" customHeight="false" outlineLevel="0" collapsed="false">
      <c r="A99" s="20" t="s">
        <v>57</v>
      </c>
      <c r="B99" s="19" t="s">
        <v>289</v>
      </c>
      <c r="C99" s="22" t="s">
        <v>91</v>
      </c>
      <c r="D99" s="21"/>
      <c r="E99" s="21"/>
      <c r="F99" s="21"/>
      <c r="G99" s="21"/>
      <c r="H99" s="21"/>
      <c r="I99" s="21"/>
      <c r="J99" s="21" t="n">
        <v>13.77</v>
      </c>
      <c r="K99" s="21"/>
      <c r="L99" s="50" t="s">
        <v>82</v>
      </c>
      <c r="M99" s="51" t="n">
        <v>13.77</v>
      </c>
      <c r="N99" s="52"/>
      <c r="O99" s="22" t="n">
        <v>1</v>
      </c>
      <c r="P99" s="63"/>
      <c r="Q99" s="54" t="s">
        <v>290</v>
      </c>
      <c r="R99" s="54" t="s">
        <v>291</v>
      </c>
      <c r="S99" s="55" t="s">
        <v>95</v>
      </c>
    </row>
    <row r="100" customFormat="false" ht="22.35" hidden="false" customHeight="false" outlineLevel="0" collapsed="false">
      <c r="A100" s="24" t="s">
        <v>58</v>
      </c>
      <c r="B100" s="23" t="s">
        <v>292</v>
      </c>
      <c r="C100" s="26" t="s">
        <v>145</v>
      </c>
      <c r="D100" s="49" t="n">
        <v>1.59</v>
      </c>
      <c r="E100" s="25"/>
      <c r="F100" s="25"/>
      <c r="G100" s="25" t="n">
        <v>16.9</v>
      </c>
      <c r="H100" s="25"/>
      <c r="I100" s="25" t="n">
        <v>24.23</v>
      </c>
      <c r="J100" s="25"/>
      <c r="K100" s="25"/>
      <c r="L100" s="56" t="s">
        <v>76</v>
      </c>
      <c r="M100" s="57" t="n">
        <v>1.59</v>
      </c>
      <c r="N100" s="58"/>
      <c r="O100" s="26" t="n">
        <v>3</v>
      </c>
      <c r="P100" s="59" t="s">
        <v>138</v>
      </c>
      <c r="Q100" s="60" t="s">
        <v>93</v>
      </c>
      <c r="R100" s="60" t="s">
        <v>293</v>
      </c>
      <c r="S100" s="61" t="s">
        <v>95</v>
      </c>
    </row>
    <row r="101" customFormat="false" ht="15" hidden="false" customHeight="false" outlineLevel="0" collapsed="false">
      <c r="A101" s="20" t="s">
        <v>58</v>
      </c>
      <c r="B101" s="19" t="s">
        <v>294</v>
      </c>
      <c r="C101" s="22" t="s">
        <v>145</v>
      </c>
      <c r="D101" s="49" t="n">
        <v>91.61</v>
      </c>
      <c r="E101" s="21" t="n">
        <v>68.66</v>
      </c>
      <c r="F101" s="21"/>
      <c r="G101" s="21" t="n">
        <v>16.9</v>
      </c>
      <c r="H101" s="21"/>
      <c r="I101" s="21" t="n">
        <v>24.23</v>
      </c>
      <c r="J101" s="21"/>
      <c r="K101" s="21"/>
      <c r="L101" s="50" t="s">
        <v>76</v>
      </c>
      <c r="M101" s="51" t="n">
        <v>91.61</v>
      </c>
      <c r="N101" s="52"/>
      <c r="O101" s="22" t="n">
        <v>4</v>
      </c>
      <c r="P101" s="59" t="s">
        <v>138</v>
      </c>
      <c r="Q101" s="54" t="s">
        <v>93</v>
      </c>
      <c r="R101" s="54" t="s">
        <v>295</v>
      </c>
      <c r="S101" s="55" t="s">
        <v>95</v>
      </c>
    </row>
    <row r="102" customFormat="false" ht="22.35" hidden="false" customHeight="false" outlineLevel="0" collapsed="false">
      <c r="A102" s="24" t="s">
        <v>58</v>
      </c>
      <c r="B102" s="23" t="s">
        <v>296</v>
      </c>
      <c r="C102" s="26" t="s">
        <v>137</v>
      </c>
      <c r="D102" s="49" t="n">
        <v>4.03</v>
      </c>
      <c r="E102" s="25" t="n">
        <v>5.86</v>
      </c>
      <c r="F102" s="25"/>
      <c r="G102" s="25"/>
      <c r="H102" s="25" t="n">
        <v>159.69</v>
      </c>
      <c r="I102" s="25" t="n">
        <v>2.77</v>
      </c>
      <c r="J102" s="25"/>
      <c r="K102" s="25"/>
      <c r="L102" s="56" t="s">
        <v>76</v>
      </c>
      <c r="M102" s="57" t="n">
        <v>4.03</v>
      </c>
      <c r="N102" s="58"/>
      <c r="O102" s="26" t="n">
        <v>4</v>
      </c>
      <c r="P102" s="59" t="s">
        <v>138</v>
      </c>
      <c r="Q102" s="60" t="s">
        <v>93</v>
      </c>
      <c r="R102" s="60" t="s">
        <v>297</v>
      </c>
      <c r="S102" s="61" t="s">
        <v>95</v>
      </c>
    </row>
    <row r="103" customFormat="false" ht="15" hidden="false" customHeight="false" outlineLevel="0" collapsed="false">
      <c r="A103" s="20" t="s">
        <v>58</v>
      </c>
      <c r="B103" s="19" t="s">
        <v>298</v>
      </c>
      <c r="C103" s="22" t="s">
        <v>137</v>
      </c>
      <c r="D103" s="49" t="n">
        <v>4.03</v>
      </c>
      <c r="E103" s="21" t="n">
        <v>5.86</v>
      </c>
      <c r="F103" s="21"/>
      <c r="G103" s="21"/>
      <c r="H103" s="21" t="n">
        <v>55.35</v>
      </c>
      <c r="I103" s="21" t="n">
        <v>2.77</v>
      </c>
      <c r="J103" s="21"/>
      <c r="K103" s="21"/>
      <c r="L103" s="50" t="s">
        <v>76</v>
      </c>
      <c r="M103" s="51" t="n">
        <v>4.03</v>
      </c>
      <c r="N103" s="52"/>
      <c r="O103" s="22" t="n">
        <v>4</v>
      </c>
      <c r="P103" s="59" t="s">
        <v>138</v>
      </c>
      <c r="Q103" s="54" t="s">
        <v>93</v>
      </c>
      <c r="R103" s="54" t="s">
        <v>299</v>
      </c>
      <c r="S103" s="55" t="s">
        <v>95</v>
      </c>
    </row>
    <row r="104" customFormat="false" ht="22.35" hidden="false" customHeight="false" outlineLevel="0" collapsed="false">
      <c r="A104" s="24" t="s">
        <v>58</v>
      </c>
      <c r="B104" s="23" t="s">
        <v>300</v>
      </c>
      <c r="C104" s="26" t="s">
        <v>137</v>
      </c>
      <c r="D104" s="49" t="n">
        <v>1.48</v>
      </c>
      <c r="E104" s="25" t="n">
        <v>6.14</v>
      </c>
      <c r="F104" s="25"/>
      <c r="G104" s="25" t="n">
        <v>5.58</v>
      </c>
      <c r="H104" s="25"/>
      <c r="I104" s="25" t="n">
        <v>15.1</v>
      </c>
      <c r="J104" s="25"/>
      <c r="K104" s="25"/>
      <c r="L104" s="56" t="s">
        <v>76</v>
      </c>
      <c r="M104" s="57" t="n">
        <v>1.48</v>
      </c>
      <c r="N104" s="58"/>
      <c r="O104" s="26" t="n">
        <v>4</v>
      </c>
      <c r="P104" s="59" t="s">
        <v>138</v>
      </c>
      <c r="Q104" s="60" t="s">
        <v>93</v>
      </c>
      <c r="R104" s="60" t="s">
        <v>301</v>
      </c>
      <c r="S104" s="61" t="s">
        <v>95</v>
      </c>
    </row>
    <row r="105" customFormat="false" ht="22.35" hidden="false" customHeight="false" outlineLevel="0" collapsed="false">
      <c r="A105" s="20" t="s">
        <v>58</v>
      </c>
      <c r="B105" s="19" t="s">
        <v>302</v>
      </c>
      <c r="C105" s="22" t="s">
        <v>91</v>
      </c>
      <c r="D105" s="21" t="n">
        <v>10.25</v>
      </c>
      <c r="E105" s="21" t="n">
        <v>53.24</v>
      </c>
      <c r="F105" s="21"/>
      <c r="G105" s="21" t="n">
        <v>6.34</v>
      </c>
      <c r="H105" s="49" t="n">
        <v>3.82</v>
      </c>
      <c r="I105" s="21" t="n">
        <v>5.27</v>
      </c>
      <c r="J105" s="21"/>
      <c r="K105" s="21"/>
      <c r="L105" s="50" t="s">
        <v>80</v>
      </c>
      <c r="M105" s="51" t="n">
        <v>3.82</v>
      </c>
      <c r="N105" s="52" t="n">
        <v>62.7</v>
      </c>
      <c r="O105" s="22" t="n">
        <v>5</v>
      </c>
      <c r="P105" s="53" t="s">
        <v>92</v>
      </c>
      <c r="Q105" s="54" t="s">
        <v>303</v>
      </c>
      <c r="R105" s="54" t="s">
        <v>304</v>
      </c>
      <c r="S105" s="55" t="s">
        <v>95</v>
      </c>
    </row>
    <row r="106" customFormat="false" ht="22.35" hidden="false" customHeight="false" outlineLevel="0" collapsed="false">
      <c r="A106" s="24" t="s">
        <v>58</v>
      </c>
      <c r="B106" s="23" t="s">
        <v>305</v>
      </c>
      <c r="C106" s="26" t="s">
        <v>91</v>
      </c>
      <c r="D106" s="25" t="n">
        <v>8.55</v>
      </c>
      <c r="E106" s="25"/>
      <c r="F106" s="25"/>
      <c r="G106" s="25"/>
      <c r="H106" s="25"/>
      <c r="I106" s="25"/>
      <c r="J106" s="25"/>
      <c r="K106" s="25"/>
      <c r="L106" s="56" t="s">
        <v>76</v>
      </c>
      <c r="M106" s="57" t="n">
        <v>8.55</v>
      </c>
      <c r="N106" s="58"/>
      <c r="O106" s="26" t="n">
        <v>1</v>
      </c>
      <c r="P106" s="64"/>
      <c r="Q106" s="60" t="s">
        <v>93</v>
      </c>
      <c r="R106" s="60" t="s">
        <v>306</v>
      </c>
      <c r="S106" s="61" t="s">
        <v>95</v>
      </c>
    </row>
    <row r="107" customFormat="false" ht="15" hidden="false" customHeight="false" outlineLevel="0" collapsed="false">
      <c r="A107" s="20" t="s">
        <v>58</v>
      </c>
      <c r="B107" s="19" t="s">
        <v>307</v>
      </c>
      <c r="C107" s="22" t="s">
        <v>91</v>
      </c>
      <c r="D107" s="49" t="n">
        <v>1.73</v>
      </c>
      <c r="E107" s="21"/>
      <c r="F107" s="21"/>
      <c r="G107" s="21" t="n">
        <v>20.22</v>
      </c>
      <c r="H107" s="21" t="n">
        <v>2.06</v>
      </c>
      <c r="I107" s="21"/>
      <c r="J107" s="21"/>
      <c r="K107" s="21"/>
      <c r="L107" s="50" t="s">
        <v>76</v>
      </c>
      <c r="M107" s="51" t="n">
        <v>1.73</v>
      </c>
      <c r="N107" s="52" t="n">
        <v>91.4</v>
      </c>
      <c r="O107" s="22" t="n">
        <v>3</v>
      </c>
      <c r="P107" s="59" t="s">
        <v>138</v>
      </c>
      <c r="Q107" s="54" t="s">
        <v>93</v>
      </c>
      <c r="R107" s="54" t="s">
        <v>308</v>
      </c>
      <c r="S107" s="55" t="s">
        <v>95</v>
      </c>
    </row>
    <row r="108" customFormat="false" ht="15" hidden="false" customHeight="false" outlineLevel="0" collapsed="false">
      <c r="A108" s="24" t="s">
        <v>58</v>
      </c>
      <c r="B108" s="23" t="s">
        <v>309</v>
      </c>
      <c r="C108" s="26" t="s">
        <v>91</v>
      </c>
      <c r="D108" s="49" t="n">
        <v>1.73</v>
      </c>
      <c r="E108" s="25"/>
      <c r="F108" s="25"/>
      <c r="G108" s="25"/>
      <c r="H108" s="25"/>
      <c r="I108" s="25" t="n">
        <v>6.1</v>
      </c>
      <c r="J108" s="25"/>
      <c r="K108" s="25"/>
      <c r="L108" s="56" t="s">
        <v>76</v>
      </c>
      <c r="M108" s="57" t="n">
        <v>1.73</v>
      </c>
      <c r="N108" s="58" t="n">
        <v>71.6</v>
      </c>
      <c r="O108" s="26" t="n">
        <v>2</v>
      </c>
      <c r="P108" s="59" t="s">
        <v>97</v>
      </c>
      <c r="Q108" s="60" t="s">
        <v>93</v>
      </c>
      <c r="R108" s="60" t="s">
        <v>308</v>
      </c>
      <c r="S108" s="61" t="s">
        <v>95</v>
      </c>
    </row>
    <row r="109" customFormat="false" ht="22.35" hidden="false" customHeight="false" outlineLevel="0" collapsed="false">
      <c r="A109" s="20" t="s">
        <v>58</v>
      </c>
      <c r="B109" s="19" t="s">
        <v>310</v>
      </c>
      <c r="C109" s="22" t="s">
        <v>91</v>
      </c>
      <c r="D109" s="49" t="n">
        <v>2.75</v>
      </c>
      <c r="E109" s="21"/>
      <c r="F109" s="21"/>
      <c r="G109" s="21" t="n">
        <v>7.97</v>
      </c>
      <c r="H109" s="21" t="n">
        <v>12.06</v>
      </c>
      <c r="I109" s="21" t="n">
        <v>4.95</v>
      </c>
      <c r="J109" s="21"/>
      <c r="K109" s="21"/>
      <c r="L109" s="50" t="s">
        <v>76</v>
      </c>
      <c r="M109" s="51" t="n">
        <v>2.75</v>
      </c>
      <c r="N109" s="52" t="n">
        <v>77.2</v>
      </c>
      <c r="O109" s="22" t="n">
        <v>4</v>
      </c>
      <c r="P109" s="59" t="s">
        <v>97</v>
      </c>
      <c r="Q109" s="54" t="s">
        <v>93</v>
      </c>
      <c r="R109" s="54" t="s">
        <v>311</v>
      </c>
      <c r="S109" s="55" t="s">
        <v>95</v>
      </c>
    </row>
    <row r="110" customFormat="false" ht="22.35" hidden="false" customHeight="false" outlineLevel="0" collapsed="false">
      <c r="A110" s="24" t="s">
        <v>58</v>
      </c>
      <c r="B110" s="23" t="s">
        <v>312</v>
      </c>
      <c r="C110" s="26" t="s">
        <v>91</v>
      </c>
      <c r="D110" s="25" t="n">
        <v>12.4</v>
      </c>
      <c r="E110" s="25"/>
      <c r="F110" s="25"/>
      <c r="G110" s="49" t="n">
        <v>11.14</v>
      </c>
      <c r="H110" s="25" t="n">
        <v>12.38</v>
      </c>
      <c r="I110" s="25" t="n">
        <v>16.3</v>
      </c>
      <c r="J110" s="25"/>
      <c r="K110" s="25"/>
      <c r="L110" s="56" t="s">
        <v>79</v>
      </c>
      <c r="M110" s="57" t="n">
        <v>11.14</v>
      </c>
      <c r="N110" s="58" t="n">
        <v>31.7</v>
      </c>
      <c r="O110" s="26" t="n">
        <v>4</v>
      </c>
      <c r="P110" s="62" t="s">
        <v>92</v>
      </c>
      <c r="Q110" s="60" t="s">
        <v>313</v>
      </c>
      <c r="R110" s="60" t="s">
        <v>314</v>
      </c>
      <c r="S110" s="61" t="s">
        <v>95</v>
      </c>
    </row>
    <row r="111" customFormat="false" ht="22.35" hidden="false" customHeight="false" outlineLevel="0" collapsed="false">
      <c r="A111" s="20" t="s">
        <v>58</v>
      </c>
      <c r="B111" s="19" t="s">
        <v>315</v>
      </c>
      <c r="C111" s="22" t="s">
        <v>91</v>
      </c>
      <c r="D111" s="21" t="n">
        <v>55.61</v>
      </c>
      <c r="E111" s="21"/>
      <c r="F111" s="21"/>
      <c r="G111" s="21"/>
      <c r="H111" s="21"/>
      <c r="I111" s="49" t="n">
        <v>7.57</v>
      </c>
      <c r="J111" s="21"/>
      <c r="K111" s="21"/>
      <c r="L111" s="50" t="s">
        <v>81</v>
      </c>
      <c r="M111" s="51" t="n">
        <v>7.57</v>
      </c>
      <c r="N111" s="52" t="n">
        <v>86.4</v>
      </c>
      <c r="O111" s="22" t="n">
        <v>2</v>
      </c>
      <c r="P111" s="53" t="s">
        <v>92</v>
      </c>
      <c r="Q111" s="54" t="s">
        <v>119</v>
      </c>
      <c r="R111" s="54" t="s">
        <v>316</v>
      </c>
      <c r="S111" s="55" t="s">
        <v>95</v>
      </c>
    </row>
    <row r="112" customFormat="false" ht="22.35" hidden="false" customHeight="false" outlineLevel="0" collapsed="false">
      <c r="A112" s="24" t="s">
        <v>58</v>
      </c>
      <c r="B112" s="23" t="s">
        <v>317</v>
      </c>
      <c r="C112" s="26" t="s">
        <v>91</v>
      </c>
      <c r="D112" s="25"/>
      <c r="E112" s="25"/>
      <c r="F112" s="25"/>
      <c r="G112" s="25"/>
      <c r="H112" s="25" t="n">
        <v>9.26</v>
      </c>
      <c r="I112" s="25"/>
      <c r="J112" s="25"/>
      <c r="K112" s="25"/>
      <c r="L112" s="56" t="s">
        <v>80</v>
      </c>
      <c r="M112" s="57" t="n">
        <v>9.26</v>
      </c>
      <c r="N112" s="58"/>
      <c r="O112" s="26" t="n">
        <v>1</v>
      </c>
      <c r="P112" s="64"/>
      <c r="Q112" s="60" t="s">
        <v>303</v>
      </c>
      <c r="R112" s="60" t="s">
        <v>318</v>
      </c>
      <c r="S112" s="61" t="s">
        <v>95</v>
      </c>
    </row>
    <row r="113" customFormat="false" ht="15" hidden="false" customHeight="false" outlineLevel="0" collapsed="false">
      <c r="A113" s="20" t="s">
        <v>58</v>
      </c>
      <c r="B113" s="19" t="s">
        <v>319</v>
      </c>
      <c r="C113" s="22" t="s">
        <v>91</v>
      </c>
      <c r="D113" s="21" t="n">
        <v>68.87</v>
      </c>
      <c r="E113" s="21" t="n">
        <v>212.95</v>
      </c>
      <c r="F113" s="21"/>
      <c r="G113" s="21" t="n">
        <v>39.03</v>
      </c>
      <c r="H113" s="21" t="n">
        <v>76.55</v>
      </c>
      <c r="I113" s="49" t="n">
        <v>31.86</v>
      </c>
      <c r="J113" s="21"/>
      <c r="K113" s="21"/>
      <c r="L113" s="50" t="s">
        <v>81</v>
      </c>
      <c r="M113" s="51" t="n">
        <v>31.86</v>
      </c>
      <c r="N113" s="52" t="n">
        <v>58.4</v>
      </c>
      <c r="O113" s="22" t="n">
        <v>5</v>
      </c>
      <c r="P113" s="59" t="s">
        <v>97</v>
      </c>
      <c r="Q113" s="54" t="s">
        <v>169</v>
      </c>
      <c r="R113" s="54" t="s">
        <v>320</v>
      </c>
      <c r="S113" s="55" t="s">
        <v>95</v>
      </c>
    </row>
    <row r="114" customFormat="false" ht="22.35" hidden="false" customHeight="false" outlineLevel="0" collapsed="false">
      <c r="A114" s="24" t="s">
        <v>58</v>
      </c>
      <c r="B114" s="23" t="s">
        <v>321</v>
      </c>
      <c r="C114" s="26" t="s">
        <v>91</v>
      </c>
      <c r="D114" s="25" t="n">
        <v>185.54</v>
      </c>
      <c r="E114" s="25" t="n">
        <v>73.6</v>
      </c>
      <c r="F114" s="25"/>
      <c r="G114" s="25" t="n">
        <v>54.93</v>
      </c>
      <c r="H114" s="49" t="n">
        <v>50.06</v>
      </c>
      <c r="I114" s="25" t="n">
        <v>57.9</v>
      </c>
      <c r="J114" s="25"/>
      <c r="K114" s="25"/>
      <c r="L114" s="56" t="s">
        <v>80</v>
      </c>
      <c r="M114" s="57" t="n">
        <v>50.06</v>
      </c>
      <c r="N114" s="58" t="n">
        <v>73</v>
      </c>
      <c r="O114" s="26" t="n">
        <v>5</v>
      </c>
      <c r="P114" s="59" t="s">
        <v>97</v>
      </c>
      <c r="Q114" s="60" t="s">
        <v>303</v>
      </c>
      <c r="R114" s="60" t="s">
        <v>322</v>
      </c>
      <c r="S114" s="61" t="s">
        <v>95</v>
      </c>
    </row>
    <row r="115" customFormat="false" ht="15" hidden="false" customHeight="false" outlineLevel="0" collapsed="false">
      <c r="A115" s="20" t="s">
        <v>58</v>
      </c>
      <c r="B115" s="19" t="s">
        <v>323</v>
      </c>
      <c r="C115" s="22" t="s">
        <v>91</v>
      </c>
      <c r="D115" s="21" t="n">
        <v>113.69</v>
      </c>
      <c r="E115" s="21" t="n">
        <v>296.48</v>
      </c>
      <c r="F115" s="21"/>
      <c r="G115" s="21" t="n">
        <v>99.03</v>
      </c>
      <c r="H115" s="21" t="n">
        <v>94.61</v>
      </c>
      <c r="I115" s="49" t="n">
        <v>49.03</v>
      </c>
      <c r="J115" s="21"/>
      <c r="K115" s="21"/>
      <c r="L115" s="50" t="s">
        <v>81</v>
      </c>
      <c r="M115" s="51" t="n">
        <v>49.03</v>
      </c>
      <c r="N115" s="52" t="n">
        <v>56.9</v>
      </c>
      <c r="O115" s="22" t="n">
        <v>5</v>
      </c>
      <c r="P115" s="53" t="s">
        <v>92</v>
      </c>
      <c r="Q115" s="54" t="s">
        <v>169</v>
      </c>
      <c r="R115" s="54" t="s">
        <v>324</v>
      </c>
      <c r="S115" s="55" t="s">
        <v>95</v>
      </c>
    </row>
    <row r="116" customFormat="false" ht="22.35" hidden="false" customHeight="false" outlineLevel="0" collapsed="false">
      <c r="A116" s="24" t="s">
        <v>58</v>
      </c>
      <c r="B116" s="23" t="s">
        <v>325</v>
      </c>
      <c r="C116" s="26" t="s">
        <v>91</v>
      </c>
      <c r="D116" s="25" t="n">
        <v>79.17</v>
      </c>
      <c r="E116" s="25" t="n">
        <v>145.19</v>
      </c>
      <c r="F116" s="25"/>
      <c r="G116" s="25"/>
      <c r="H116" s="25"/>
      <c r="I116" s="49" t="n">
        <v>55.8</v>
      </c>
      <c r="J116" s="25"/>
      <c r="K116" s="25"/>
      <c r="L116" s="56" t="s">
        <v>81</v>
      </c>
      <c r="M116" s="57" t="n">
        <v>55.8</v>
      </c>
      <c r="N116" s="58" t="n">
        <v>29.5</v>
      </c>
      <c r="O116" s="26" t="n">
        <v>3</v>
      </c>
      <c r="P116" s="62" t="s">
        <v>92</v>
      </c>
      <c r="Q116" s="60" t="s">
        <v>169</v>
      </c>
      <c r="R116" s="60" t="s">
        <v>326</v>
      </c>
      <c r="S116" s="61" t="s">
        <v>95</v>
      </c>
    </row>
    <row r="117" customFormat="false" ht="15" hidden="false" customHeight="false" outlineLevel="0" collapsed="false">
      <c r="A117" s="20" t="s">
        <v>58</v>
      </c>
      <c r="B117" s="19" t="s">
        <v>327</v>
      </c>
      <c r="C117" s="22" t="s">
        <v>91</v>
      </c>
      <c r="D117" s="49" t="n">
        <v>2.59</v>
      </c>
      <c r="E117" s="21"/>
      <c r="F117" s="21"/>
      <c r="G117" s="21" t="n">
        <v>12.13</v>
      </c>
      <c r="H117" s="21" t="n">
        <v>4.75</v>
      </c>
      <c r="I117" s="21" t="n">
        <v>6.57</v>
      </c>
      <c r="J117" s="21"/>
      <c r="K117" s="21"/>
      <c r="L117" s="50" t="s">
        <v>76</v>
      </c>
      <c r="M117" s="51" t="n">
        <v>2.59</v>
      </c>
      <c r="N117" s="52" t="n">
        <v>78.6</v>
      </c>
      <c r="O117" s="22" t="n">
        <v>4</v>
      </c>
      <c r="P117" s="59" t="s">
        <v>97</v>
      </c>
      <c r="Q117" s="54" t="s">
        <v>93</v>
      </c>
      <c r="R117" s="54" t="s">
        <v>328</v>
      </c>
      <c r="S117" s="55" t="s">
        <v>95</v>
      </c>
    </row>
    <row r="118" customFormat="false" ht="22.35" hidden="false" customHeight="false" outlineLevel="0" collapsed="false">
      <c r="A118" s="24" t="s">
        <v>58</v>
      </c>
      <c r="B118" s="23" t="s">
        <v>329</v>
      </c>
      <c r="C118" s="26" t="s">
        <v>137</v>
      </c>
      <c r="D118" s="25" t="n">
        <v>7.28</v>
      </c>
      <c r="E118" s="25"/>
      <c r="F118" s="25"/>
      <c r="G118" s="25"/>
      <c r="H118" s="25"/>
      <c r="I118" s="49" t="n">
        <v>3.01</v>
      </c>
      <c r="J118" s="25"/>
      <c r="K118" s="25"/>
      <c r="L118" s="56" t="s">
        <v>81</v>
      </c>
      <c r="M118" s="57" t="n">
        <v>3.01</v>
      </c>
      <c r="N118" s="58" t="n">
        <v>58.7</v>
      </c>
      <c r="O118" s="26" t="n">
        <v>2</v>
      </c>
      <c r="P118" s="59" t="s">
        <v>97</v>
      </c>
      <c r="Q118" s="60" t="s">
        <v>169</v>
      </c>
      <c r="R118" s="60" t="s">
        <v>330</v>
      </c>
      <c r="S118" s="61" t="s">
        <v>95</v>
      </c>
    </row>
    <row r="119" customFormat="false" ht="15" hidden="false" customHeight="false" outlineLevel="0" collapsed="false">
      <c r="A119" s="20" t="s">
        <v>58</v>
      </c>
      <c r="B119" s="19" t="s">
        <v>331</v>
      </c>
      <c r="C119" s="22" t="s">
        <v>137</v>
      </c>
      <c r="D119" s="21" t="n">
        <v>16.58</v>
      </c>
      <c r="E119" s="21"/>
      <c r="F119" s="21"/>
      <c r="G119" s="21" t="n">
        <v>11.03</v>
      </c>
      <c r="H119" s="21" t="n">
        <v>10.8</v>
      </c>
      <c r="I119" s="49" t="n">
        <v>5.87</v>
      </c>
      <c r="J119" s="21"/>
      <c r="K119" s="21"/>
      <c r="L119" s="50" t="s">
        <v>81</v>
      </c>
      <c r="M119" s="51" t="n">
        <v>5.87</v>
      </c>
      <c r="N119" s="52" t="n">
        <v>64.6</v>
      </c>
      <c r="O119" s="22" t="n">
        <v>4</v>
      </c>
      <c r="P119" s="59" t="s">
        <v>138</v>
      </c>
      <c r="Q119" s="54" t="s">
        <v>169</v>
      </c>
      <c r="R119" s="54" t="s">
        <v>332</v>
      </c>
      <c r="S119" s="55" t="s">
        <v>95</v>
      </c>
    </row>
    <row r="120" customFormat="false" ht="15" hidden="false" customHeight="false" outlineLevel="0" collapsed="false">
      <c r="A120" s="24" t="s">
        <v>58</v>
      </c>
      <c r="B120" s="23" t="s">
        <v>333</v>
      </c>
      <c r="C120" s="26" t="s">
        <v>91</v>
      </c>
      <c r="D120" s="25" t="n">
        <v>21.53</v>
      </c>
      <c r="E120" s="25" t="n">
        <v>7.22</v>
      </c>
      <c r="F120" s="25"/>
      <c r="G120" s="25"/>
      <c r="H120" s="25" t="n">
        <v>5.51</v>
      </c>
      <c r="I120" s="49" t="n">
        <v>4.14</v>
      </c>
      <c r="J120" s="25"/>
      <c r="K120" s="25"/>
      <c r="L120" s="56" t="s">
        <v>81</v>
      </c>
      <c r="M120" s="57" t="n">
        <v>4.14</v>
      </c>
      <c r="N120" s="58" t="n">
        <v>80.8</v>
      </c>
      <c r="O120" s="26" t="n">
        <v>4</v>
      </c>
      <c r="P120" s="62" t="s">
        <v>92</v>
      </c>
      <c r="Q120" s="60" t="s">
        <v>169</v>
      </c>
      <c r="R120" s="60" t="s">
        <v>334</v>
      </c>
      <c r="S120" s="61" t="s">
        <v>95</v>
      </c>
    </row>
    <row r="121" customFormat="false" ht="15" hidden="false" customHeight="false" outlineLevel="0" collapsed="false">
      <c r="A121" s="20" t="s">
        <v>58</v>
      </c>
      <c r="B121" s="19" t="s">
        <v>335</v>
      </c>
      <c r="C121" s="22" t="s">
        <v>91</v>
      </c>
      <c r="D121" s="49" t="n">
        <v>19.45</v>
      </c>
      <c r="E121" s="21"/>
      <c r="F121" s="21"/>
      <c r="G121" s="21"/>
      <c r="H121" s="21"/>
      <c r="I121" s="21" t="n">
        <v>23.93</v>
      </c>
      <c r="J121" s="21"/>
      <c r="K121" s="21"/>
      <c r="L121" s="50" t="s">
        <v>76</v>
      </c>
      <c r="M121" s="51" t="n">
        <v>19.45</v>
      </c>
      <c r="N121" s="52" t="n">
        <v>18.7</v>
      </c>
      <c r="O121" s="22" t="n">
        <v>2</v>
      </c>
      <c r="P121" s="53" t="s">
        <v>92</v>
      </c>
      <c r="Q121" s="54" t="s">
        <v>93</v>
      </c>
      <c r="R121" s="54" t="s">
        <v>336</v>
      </c>
      <c r="S121" s="55" t="s">
        <v>95</v>
      </c>
    </row>
    <row r="122" customFormat="false" ht="15" hidden="false" customHeight="false" outlineLevel="0" collapsed="false">
      <c r="A122" s="24" t="s">
        <v>58</v>
      </c>
      <c r="B122" s="23" t="s">
        <v>337</v>
      </c>
      <c r="C122" s="26" t="s">
        <v>91</v>
      </c>
      <c r="D122" s="49" t="n">
        <v>25.32</v>
      </c>
      <c r="E122" s="25"/>
      <c r="F122" s="25"/>
      <c r="G122" s="25"/>
      <c r="H122" s="25"/>
      <c r="I122" s="25" t="n">
        <v>129.19</v>
      </c>
      <c r="J122" s="25"/>
      <c r="K122" s="25"/>
      <c r="L122" s="56" t="s">
        <v>76</v>
      </c>
      <c r="M122" s="57" t="n">
        <v>25.32</v>
      </c>
      <c r="N122" s="58" t="n">
        <v>80.4</v>
      </c>
      <c r="O122" s="26" t="n">
        <v>2</v>
      </c>
      <c r="P122" s="59" t="s">
        <v>97</v>
      </c>
      <c r="Q122" s="60" t="s">
        <v>93</v>
      </c>
      <c r="R122" s="60" t="s">
        <v>338</v>
      </c>
      <c r="S122" s="61" t="s">
        <v>95</v>
      </c>
    </row>
    <row r="123" customFormat="false" ht="22.35" hidden="false" customHeight="false" outlineLevel="0" collapsed="false">
      <c r="A123" s="20" t="s">
        <v>58</v>
      </c>
      <c r="B123" s="19" t="s">
        <v>339</v>
      </c>
      <c r="C123" s="22" t="s">
        <v>91</v>
      </c>
      <c r="D123" s="49" t="n">
        <v>2.59</v>
      </c>
      <c r="E123" s="21" t="n">
        <v>99.84</v>
      </c>
      <c r="F123" s="21"/>
      <c r="G123" s="21" t="n">
        <v>2.74</v>
      </c>
      <c r="H123" s="21" t="n">
        <v>16.66</v>
      </c>
      <c r="I123" s="21" t="n">
        <v>2.81</v>
      </c>
      <c r="J123" s="21"/>
      <c r="K123" s="21"/>
      <c r="L123" s="50" t="s">
        <v>76</v>
      </c>
      <c r="M123" s="51" t="n">
        <v>2.59</v>
      </c>
      <c r="N123" s="52" t="n">
        <v>84.5</v>
      </c>
      <c r="O123" s="22" t="n">
        <v>5</v>
      </c>
      <c r="P123" s="59" t="s">
        <v>97</v>
      </c>
      <c r="Q123" s="54" t="s">
        <v>93</v>
      </c>
      <c r="R123" s="54" t="s">
        <v>340</v>
      </c>
      <c r="S123" s="55" t="s">
        <v>95</v>
      </c>
    </row>
    <row r="124" customFormat="false" ht="22.35" hidden="false" customHeight="false" outlineLevel="0" collapsed="false">
      <c r="A124" s="24" t="s">
        <v>58</v>
      </c>
      <c r="B124" s="23" t="s">
        <v>341</v>
      </c>
      <c r="C124" s="26" t="s">
        <v>91</v>
      </c>
      <c r="D124" s="25" t="n">
        <v>99.26</v>
      </c>
      <c r="E124" s="25" t="n">
        <v>80.65</v>
      </c>
      <c r="F124" s="25"/>
      <c r="G124" s="49" t="n">
        <v>12.23</v>
      </c>
      <c r="H124" s="25"/>
      <c r="I124" s="25" t="n">
        <v>22.2</v>
      </c>
      <c r="J124" s="25"/>
      <c r="K124" s="25"/>
      <c r="L124" s="56" t="s">
        <v>79</v>
      </c>
      <c r="M124" s="57" t="n">
        <v>12.23</v>
      </c>
      <c r="N124" s="58" t="n">
        <v>87.7</v>
      </c>
      <c r="O124" s="26" t="n">
        <v>4</v>
      </c>
      <c r="P124" s="62" t="s">
        <v>92</v>
      </c>
      <c r="Q124" s="60" t="s">
        <v>313</v>
      </c>
      <c r="R124" s="60" t="s">
        <v>342</v>
      </c>
      <c r="S124" s="61" t="s">
        <v>95</v>
      </c>
    </row>
    <row r="125" customFormat="false" ht="22.35" hidden="false" customHeight="false" outlineLevel="0" collapsed="false">
      <c r="A125" s="20" t="s">
        <v>58</v>
      </c>
      <c r="B125" s="19" t="s">
        <v>343</v>
      </c>
      <c r="C125" s="22" t="s">
        <v>344</v>
      </c>
      <c r="D125" s="49" t="n">
        <v>9.6</v>
      </c>
      <c r="E125" s="21" t="n">
        <v>26.75</v>
      </c>
      <c r="F125" s="21"/>
      <c r="G125" s="21"/>
      <c r="H125" s="21" t="n">
        <v>10.18</v>
      </c>
      <c r="I125" s="21" t="n">
        <v>10.48</v>
      </c>
      <c r="J125" s="21"/>
      <c r="K125" s="21"/>
      <c r="L125" s="50" t="s">
        <v>76</v>
      </c>
      <c r="M125" s="51" t="n">
        <v>9.6</v>
      </c>
      <c r="N125" s="52"/>
      <c r="O125" s="22" t="n">
        <v>4</v>
      </c>
      <c r="P125" s="59" t="s">
        <v>138</v>
      </c>
      <c r="Q125" s="54" t="s">
        <v>93</v>
      </c>
      <c r="R125" s="54" t="s">
        <v>345</v>
      </c>
      <c r="S125" s="55" t="s">
        <v>95</v>
      </c>
    </row>
    <row r="126" customFormat="false" ht="22.35" hidden="false" customHeight="false" outlineLevel="0" collapsed="false">
      <c r="A126" s="24" t="s">
        <v>58</v>
      </c>
      <c r="B126" s="23" t="s">
        <v>346</v>
      </c>
      <c r="C126" s="26" t="s">
        <v>91</v>
      </c>
      <c r="D126" s="25" t="n">
        <v>310.97</v>
      </c>
      <c r="E126" s="25" t="n">
        <v>119.89</v>
      </c>
      <c r="F126" s="25"/>
      <c r="G126" s="25"/>
      <c r="H126" s="25"/>
      <c r="I126" s="49" t="n">
        <v>70.88</v>
      </c>
      <c r="J126" s="25"/>
      <c r="K126" s="25"/>
      <c r="L126" s="56" t="s">
        <v>81</v>
      </c>
      <c r="M126" s="57" t="n">
        <v>70.88</v>
      </c>
      <c r="N126" s="58" t="n">
        <v>77.2</v>
      </c>
      <c r="O126" s="26" t="n">
        <v>3</v>
      </c>
      <c r="P126" s="59" t="s">
        <v>97</v>
      </c>
      <c r="Q126" s="60" t="s">
        <v>169</v>
      </c>
      <c r="R126" s="60" t="s">
        <v>347</v>
      </c>
      <c r="S126" s="61" t="s">
        <v>95</v>
      </c>
    </row>
    <row r="127" customFormat="false" ht="22.35" hidden="false" customHeight="false" outlineLevel="0" collapsed="false">
      <c r="A127" s="20" t="s">
        <v>58</v>
      </c>
      <c r="B127" s="19" t="s">
        <v>348</v>
      </c>
      <c r="C127" s="22" t="s">
        <v>91</v>
      </c>
      <c r="D127" s="21" t="n">
        <v>235.9</v>
      </c>
      <c r="E127" s="21" t="n">
        <v>106.25</v>
      </c>
      <c r="F127" s="21"/>
      <c r="G127" s="21" t="n">
        <v>75</v>
      </c>
      <c r="H127" s="21"/>
      <c r="I127" s="49" t="n">
        <v>43.11</v>
      </c>
      <c r="J127" s="21"/>
      <c r="K127" s="21"/>
      <c r="L127" s="50" t="s">
        <v>81</v>
      </c>
      <c r="M127" s="51" t="n">
        <v>43.11</v>
      </c>
      <c r="N127" s="52" t="n">
        <v>81.7</v>
      </c>
      <c r="O127" s="22" t="n">
        <v>4</v>
      </c>
      <c r="P127" s="59" t="s">
        <v>97</v>
      </c>
      <c r="Q127" s="54" t="s">
        <v>169</v>
      </c>
      <c r="R127" s="54" t="s">
        <v>349</v>
      </c>
      <c r="S127" s="55" t="s">
        <v>95</v>
      </c>
    </row>
    <row r="128" customFormat="false" ht="15" hidden="false" customHeight="false" outlineLevel="0" collapsed="false">
      <c r="A128" s="24" t="s">
        <v>58</v>
      </c>
      <c r="B128" s="23" t="s">
        <v>350</v>
      </c>
      <c r="C128" s="26" t="s">
        <v>351</v>
      </c>
      <c r="D128" s="49" t="n">
        <v>841.49</v>
      </c>
      <c r="E128" s="25"/>
      <c r="F128" s="25"/>
      <c r="G128" s="25" t="n">
        <v>276</v>
      </c>
      <c r="H128" s="25"/>
      <c r="I128" s="25" t="n">
        <v>601.1</v>
      </c>
      <c r="J128" s="25"/>
      <c r="K128" s="25"/>
      <c r="L128" s="56" t="s">
        <v>76</v>
      </c>
      <c r="M128" s="57" t="n">
        <v>841.49</v>
      </c>
      <c r="N128" s="58"/>
      <c r="O128" s="26" t="n">
        <v>3</v>
      </c>
      <c r="P128" s="59" t="s">
        <v>138</v>
      </c>
      <c r="Q128" s="60" t="s">
        <v>93</v>
      </c>
      <c r="R128" s="60" t="s">
        <v>352</v>
      </c>
      <c r="S128" s="61" t="s">
        <v>95</v>
      </c>
    </row>
    <row r="129" customFormat="false" ht="22.35" hidden="false" customHeight="false" outlineLevel="0" collapsed="false">
      <c r="A129" s="20" t="s">
        <v>58</v>
      </c>
      <c r="B129" s="19" t="s">
        <v>353</v>
      </c>
      <c r="C129" s="22" t="s">
        <v>91</v>
      </c>
      <c r="D129" s="49" t="n">
        <v>61.07</v>
      </c>
      <c r="E129" s="21"/>
      <c r="F129" s="21"/>
      <c r="G129" s="21"/>
      <c r="H129" s="21"/>
      <c r="I129" s="21" t="n">
        <v>61.1</v>
      </c>
      <c r="J129" s="21"/>
      <c r="K129" s="21"/>
      <c r="L129" s="50" t="s">
        <v>76</v>
      </c>
      <c r="M129" s="51" t="n">
        <v>61.07</v>
      </c>
      <c r="N129" s="52" t="n">
        <v>0</v>
      </c>
      <c r="O129" s="22" t="n">
        <v>2</v>
      </c>
      <c r="P129" s="59" t="s">
        <v>97</v>
      </c>
      <c r="Q129" s="54" t="s">
        <v>93</v>
      </c>
      <c r="R129" s="54" t="s">
        <v>354</v>
      </c>
      <c r="S129" s="55" t="s">
        <v>95</v>
      </c>
    </row>
    <row r="130" customFormat="false" ht="15" hidden="false" customHeight="false" outlineLevel="0" collapsed="false">
      <c r="A130" s="24" t="s">
        <v>58</v>
      </c>
      <c r="B130" s="23" t="s">
        <v>355</v>
      </c>
      <c r="C130" s="26" t="s">
        <v>91</v>
      </c>
      <c r="D130" s="49" t="n">
        <v>34.05</v>
      </c>
      <c r="E130" s="25" t="n">
        <v>332.3</v>
      </c>
      <c r="F130" s="25"/>
      <c r="G130" s="25"/>
      <c r="H130" s="25" t="n">
        <v>153.33</v>
      </c>
      <c r="I130" s="25"/>
      <c r="J130" s="25"/>
      <c r="K130" s="25"/>
      <c r="L130" s="56" t="s">
        <v>76</v>
      </c>
      <c r="M130" s="57" t="n">
        <v>34.05</v>
      </c>
      <c r="N130" s="58" t="n">
        <v>77.8</v>
      </c>
      <c r="O130" s="26" t="n">
        <v>3</v>
      </c>
      <c r="P130" s="59" t="s">
        <v>97</v>
      </c>
      <c r="Q130" s="60" t="s">
        <v>93</v>
      </c>
      <c r="R130" s="60" t="s">
        <v>356</v>
      </c>
      <c r="S130" s="61" t="s">
        <v>95</v>
      </c>
    </row>
    <row r="131" customFormat="false" ht="22.35" hidden="false" customHeight="false" outlineLevel="0" collapsed="false">
      <c r="A131" s="20" t="s">
        <v>58</v>
      </c>
      <c r="B131" s="19" t="s">
        <v>357</v>
      </c>
      <c r="C131" s="22" t="s">
        <v>91</v>
      </c>
      <c r="D131" s="21" t="n">
        <v>789.58</v>
      </c>
      <c r="E131" s="21"/>
      <c r="F131" s="21"/>
      <c r="G131" s="21"/>
      <c r="H131" s="21"/>
      <c r="I131" s="49" t="n">
        <v>136.29</v>
      </c>
      <c r="J131" s="21"/>
      <c r="K131" s="21"/>
      <c r="L131" s="50" t="s">
        <v>81</v>
      </c>
      <c r="M131" s="51" t="n">
        <v>136.29</v>
      </c>
      <c r="N131" s="52" t="n">
        <v>82.7</v>
      </c>
      <c r="O131" s="22" t="n">
        <v>2</v>
      </c>
      <c r="P131" s="59" t="s">
        <v>97</v>
      </c>
      <c r="Q131" s="54" t="s">
        <v>169</v>
      </c>
      <c r="R131" s="54" t="s">
        <v>358</v>
      </c>
      <c r="S131" s="55" t="s">
        <v>95</v>
      </c>
    </row>
    <row r="132" customFormat="false" ht="22.35" hidden="false" customHeight="false" outlineLevel="0" collapsed="false">
      <c r="A132" s="24" t="s">
        <v>58</v>
      </c>
      <c r="B132" s="23" t="s">
        <v>359</v>
      </c>
      <c r="C132" s="26" t="s">
        <v>91</v>
      </c>
      <c r="D132" s="25" t="n">
        <v>252.94</v>
      </c>
      <c r="E132" s="25"/>
      <c r="F132" s="25"/>
      <c r="G132" s="25" t="n">
        <v>296.14</v>
      </c>
      <c r="H132" s="49" t="n">
        <v>21.62</v>
      </c>
      <c r="I132" s="25" t="n">
        <v>115.66</v>
      </c>
      <c r="J132" s="25"/>
      <c r="K132" s="25"/>
      <c r="L132" s="56" t="s">
        <v>80</v>
      </c>
      <c r="M132" s="57" t="n">
        <v>21.62</v>
      </c>
      <c r="N132" s="58" t="n">
        <v>92.7</v>
      </c>
      <c r="O132" s="26" t="n">
        <v>4</v>
      </c>
      <c r="P132" s="59" t="s">
        <v>97</v>
      </c>
      <c r="Q132" s="60" t="s">
        <v>303</v>
      </c>
      <c r="R132" s="60" t="s">
        <v>360</v>
      </c>
      <c r="S132" s="61" t="s">
        <v>95</v>
      </c>
    </row>
    <row r="133" customFormat="false" ht="22.35" hidden="false" customHeight="false" outlineLevel="0" collapsed="false">
      <c r="A133" s="20" t="s">
        <v>58</v>
      </c>
      <c r="B133" s="19" t="s">
        <v>361</v>
      </c>
      <c r="C133" s="22" t="s">
        <v>91</v>
      </c>
      <c r="D133" s="49" t="n">
        <v>71.42</v>
      </c>
      <c r="E133" s="21"/>
      <c r="F133" s="21"/>
      <c r="G133" s="21" t="n">
        <v>78.5</v>
      </c>
      <c r="H133" s="21"/>
      <c r="I133" s="21" t="n">
        <v>130.23</v>
      </c>
      <c r="J133" s="21"/>
      <c r="K133" s="21"/>
      <c r="L133" s="50" t="s">
        <v>76</v>
      </c>
      <c r="M133" s="51" t="n">
        <v>71.42</v>
      </c>
      <c r="N133" s="52" t="n">
        <v>45.2</v>
      </c>
      <c r="O133" s="22" t="n">
        <v>3</v>
      </c>
      <c r="P133" s="59" t="s">
        <v>97</v>
      </c>
      <c r="Q133" s="54" t="s">
        <v>93</v>
      </c>
      <c r="R133" s="54" t="s">
        <v>362</v>
      </c>
      <c r="S133" s="55" t="s">
        <v>95</v>
      </c>
    </row>
    <row r="134" customFormat="false" ht="22.35" hidden="false" customHeight="false" outlineLevel="0" collapsed="false">
      <c r="A134" s="24" t="s">
        <v>58</v>
      </c>
      <c r="B134" s="23" t="s">
        <v>363</v>
      </c>
      <c r="C134" s="26" t="s">
        <v>91</v>
      </c>
      <c r="D134" s="49" t="n">
        <v>442.9</v>
      </c>
      <c r="E134" s="25"/>
      <c r="F134" s="25"/>
      <c r="G134" s="25"/>
      <c r="H134" s="25" t="n">
        <v>714.41</v>
      </c>
      <c r="I134" s="25"/>
      <c r="J134" s="25"/>
      <c r="K134" s="25"/>
      <c r="L134" s="56" t="s">
        <v>76</v>
      </c>
      <c r="M134" s="57" t="n">
        <v>442.9</v>
      </c>
      <c r="N134" s="58" t="n">
        <v>38</v>
      </c>
      <c r="O134" s="26" t="n">
        <v>2</v>
      </c>
      <c r="P134" s="62" t="s">
        <v>92</v>
      </c>
      <c r="Q134" s="60" t="s">
        <v>93</v>
      </c>
      <c r="R134" s="60" t="s">
        <v>364</v>
      </c>
      <c r="S134" s="61" t="s">
        <v>95</v>
      </c>
    </row>
    <row r="135" customFormat="false" ht="22.35" hidden="false" customHeight="false" outlineLevel="0" collapsed="false">
      <c r="A135" s="20" t="s">
        <v>58</v>
      </c>
      <c r="B135" s="19" t="s">
        <v>365</v>
      </c>
      <c r="C135" s="22" t="s">
        <v>91</v>
      </c>
      <c r="D135" s="49" t="n">
        <v>369.77</v>
      </c>
      <c r="E135" s="21" t="n">
        <v>1831.2</v>
      </c>
      <c r="F135" s="21"/>
      <c r="G135" s="21" t="n">
        <v>1188.04</v>
      </c>
      <c r="H135" s="21" t="n">
        <v>373.05</v>
      </c>
      <c r="I135" s="21"/>
      <c r="J135" s="21"/>
      <c r="K135" s="21"/>
      <c r="L135" s="50" t="s">
        <v>76</v>
      </c>
      <c r="M135" s="51" t="n">
        <v>369.77</v>
      </c>
      <c r="N135" s="52" t="n">
        <v>68.9</v>
      </c>
      <c r="O135" s="22" t="n">
        <v>4</v>
      </c>
      <c r="P135" s="53" t="s">
        <v>92</v>
      </c>
      <c r="Q135" s="54" t="s">
        <v>93</v>
      </c>
      <c r="R135" s="54" t="s">
        <v>366</v>
      </c>
      <c r="S135" s="55" t="s">
        <v>95</v>
      </c>
    </row>
    <row r="136" customFormat="false" ht="22.35" hidden="false" customHeight="false" outlineLevel="0" collapsed="false">
      <c r="A136" s="24" t="s">
        <v>58</v>
      </c>
      <c r="B136" s="23" t="s">
        <v>367</v>
      </c>
      <c r="C136" s="26" t="s">
        <v>91</v>
      </c>
      <c r="D136" s="25" t="n">
        <v>18.97</v>
      </c>
      <c r="E136" s="25" t="n">
        <v>136.47</v>
      </c>
      <c r="F136" s="25"/>
      <c r="G136" s="49" t="n">
        <v>13.35</v>
      </c>
      <c r="H136" s="25" t="n">
        <v>202.91</v>
      </c>
      <c r="I136" s="25"/>
      <c r="J136" s="25"/>
      <c r="K136" s="25"/>
      <c r="L136" s="56" t="s">
        <v>79</v>
      </c>
      <c r="M136" s="57" t="n">
        <v>13.35</v>
      </c>
      <c r="N136" s="58" t="n">
        <v>93.4</v>
      </c>
      <c r="O136" s="26" t="n">
        <v>4</v>
      </c>
      <c r="P136" s="62" t="s">
        <v>92</v>
      </c>
      <c r="Q136" s="60" t="s">
        <v>313</v>
      </c>
      <c r="R136" s="60" t="s">
        <v>368</v>
      </c>
      <c r="S136" s="61" t="s">
        <v>95</v>
      </c>
    </row>
    <row r="137" customFormat="false" ht="22.35" hidden="false" customHeight="false" outlineLevel="0" collapsed="false">
      <c r="A137" s="20" t="s">
        <v>58</v>
      </c>
      <c r="B137" s="19" t="s">
        <v>369</v>
      </c>
      <c r="C137" s="22" t="s">
        <v>91</v>
      </c>
      <c r="D137" s="49" t="n">
        <v>194.63</v>
      </c>
      <c r="E137" s="21"/>
      <c r="F137" s="21"/>
      <c r="G137" s="21"/>
      <c r="H137" s="21" t="n">
        <v>2555.09</v>
      </c>
      <c r="I137" s="21" t="n">
        <v>284</v>
      </c>
      <c r="J137" s="21"/>
      <c r="K137" s="21"/>
      <c r="L137" s="50" t="s">
        <v>76</v>
      </c>
      <c r="M137" s="51" t="n">
        <v>194.63</v>
      </c>
      <c r="N137" s="52" t="n">
        <v>92.4</v>
      </c>
      <c r="O137" s="22" t="n">
        <v>3</v>
      </c>
      <c r="P137" s="59" t="s">
        <v>97</v>
      </c>
      <c r="Q137" s="54" t="s">
        <v>93</v>
      </c>
      <c r="R137" s="54" t="s">
        <v>370</v>
      </c>
      <c r="S137" s="55" t="s">
        <v>95</v>
      </c>
    </row>
    <row r="138" customFormat="false" ht="22.35" hidden="false" customHeight="false" outlineLevel="0" collapsed="false">
      <c r="A138" s="24" t="s">
        <v>58</v>
      </c>
      <c r="B138" s="23" t="s">
        <v>371</v>
      </c>
      <c r="C138" s="26" t="s">
        <v>91</v>
      </c>
      <c r="D138" s="25" t="n">
        <v>408.83</v>
      </c>
      <c r="E138" s="25"/>
      <c r="F138" s="25"/>
      <c r="G138" s="25"/>
      <c r="H138" s="25"/>
      <c r="I138" s="25"/>
      <c r="J138" s="25"/>
      <c r="K138" s="25"/>
      <c r="L138" s="56" t="s">
        <v>76</v>
      </c>
      <c r="M138" s="57" t="n">
        <v>408.83</v>
      </c>
      <c r="N138" s="58"/>
      <c r="O138" s="26" t="n">
        <v>1</v>
      </c>
      <c r="P138" s="64"/>
      <c r="Q138" s="60" t="s">
        <v>93</v>
      </c>
      <c r="R138" s="60" t="s">
        <v>372</v>
      </c>
      <c r="S138" s="61" t="s">
        <v>95</v>
      </c>
    </row>
    <row r="139" customFormat="false" ht="22.35" hidden="false" customHeight="false" outlineLevel="0" collapsed="false">
      <c r="A139" s="20" t="s">
        <v>58</v>
      </c>
      <c r="B139" s="19" t="s">
        <v>373</v>
      </c>
      <c r="C139" s="22" t="s">
        <v>374</v>
      </c>
      <c r="D139" s="49" t="n">
        <v>50.89</v>
      </c>
      <c r="E139" s="21"/>
      <c r="F139" s="21"/>
      <c r="G139" s="21"/>
      <c r="H139" s="21" t="n">
        <v>1.18</v>
      </c>
      <c r="I139" s="21"/>
      <c r="J139" s="21"/>
      <c r="K139" s="21"/>
      <c r="L139" s="50" t="s">
        <v>76</v>
      </c>
      <c r="M139" s="51" t="n">
        <v>50.89</v>
      </c>
      <c r="N139" s="52"/>
      <c r="O139" s="22" t="n">
        <v>2</v>
      </c>
      <c r="P139" s="59" t="s">
        <v>138</v>
      </c>
      <c r="Q139" s="54" t="s">
        <v>93</v>
      </c>
      <c r="R139" s="54" t="s">
        <v>375</v>
      </c>
      <c r="S139" s="55" t="s">
        <v>95</v>
      </c>
    </row>
    <row r="140" customFormat="false" ht="22.35" hidden="false" customHeight="false" outlineLevel="0" collapsed="false">
      <c r="A140" s="24" t="s">
        <v>58</v>
      </c>
      <c r="B140" s="23" t="s">
        <v>376</v>
      </c>
      <c r="C140" s="26" t="s">
        <v>91</v>
      </c>
      <c r="D140" s="25"/>
      <c r="E140" s="25"/>
      <c r="F140" s="25"/>
      <c r="G140" s="25" t="n">
        <v>11.09</v>
      </c>
      <c r="H140" s="25"/>
      <c r="I140" s="25"/>
      <c r="J140" s="25"/>
      <c r="K140" s="25"/>
      <c r="L140" s="56" t="s">
        <v>79</v>
      </c>
      <c r="M140" s="57" t="n">
        <v>11.09</v>
      </c>
      <c r="N140" s="58"/>
      <c r="O140" s="26" t="n">
        <v>1</v>
      </c>
      <c r="P140" s="64"/>
      <c r="Q140" s="60" t="s">
        <v>313</v>
      </c>
      <c r="R140" s="60" t="s">
        <v>377</v>
      </c>
      <c r="S140" s="26"/>
    </row>
    <row r="141" customFormat="false" ht="15" hidden="false" customHeight="false" outlineLevel="0" collapsed="false">
      <c r="A141" s="20" t="s">
        <v>58</v>
      </c>
      <c r="B141" s="19" t="s">
        <v>378</v>
      </c>
      <c r="C141" s="22" t="s">
        <v>344</v>
      </c>
      <c r="D141" s="49" t="n">
        <v>25.02</v>
      </c>
      <c r="E141" s="21"/>
      <c r="F141" s="21"/>
      <c r="G141" s="21" t="n">
        <v>5.9</v>
      </c>
      <c r="H141" s="21" t="n">
        <v>8.29</v>
      </c>
      <c r="I141" s="21" t="n">
        <v>6.9</v>
      </c>
      <c r="J141" s="21"/>
      <c r="K141" s="21"/>
      <c r="L141" s="50" t="s">
        <v>76</v>
      </c>
      <c r="M141" s="51" t="n">
        <v>25.02</v>
      </c>
      <c r="N141" s="52"/>
      <c r="O141" s="22" t="n">
        <v>4</v>
      </c>
      <c r="P141" s="59" t="s">
        <v>138</v>
      </c>
      <c r="Q141" s="54" t="s">
        <v>93</v>
      </c>
      <c r="R141" s="54" t="s">
        <v>379</v>
      </c>
      <c r="S141" s="55" t="s">
        <v>95</v>
      </c>
    </row>
    <row r="142" customFormat="false" ht="22.35" hidden="false" customHeight="false" outlineLevel="0" collapsed="false">
      <c r="A142" s="24" t="s">
        <v>58</v>
      </c>
      <c r="B142" s="23" t="s">
        <v>380</v>
      </c>
      <c r="C142" s="26" t="s">
        <v>91</v>
      </c>
      <c r="D142" s="25" t="n">
        <v>24.6</v>
      </c>
      <c r="E142" s="25" t="n">
        <v>65.31</v>
      </c>
      <c r="F142" s="25"/>
      <c r="G142" s="25"/>
      <c r="H142" s="49" t="n">
        <v>5.76</v>
      </c>
      <c r="I142" s="25" t="n">
        <v>5.84</v>
      </c>
      <c r="J142" s="25"/>
      <c r="K142" s="25"/>
      <c r="L142" s="56" t="s">
        <v>80</v>
      </c>
      <c r="M142" s="57" t="n">
        <v>5.76</v>
      </c>
      <c r="N142" s="58" t="n">
        <v>76.6</v>
      </c>
      <c r="O142" s="26" t="n">
        <v>4</v>
      </c>
      <c r="P142" s="59" t="s">
        <v>138</v>
      </c>
      <c r="Q142" s="60" t="s">
        <v>303</v>
      </c>
      <c r="R142" s="60" t="s">
        <v>381</v>
      </c>
      <c r="S142" s="61" t="s">
        <v>95</v>
      </c>
    </row>
    <row r="143" customFormat="false" ht="22.35" hidden="false" customHeight="false" outlineLevel="0" collapsed="false">
      <c r="A143" s="20" t="s">
        <v>58</v>
      </c>
      <c r="B143" s="19" t="s">
        <v>382</v>
      </c>
      <c r="C143" s="22" t="s">
        <v>137</v>
      </c>
      <c r="D143" s="21"/>
      <c r="E143" s="21"/>
      <c r="F143" s="21"/>
      <c r="G143" s="21"/>
      <c r="H143" s="49" t="n">
        <v>11.09</v>
      </c>
      <c r="I143" s="21" t="n">
        <v>104.17</v>
      </c>
      <c r="J143" s="21"/>
      <c r="K143" s="21"/>
      <c r="L143" s="50" t="s">
        <v>80</v>
      </c>
      <c r="M143" s="51" t="n">
        <v>11.09</v>
      </c>
      <c r="N143" s="52"/>
      <c r="O143" s="22" t="n">
        <v>2</v>
      </c>
      <c r="P143" s="59" t="s">
        <v>138</v>
      </c>
      <c r="Q143" s="54" t="s">
        <v>303</v>
      </c>
      <c r="R143" s="54" t="s">
        <v>383</v>
      </c>
      <c r="S143" s="55" t="s">
        <v>95</v>
      </c>
    </row>
    <row r="144" customFormat="false" ht="15" hidden="false" customHeight="false" outlineLevel="0" collapsed="false">
      <c r="A144" s="24" t="s">
        <v>59</v>
      </c>
      <c r="B144" s="23" t="s">
        <v>384</v>
      </c>
      <c r="C144" s="26" t="s">
        <v>91</v>
      </c>
      <c r="D144" s="25" t="n">
        <v>601.17</v>
      </c>
      <c r="E144" s="25"/>
      <c r="F144" s="25"/>
      <c r="G144" s="25"/>
      <c r="H144" s="25"/>
      <c r="I144" s="49" t="n">
        <v>264.44</v>
      </c>
      <c r="J144" s="25"/>
      <c r="K144" s="25"/>
      <c r="L144" s="56" t="s">
        <v>81</v>
      </c>
      <c r="M144" s="57" t="n">
        <v>264.44</v>
      </c>
      <c r="N144" s="58" t="n">
        <v>56</v>
      </c>
      <c r="O144" s="26" t="n">
        <v>2</v>
      </c>
      <c r="P144" s="59" t="s">
        <v>97</v>
      </c>
      <c r="Q144" s="60" t="s">
        <v>169</v>
      </c>
      <c r="R144" s="60" t="s">
        <v>385</v>
      </c>
      <c r="S144" s="61" t="s">
        <v>95</v>
      </c>
    </row>
    <row r="145" customFormat="false" ht="22.35" hidden="false" customHeight="false" outlineLevel="0" collapsed="false">
      <c r="A145" s="20" t="s">
        <v>59</v>
      </c>
      <c r="B145" s="19" t="s">
        <v>386</v>
      </c>
      <c r="C145" s="22" t="s">
        <v>91</v>
      </c>
      <c r="D145" s="21" t="n">
        <v>365.33</v>
      </c>
      <c r="E145" s="21"/>
      <c r="F145" s="49" t="n">
        <v>150.5</v>
      </c>
      <c r="G145" s="21"/>
      <c r="H145" s="21"/>
      <c r="I145" s="21" t="n">
        <v>184.7</v>
      </c>
      <c r="J145" s="21"/>
      <c r="K145" s="21"/>
      <c r="L145" s="50" t="s">
        <v>78</v>
      </c>
      <c r="M145" s="51" t="n">
        <v>150.5</v>
      </c>
      <c r="N145" s="52" t="n">
        <v>58.8</v>
      </c>
      <c r="O145" s="22" t="n">
        <v>3</v>
      </c>
      <c r="P145" s="59" t="s">
        <v>97</v>
      </c>
      <c r="Q145" s="54" t="s">
        <v>93</v>
      </c>
      <c r="R145" s="54" t="s">
        <v>387</v>
      </c>
      <c r="S145" s="55" t="s">
        <v>95</v>
      </c>
    </row>
    <row r="146" customFormat="false" ht="22.35" hidden="false" customHeight="false" outlineLevel="0" collapsed="false">
      <c r="A146" s="24" t="s">
        <v>59</v>
      </c>
      <c r="B146" s="23" t="s">
        <v>388</v>
      </c>
      <c r="C146" s="26" t="s">
        <v>91</v>
      </c>
      <c r="D146" s="25" t="n">
        <v>456.58</v>
      </c>
      <c r="E146" s="25"/>
      <c r="F146" s="25"/>
      <c r="G146" s="25"/>
      <c r="H146" s="25"/>
      <c r="I146" s="49" t="n">
        <v>216.34</v>
      </c>
      <c r="J146" s="25"/>
      <c r="K146" s="25"/>
      <c r="L146" s="56" t="s">
        <v>81</v>
      </c>
      <c r="M146" s="57" t="n">
        <v>216.34</v>
      </c>
      <c r="N146" s="58" t="n">
        <v>52.6</v>
      </c>
      <c r="O146" s="26" t="n">
        <v>2</v>
      </c>
      <c r="P146" s="62" t="s">
        <v>92</v>
      </c>
      <c r="Q146" s="60" t="s">
        <v>169</v>
      </c>
      <c r="R146" s="60" t="s">
        <v>389</v>
      </c>
      <c r="S146" s="61" t="s">
        <v>95</v>
      </c>
    </row>
    <row r="147" customFormat="false" ht="22.35" hidden="false" customHeight="false" outlineLevel="0" collapsed="false">
      <c r="A147" s="20" t="s">
        <v>59</v>
      </c>
      <c r="B147" s="19" t="s">
        <v>390</v>
      </c>
      <c r="C147" s="22" t="s">
        <v>91</v>
      </c>
      <c r="D147" s="21" t="n">
        <v>365.33</v>
      </c>
      <c r="E147" s="21"/>
      <c r="F147" s="21"/>
      <c r="G147" s="21"/>
      <c r="H147" s="21"/>
      <c r="I147" s="21"/>
      <c r="J147" s="21"/>
      <c r="K147" s="21"/>
      <c r="L147" s="50" t="s">
        <v>76</v>
      </c>
      <c r="M147" s="51" t="n">
        <v>365.33</v>
      </c>
      <c r="N147" s="52"/>
      <c r="O147" s="22" t="n">
        <v>1</v>
      </c>
      <c r="P147" s="63"/>
      <c r="Q147" s="54" t="s">
        <v>93</v>
      </c>
      <c r="R147" s="54" t="s">
        <v>391</v>
      </c>
      <c r="S147" s="55" t="s">
        <v>95</v>
      </c>
    </row>
    <row r="148" customFormat="false" ht="15" hidden="false" customHeight="false" outlineLevel="0" collapsed="false">
      <c r="A148" s="24" t="s">
        <v>59</v>
      </c>
      <c r="B148" s="23" t="s">
        <v>392</v>
      </c>
      <c r="C148" s="26" t="s">
        <v>91</v>
      </c>
      <c r="D148" s="49" t="n">
        <v>20.96</v>
      </c>
      <c r="E148" s="25" t="n">
        <v>53.05</v>
      </c>
      <c r="F148" s="25"/>
      <c r="G148" s="25"/>
      <c r="H148" s="25" t="n">
        <v>34.13</v>
      </c>
      <c r="I148" s="25" t="n">
        <v>109.56</v>
      </c>
      <c r="J148" s="25"/>
      <c r="K148" s="25"/>
      <c r="L148" s="56" t="s">
        <v>76</v>
      </c>
      <c r="M148" s="57" t="n">
        <v>20.96</v>
      </c>
      <c r="N148" s="58" t="n">
        <v>80.9</v>
      </c>
      <c r="O148" s="26" t="n">
        <v>4</v>
      </c>
      <c r="P148" s="59" t="s">
        <v>97</v>
      </c>
      <c r="Q148" s="60" t="s">
        <v>93</v>
      </c>
      <c r="R148" s="60" t="s">
        <v>393</v>
      </c>
      <c r="S148" s="61" t="s">
        <v>95</v>
      </c>
    </row>
    <row r="149" customFormat="false" ht="22.35" hidden="false" customHeight="false" outlineLevel="0" collapsed="false">
      <c r="A149" s="20" t="s">
        <v>59</v>
      </c>
      <c r="B149" s="19" t="s">
        <v>394</v>
      </c>
      <c r="C149" s="22" t="s">
        <v>91</v>
      </c>
      <c r="D149" s="49" t="n">
        <v>13.42</v>
      </c>
      <c r="E149" s="21" t="n">
        <v>53.05</v>
      </c>
      <c r="F149" s="21"/>
      <c r="G149" s="21"/>
      <c r="H149" s="21"/>
      <c r="I149" s="21"/>
      <c r="J149" s="21"/>
      <c r="K149" s="21"/>
      <c r="L149" s="50" t="s">
        <v>76</v>
      </c>
      <c r="M149" s="51" t="n">
        <v>13.42</v>
      </c>
      <c r="N149" s="52" t="n">
        <v>74.7</v>
      </c>
      <c r="O149" s="22" t="n">
        <v>2</v>
      </c>
      <c r="P149" s="53" t="s">
        <v>92</v>
      </c>
      <c r="Q149" s="54" t="s">
        <v>93</v>
      </c>
      <c r="R149" s="54" t="s">
        <v>395</v>
      </c>
      <c r="S149" s="55" t="s">
        <v>95</v>
      </c>
    </row>
    <row r="150" customFormat="false" ht="22.35" hidden="false" customHeight="false" outlineLevel="0" collapsed="false">
      <c r="A150" s="24" t="s">
        <v>59</v>
      </c>
      <c r="B150" s="23" t="s">
        <v>396</v>
      </c>
      <c r="C150" s="26" t="s">
        <v>91</v>
      </c>
      <c r="D150" s="49" t="n">
        <v>9.26</v>
      </c>
      <c r="E150" s="25"/>
      <c r="F150" s="25"/>
      <c r="G150" s="25"/>
      <c r="H150" s="25" t="n">
        <v>13.88</v>
      </c>
      <c r="I150" s="25"/>
      <c r="J150" s="25"/>
      <c r="K150" s="25"/>
      <c r="L150" s="56" t="s">
        <v>76</v>
      </c>
      <c r="M150" s="57" t="n">
        <v>9.26</v>
      </c>
      <c r="N150" s="58" t="n">
        <v>33.3</v>
      </c>
      <c r="O150" s="26" t="n">
        <v>2</v>
      </c>
      <c r="P150" s="59" t="s">
        <v>97</v>
      </c>
      <c r="Q150" s="60" t="s">
        <v>93</v>
      </c>
      <c r="R150" s="60" t="s">
        <v>397</v>
      </c>
      <c r="S150" s="61" t="s">
        <v>95</v>
      </c>
    </row>
    <row r="151" customFormat="false" ht="22.35" hidden="false" customHeight="false" outlineLevel="0" collapsed="false">
      <c r="A151" s="20" t="s">
        <v>59</v>
      </c>
      <c r="B151" s="19" t="s">
        <v>398</v>
      </c>
      <c r="C151" s="22" t="s">
        <v>91</v>
      </c>
      <c r="D151" s="21" t="n">
        <v>125.16</v>
      </c>
      <c r="E151" s="21"/>
      <c r="F151" s="21"/>
      <c r="G151" s="21"/>
      <c r="H151" s="21"/>
      <c r="I151" s="21"/>
      <c r="J151" s="21"/>
      <c r="K151" s="21"/>
      <c r="L151" s="50" t="s">
        <v>76</v>
      </c>
      <c r="M151" s="51" t="n">
        <v>125.16</v>
      </c>
      <c r="N151" s="52"/>
      <c r="O151" s="22" t="n">
        <v>1</v>
      </c>
      <c r="P151" s="63"/>
      <c r="Q151" s="54" t="s">
        <v>93</v>
      </c>
      <c r="R151" s="54" t="s">
        <v>399</v>
      </c>
      <c r="S151" s="55" t="s">
        <v>95</v>
      </c>
    </row>
    <row r="152" customFormat="false" ht="22.35" hidden="false" customHeight="false" outlineLevel="0" collapsed="false">
      <c r="A152" s="24" t="s">
        <v>59</v>
      </c>
      <c r="B152" s="23" t="s">
        <v>400</v>
      </c>
      <c r="C152" s="26" t="s">
        <v>91</v>
      </c>
      <c r="D152" s="25" t="n">
        <v>34.98</v>
      </c>
      <c r="E152" s="25" t="n">
        <v>195</v>
      </c>
      <c r="F152" s="25"/>
      <c r="G152" s="25"/>
      <c r="H152" s="25" t="n">
        <v>57.14</v>
      </c>
      <c r="I152" s="49" t="n">
        <v>21.96</v>
      </c>
      <c r="J152" s="25"/>
      <c r="K152" s="25"/>
      <c r="L152" s="56" t="s">
        <v>81</v>
      </c>
      <c r="M152" s="57" t="n">
        <v>21.96</v>
      </c>
      <c r="N152" s="58" t="n">
        <v>88.7</v>
      </c>
      <c r="O152" s="26" t="n">
        <v>4</v>
      </c>
      <c r="P152" s="62" t="s">
        <v>92</v>
      </c>
      <c r="Q152" s="60" t="s">
        <v>169</v>
      </c>
      <c r="R152" s="60" t="s">
        <v>401</v>
      </c>
      <c r="S152" s="61" t="s">
        <v>95</v>
      </c>
    </row>
    <row r="153" customFormat="false" ht="22.35" hidden="false" customHeight="false" outlineLevel="0" collapsed="false">
      <c r="A153" s="20" t="s">
        <v>59</v>
      </c>
      <c r="B153" s="19" t="s">
        <v>402</v>
      </c>
      <c r="C153" s="22" t="s">
        <v>91</v>
      </c>
      <c r="D153" s="21" t="n">
        <v>118.45</v>
      </c>
      <c r="E153" s="21" t="n">
        <v>315.87</v>
      </c>
      <c r="F153" s="21"/>
      <c r="G153" s="21"/>
      <c r="H153" s="49" t="n">
        <v>30.87</v>
      </c>
      <c r="I153" s="21" t="n">
        <v>97.33</v>
      </c>
      <c r="J153" s="21"/>
      <c r="K153" s="21"/>
      <c r="L153" s="50" t="s">
        <v>80</v>
      </c>
      <c r="M153" s="51" t="n">
        <v>30.87</v>
      </c>
      <c r="N153" s="52" t="n">
        <v>90.2</v>
      </c>
      <c r="O153" s="22" t="n">
        <v>4</v>
      </c>
      <c r="P153" s="53" t="s">
        <v>92</v>
      </c>
      <c r="Q153" s="54" t="s">
        <v>303</v>
      </c>
      <c r="R153" s="54" t="s">
        <v>403</v>
      </c>
      <c r="S153" s="55" t="s">
        <v>95</v>
      </c>
    </row>
    <row r="154" customFormat="false" ht="22.35" hidden="false" customHeight="false" outlineLevel="0" collapsed="false">
      <c r="A154" s="24" t="s">
        <v>59</v>
      </c>
      <c r="B154" s="23" t="s">
        <v>404</v>
      </c>
      <c r="C154" s="26" t="s">
        <v>91</v>
      </c>
      <c r="D154" s="25"/>
      <c r="E154" s="25"/>
      <c r="F154" s="25" t="n">
        <v>1046.81</v>
      </c>
      <c r="G154" s="25"/>
      <c r="H154" s="25"/>
      <c r="I154" s="25"/>
      <c r="J154" s="25"/>
      <c r="K154" s="25"/>
      <c r="L154" s="56" t="s">
        <v>78</v>
      </c>
      <c r="M154" s="57" t="n">
        <v>1046.81</v>
      </c>
      <c r="N154" s="58"/>
      <c r="O154" s="26" t="n">
        <v>1</v>
      </c>
      <c r="P154" s="64"/>
      <c r="Q154" s="60" t="s">
        <v>93</v>
      </c>
      <c r="R154" s="60" t="s">
        <v>405</v>
      </c>
      <c r="S154" s="26"/>
    </row>
    <row r="155" customFormat="false" ht="15" hidden="false" customHeight="false" outlineLevel="0" collapsed="false">
      <c r="A155" s="20" t="s">
        <v>59</v>
      </c>
      <c r="B155" s="19" t="s">
        <v>406</v>
      </c>
      <c r="C155" s="22" t="s">
        <v>91</v>
      </c>
      <c r="D155" s="21" t="n">
        <v>175.02</v>
      </c>
      <c r="E155" s="21" t="n">
        <v>187.75</v>
      </c>
      <c r="F155" s="21"/>
      <c r="G155" s="21"/>
      <c r="H155" s="21" t="n">
        <v>118.18</v>
      </c>
      <c r="I155" s="49" t="n">
        <v>71.11</v>
      </c>
      <c r="J155" s="21"/>
      <c r="K155" s="21"/>
      <c r="L155" s="50" t="s">
        <v>81</v>
      </c>
      <c r="M155" s="51" t="n">
        <v>71.11</v>
      </c>
      <c r="N155" s="52" t="n">
        <v>62.1</v>
      </c>
      <c r="O155" s="22" t="n">
        <v>4</v>
      </c>
      <c r="P155" s="59" t="s">
        <v>97</v>
      </c>
      <c r="Q155" s="54" t="s">
        <v>119</v>
      </c>
      <c r="R155" s="54" t="s">
        <v>407</v>
      </c>
      <c r="S155" s="55" t="s">
        <v>95</v>
      </c>
    </row>
    <row r="156" customFormat="false" ht="22.35" hidden="false" customHeight="false" outlineLevel="0" collapsed="false">
      <c r="A156" s="24" t="s">
        <v>59</v>
      </c>
      <c r="B156" s="23" t="s">
        <v>408</v>
      </c>
      <c r="C156" s="26" t="s">
        <v>91</v>
      </c>
      <c r="D156" s="25" t="n">
        <v>60.41</v>
      </c>
      <c r="E156" s="25" t="n">
        <v>19.71</v>
      </c>
      <c r="F156" s="25"/>
      <c r="G156" s="25"/>
      <c r="H156" s="25"/>
      <c r="I156" s="49" t="n">
        <v>9.9</v>
      </c>
      <c r="J156" s="25"/>
      <c r="K156" s="25"/>
      <c r="L156" s="56" t="s">
        <v>81</v>
      </c>
      <c r="M156" s="57" t="n">
        <v>9.9</v>
      </c>
      <c r="N156" s="58" t="n">
        <v>83.6</v>
      </c>
      <c r="O156" s="26" t="n">
        <v>3</v>
      </c>
      <c r="P156" s="59" t="s">
        <v>97</v>
      </c>
      <c r="Q156" s="60" t="s">
        <v>169</v>
      </c>
      <c r="R156" s="60" t="s">
        <v>409</v>
      </c>
      <c r="S156" s="61" t="s">
        <v>95</v>
      </c>
    </row>
    <row r="157" customFormat="false" ht="15" hidden="false" customHeight="false" outlineLevel="0" collapsed="false">
      <c r="A157" s="20" t="s">
        <v>59</v>
      </c>
      <c r="B157" s="19" t="s">
        <v>410</v>
      </c>
      <c r="C157" s="22" t="s">
        <v>91</v>
      </c>
      <c r="D157" s="49" t="n">
        <v>4.78</v>
      </c>
      <c r="E157" s="21" t="n">
        <v>14.18</v>
      </c>
      <c r="F157" s="21"/>
      <c r="G157" s="21"/>
      <c r="H157" s="21" t="n">
        <v>5.8</v>
      </c>
      <c r="I157" s="21" t="n">
        <v>7.53</v>
      </c>
      <c r="J157" s="21"/>
      <c r="K157" s="21"/>
      <c r="L157" s="50" t="s">
        <v>76</v>
      </c>
      <c r="M157" s="51" t="n">
        <v>4.78</v>
      </c>
      <c r="N157" s="52" t="n">
        <v>66.3</v>
      </c>
      <c r="O157" s="22" t="n">
        <v>4</v>
      </c>
      <c r="P157" s="53" t="s">
        <v>92</v>
      </c>
      <c r="Q157" s="54" t="s">
        <v>93</v>
      </c>
      <c r="R157" s="54" t="s">
        <v>411</v>
      </c>
      <c r="S157" s="55" t="s">
        <v>95</v>
      </c>
    </row>
    <row r="158" customFormat="false" ht="15" hidden="false" customHeight="false" outlineLevel="0" collapsed="false">
      <c r="A158" s="24" t="s">
        <v>59</v>
      </c>
      <c r="B158" s="23" t="s">
        <v>412</v>
      </c>
      <c r="C158" s="26" t="s">
        <v>137</v>
      </c>
      <c r="D158" s="49" t="n">
        <v>58.6</v>
      </c>
      <c r="E158" s="25" t="n">
        <v>84.74</v>
      </c>
      <c r="F158" s="25" t="n">
        <v>17.96</v>
      </c>
      <c r="G158" s="25"/>
      <c r="H158" s="25" t="n">
        <v>7.91</v>
      </c>
      <c r="I158" s="25" t="n">
        <v>26.4</v>
      </c>
      <c r="J158" s="25"/>
      <c r="K158" s="25"/>
      <c r="L158" s="56" t="s">
        <v>76</v>
      </c>
      <c r="M158" s="57" t="n">
        <v>58.6</v>
      </c>
      <c r="N158" s="58"/>
      <c r="O158" s="26" t="n">
        <v>5</v>
      </c>
      <c r="P158" s="59" t="s">
        <v>138</v>
      </c>
      <c r="Q158" s="60" t="s">
        <v>93</v>
      </c>
      <c r="R158" s="60" t="s">
        <v>413</v>
      </c>
      <c r="S158" s="61" t="s">
        <v>95</v>
      </c>
    </row>
    <row r="159" customFormat="false" ht="22.35" hidden="false" customHeight="false" outlineLevel="0" collapsed="false">
      <c r="A159" s="20" t="s">
        <v>59</v>
      </c>
      <c r="B159" s="19" t="s">
        <v>414</v>
      </c>
      <c r="C159" s="22" t="s">
        <v>91</v>
      </c>
      <c r="D159" s="21" t="n">
        <v>4.75</v>
      </c>
      <c r="E159" s="21"/>
      <c r="F159" s="21"/>
      <c r="G159" s="21"/>
      <c r="H159" s="21"/>
      <c r="I159" s="21"/>
      <c r="J159" s="21"/>
      <c r="K159" s="21"/>
      <c r="L159" s="50" t="s">
        <v>76</v>
      </c>
      <c r="M159" s="51" t="n">
        <v>4.75</v>
      </c>
      <c r="N159" s="52"/>
      <c r="O159" s="22" t="n">
        <v>1</v>
      </c>
      <c r="P159" s="63"/>
      <c r="Q159" s="54" t="s">
        <v>93</v>
      </c>
      <c r="R159" s="54" t="s">
        <v>415</v>
      </c>
      <c r="S159" s="55" t="s">
        <v>95</v>
      </c>
    </row>
    <row r="160" customFormat="false" ht="22.35" hidden="false" customHeight="false" outlineLevel="0" collapsed="false">
      <c r="A160" s="24" t="s">
        <v>59</v>
      </c>
      <c r="B160" s="23" t="s">
        <v>416</v>
      </c>
      <c r="C160" s="26" t="s">
        <v>91</v>
      </c>
      <c r="D160" s="49" t="n">
        <v>86.54</v>
      </c>
      <c r="E160" s="25"/>
      <c r="F160" s="25"/>
      <c r="G160" s="25" t="n">
        <v>128.16</v>
      </c>
      <c r="H160" s="25"/>
      <c r="I160" s="25"/>
      <c r="J160" s="25"/>
      <c r="K160" s="25"/>
      <c r="L160" s="56" t="s">
        <v>76</v>
      </c>
      <c r="M160" s="57" t="n">
        <v>86.54</v>
      </c>
      <c r="N160" s="58" t="n">
        <v>32.5</v>
      </c>
      <c r="O160" s="26" t="n">
        <v>2</v>
      </c>
      <c r="P160" s="59" t="s">
        <v>97</v>
      </c>
      <c r="Q160" s="60" t="s">
        <v>93</v>
      </c>
      <c r="R160" s="60" t="s">
        <v>417</v>
      </c>
      <c r="S160" s="61" t="s">
        <v>95</v>
      </c>
    </row>
    <row r="161" customFormat="false" ht="15" hidden="false" customHeight="false" outlineLevel="0" collapsed="false">
      <c r="A161" s="20" t="s">
        <v>59</v>
      </c>
      <c r="B161" s="19" t="s">
        <v>418</v>
      </c>
      <c r="C161" s="22" t="s">
        <v>91</v>
      </c>
      <c r="D161" s="21"/>
      <c r="E161" s="21" t="n">
        <v>660.94</v>
      </c>
      <c r="F161" s="21"/>
      <c r="G161" s="21"/>
      <c r="H161" s="21" t="n">
        <v>33.43</v>
      </c>
      <c r="I161" s="49" t="n">
        <v>24.95</v>
      </c>
      <c r="J161" s="21"/>
      <c r="K161" s="21"/>
      <c r="L161" s="50" t="s">
        <v>81</v>
      </c>
      <c r="M161" s="51" t="n">
        <v>24.95</v>
      </c>
      <c r="N161" s="52" t="n">
        <v>96.2</v>
      </c>
      <c r="O161" s="22" t="n">
        <v>3</v>
      </c>
      <c r="P161" s="59" t="s">
        <v>97</v>
      </c>
      <c r="Q161" s="54" t="s">
        <v>169</v>
      </c>
      <c r="R161" s="54" t="s">
        <v>419</v>
      </c>
      <c r="S161" s="55" t="s">
        <v>95</v>
      </c>
    </row>
    <row r="162" customFormat="false" ht="22.35" hidden="false" customHeight="false" outlineLevel="0" collapsed="false">
      <c r="A162" s="24" t="s">
        <v>59</v>
      </c>
      <c r="B162" s="23" t="s">
        <v>420</v>
      </c>
      <c r="C162" s="26" t="s">
        <v>91</v>
      </c>
      <c r="D162" s="25" t="n">
        <v>62.27</v>
      </c>
      <c r="E162" s="25"/>
      <c r="F162" s="25"/>
      <c r="G162" s="25"/>
      <c r="H162" s="25" t="n">
        <v>60.75</v>
      </c>
      <c r="I162" s="49" t="n">
        <v>33.31</v>
      </c>
      <c r="J162" s="25"/>
      <c r="K162" s="25"/>
      <c r="L162" s="56" t="s">
        <v>81</v>
      </c>
      <c r="M162" s="57" t="n">
        <v>33.31</v>
      </c>
      <c r="N162" s="58" t="n">
        <v>46.5</v>
      </c>
      <c r="O162" s="26" t="n">
        <v>3</v>
      </c>
      <c r="P162" s="59" t="s">
        <v>97</v>
      </c>
      <c r="Q162" s="60" t="s">
        <v>119</v>
      </c>
      <c r="R162" s="60" t="s">
        <v>421</v>
      </c>
      <c r="S162" s="61" t="s">
        <v>95</v>
      </c>
    </row>
    <row r="163" customFormat="false" ht="22.35" hidden="false" customHeight="false" outlineLevel="0" collapsed="false">
      <c r="A163" s="20" t="s">
        <v>59</v>
      </c>
      <c r="B163" s="19" t="s">
        <v>422</v>
      </c>
      <c r="C163" s="22" t="s">
        <v>91</v>
      </c>
      <c r="D163" s="21" t="n">
        <v>596.37</v>
      </c>
      <c r="E163" s="21"/>
      <c r="F163" s="21"/>
      <c r="G163" s="21"/>
      <c r="H163" s="21"/>
      <c r="I163" s="21"/>
      <c r="J163" s="21"/>
      <c r="K163" s="21"/>
      <c r="L163" s="50" t="s">
        <v>76</v>
      </c>
      <c r="M163" s="51" t="n">
        <v>596.37</v>
      </c>
      <c r="N163" s="52"/>
      <c r="O163" s="22" t="n">
        <v>1</v>
      </c>
      <c r="P163" s="63"/>
      <c r="Q163" s="54" t="s">
        <v>93</v>
      </c>
      <c r="R163" s="54" t="s">
        <v>423</v>
      </c>
      <c r="S163" s="55" t="s">
        <v>95</v>
      </c>
    </row>
    <row r="164" customFormat="false" ht="22.35" hidden="false" customHeight="false" outlineLevel="0" collapsed="false">
      <c r="A164" s="24" t="s">
        <v>59</v>
      </c>
      <c r="B164" s="23" t="s">
        <v>424</v>
      </c>
      <c r="C164" s="26" t="s">
        <v>137</v>
      </c>
      <c r="D164" s="25"/>
      <c r="E164" s="25" t="n">
        <v>20.89</v>
      </c>
      <c r="F164" s="25"/>
      <c r="G164" s="25"/>
      <c r="H164" s="25"/>
      <c r="I164" s="25"/>
      <c r="J164" s="25"/>
      <c r="K164" s="25"/>
      <c r="L164" s="56" t="s">
        <v>77</v>
      </c>
      <c r="M164" s="57" t="n">
        <v>20.89</v>
      </c>
      <c r="N164" s="58"/>
      <c r="O164" s="26" t="n">
        <v>1</v>
      </c>
      <c r="P164" s="64"/>
      <c r="Q164" s="60" t="s">
        <v>114</v>
      </c>
      <c r="R164" s="60" t="s">
        <v>425</v>
      </c>
      <c r="S164" s="26"/>
    </row>
    <row r="165" customFormat="false" ht="22.35" hidden="false" customHeight="false" outlineLevel="0" collapsed="false">
      <c r="A165" s="20" t="s">
        <v>59</v>
      </c>
      <c r="B165" s="19" t="s">
        <v>426</v>
      </c>
      <c r="C165" s="22" t="s">
        <v>91</v>
      </c>
      <c r="D165" s="21"/>
      <c r="E165" s="21" t="n">
        <v>46.25</v>
      </c>
      <c r="F165" s="21"/>
      <c r="G165" s="21"/>
      <c r="H165" s="21"/>
      <c r="I165" s="21"/>
      <c r="J165" s="21"/>
      <c r="K165" s="21"/>
      <c r="L165" s="50" t="s">
        <v>77</v>
      </c>
      <c r="M165" s="51" t="n">
        <v>46.25</v>
      </c>
      <c r="N165" s="52"/>
      <c r="O165" s="22" t="n">
        <v>1</v>
      </c>
      <c r="P165" s="63"/>
      <c r="Q165" s="54" t="s">
        <v>114</v>
      </c>
      <c r="R165" s="54" t="s">
        <v>427</v>
      </c>
      <c r="S165" s="22"/>
    </row>
    <row r="166" customFormat="false" ht="22.35" hidden="false" customHeight="false" outlineLevel="0" collapsed="false">
      <c r="A166" s="24" t="s">
        <v>59</v>
      </c>
      <c r="B166" s="23" t="s">
        <v>428</v>
      </c>
      <c r="C166" s="26" t="s">
        <v>91</v>
      </c>
      <c r="D166" s="25" t="n">
        <v>80.73</v>
      </c>
      <c r="E166" s="25"/>
      <c r="F166" s="25"/>
      <c r="G166" s="25"/>
      <c r="H166" s="25"/>
      <c r="I166" s="25"/>
      <c r="J166" s="25"/>
      <c r="K166" s="25"/>
      <c r="L166" s="56" t="s">
        <v>76</v>
      </c>
      <c r="M166" s="57" t="n">
        <v>80.73</v>
      </c>
      <c r="N166" s="58"/>
      <c r="O166" s="26" t="n">
        <v>1</v>
      </c>
      <c r="P166" s="64"/>
      <c r="Q166" s="60" t="s">
        <v>93</v>
      </c>
      <c r="R166" s="60" t="s">
        <v>429</v>
      </c>
      <c r="S166" s="61" t="s">
        <v>95</v>
      </c>
    </row>
    <row r="167" customFormat="false" ht="22.35" hidden="false" customHeight="false" outlineLevel="0" collapsed="false">
      <c r="A167" s="20" t="s">
        <v>59</v>
      </c>
      <c r="B167" s="19" t="s">
        <v>430</v>
      </c>
      <c r="C167" s="22" t="s">
        <v>137</v>
      </c>
      <c r="D167" s="49" t="n">
        <v>3.21</v>
      </c>
      <c r="E167" s="21" t="n">
        <v>33.92</v>
      </c>
      <c r="F167" s="21"/>
      <c r="G167" s="21"/>
      <c r="H167" s="21"/>
      <c r="I167" s="21"/>
      <c r="J167" s="21"/>
      <c r="K167" s="21"/>
      <c r="L167" s="50" t="s">
        <v>76</v>
      </c>
      <c r="M167" s="51" t="n">
        <v>3.21</v>
      </c>
      <c r="N167" s="52"/>
      <c r="O167" s="22" t="n">
        <v>2</v>
      </c>
      <c r="P167" s="59" t="s">
        <v>138</v>
      </c>
      <c r="Q167" s="54" t="s">
        <v>93</v>
      </c>
      <c r="R167" s="54" t="s">
        <v>431</v>
      </c>
      <c r="S167" s="55" t="s">
        <v>95</v>
      </c>
    </row>
    <row r="168" customFormat="false" ht="15" hidden="false" customHeight="false" outlineLevel="0" collapsed="false">
      <c r="A168" s="24" t="s">
        <v>59</v>
      </c>
      <c r="B168" s="23" t="s">
        <v>432</v>
      </c>
      <c r="C168" s="26" t="s">
        <v>91</v>
      </c>
      <c r="D168" s="49" t="n">
        <v>40.3</v>
      </c>
      <c r="E168" s="25" t="n">
        <v>131.53</v>
      </c>
      <c r="F168" s="25"/>
      <c r="G168" s="25"/>
      <c r="H168" s="25"/>
      <c r="I168" s="25"/>
      <c r="J168" s="25"/>
      <c r="K168" s="25"/>
      <c r="L168" s="56" t="s">
        <v>76</v>
      </c>
      <c r="M168" s="57" t="n">
        <v>40.3</v>
      </c>
      <c r="N168" s="58" t="n">
        <v>69.4</v>
      </c>
      <c r="O168" s="26" t="n">
        <v>2</v>
      </c>
      <c r="P168" s="62" t="s">
        <v>92</v>
      </c>
      <c r="Q168" s="60" t="s">
        <v>93</v>
      </c>
      <c r="R168" s="60" t="s">
        <v>433</v>
      </c>
      <c r="S168" s="61" t="s">
        <v>95</v>
      </c>
    </row>
    <row r="169" customFormat="false" ht="15" hidden="false" customHeight="false" outlineLevel="0" collapsed="false">
      <c r="A169" s="20" t="s">
        <v>59</v>
      </c>
      <c r="B169" s="19" t="s">
        <v>434</v>
      </c>
      <c r="C169" s="22" t="s">
        <v>91</v>
      </c>
      <c r="D169" s="49" t="n">
        <v>8.8</v>
      </c>
      <c r="E169" s="21"/>
      <c r="F169" s="21"/>
      <c r="G169" s="21"/>
      <c r="H169" s="21" t="n">
        <v>22.24</v>
      </c>
      <c r="I169" s="21" t="n">
        <v>19.4</v>
      </c>
      <c r="J169" s="21"/>
      <c r="K169" s="21"/>
      <c r="L169" s="50" t="s">
        <v>76</v>
      </c>
      <c r="M169" s="51" t="n">
        <v>8.8</v>
      </c>
      <c r="N169" s="52" t="n">
        <v>60.4</v>
      </c>
      <c r="O169" s="22" t="n">
        <v>3</v>
      </c>
      <c r="P169" s="59" t="s">
        <v>97</v>
      </c>
      <c r="Q169" s="54" t="s">
        <v>93</v>
      </c>
      <c r="R169" s="54" t="s">
        <v>435</v>
      </c>
      <c r="S169" s="55" t="s">
        <v>95</v>
      </c>
    </row>
    <row r="170" customFormat="false" ht="22.35" hidden="false" customHeight="false" outlineLevel="0" collapsed="false">
      <c r="A170" s="24" t="s">
        <v>60</v>
      </c>
      <c r="B170" s="23" t="s">
        <v>436</v>
      </c>
      <c r="C170" s="26" t="s">
        <v>91</v>
      </c>
      <c r="D170" s="25" t="n">
        <v>34.98</v>
      </c>
      <c r="E170" s="25"/>
      <c r="F170" s="25"/>
      <c r="G170" s="25"/>
      <c r="H170" s="25" t="n">
        <v>34.39</v>
      </c>
      <c r="I170" s="25" t="n">
        <v>5.65</v>
      </c>
      <c r="J170" s="49" t="n">
        <v>4.57</v>
      </c>
      <c r="K170" s="25"/>
      <c r="L170" s="56" t="s">
        <v>82</v>
      </c>
      <c r="M170" s="57" t="n">
        <v>4.57</v>
      </c>
      <c r="N170" s="58" t="n">
        <v>86.9</v>
      </c>
      <c r="O170" s="26" t="n">
        <v>4</v>
      </c>
      <c r="P170" s="59" t="s">
        <v>97</v>
      </c>
      <c r="Q170" s="60" t="s">
        <v>290</v>
      </c>
      <c r="R170" s="60" t="s">
        <v>437</v>
      </c>
      <c r="S170" s="61" t="s">
        <v>95</v>
      </c>
    </row>
    <row r="171" customFormat="false" ht="22.35" hidden="false" customHeight="false" outlineLevel="0" collapsed="false">
      <c r="A171" s="20" t="s">
        <v>60</v>
      </c>
      <c r="B171" s="19" t="s">
        <v>438</v>
      </c>
      <c r="C171" s="22" t="s">
        <v>91</v>
      </c>
      <c r="D171" s="21" t="n">
        <v>470.93</v>
      </c>
      <c r="E171" s="21"/>
      <c r="F171" s="21"/>
      <c r="G171" s="21"/>
      <c r="H171" s="21" t="n">
        <v>55.87</v>
      </c>
      <c r="I171" s="49" t="n">
        <v>33.45</v>
      </c>
      <c r="J171" s="21" t="n">
        <v>150.31</v>
      </c>
      <c r="K171" s="21"/>
      <c r="L171" s="50" t="s">
        <v>81</v>
      </c>
      <c r="M171" s="51" t="n">
        <v>33.45</v>
      </c>
      <c r="N171" s="52" t="n">
        <v>92.9</v>
      </c>
      <c r="O171" s="22" t="n">
        <v>4</v>
      </c>
      <c r="P171" s="59" t="s">
        <v>97</v>
      </c>
      <c r="Q171" s="54" t="s">
        <v>169</v>
      </c>
      <c r="R171" s="54" t="s">
        <v>439</v>
      </c>
      <c r="S171" s="55" t="s">
        <v>95</v>
      </c>
    </row>
    <row r="172" customFormat="false" ht="22.35" hidden="false" customHeight="false" outlineLevel="0" collapsed="false">
      <c r="A172" s="24" t="s">
        <v>60</v>
      </c>
      <c r="B172" s="23" t="s">
        <v>440</v>
      </c>
      <c r="C172" s="26" t="s">
        <v>91</v>
      </c>
      <c r="D172" s="25" t="n">
        <v>438.84</v>
      </c>
      <c r="E172" s="25"/>
      <c r="F172" s="25"/>
      <c r="G172" s="25"/>
      <c r="H172" s="25"/>
      <c r="I172" s="25"/>
      <c r="J172" s="49" t="n">
        <v>336.63</v>
      </c>
      <c r="K172" s="25"/>
      <c r="L172" s="56" t="s">
        <v>82</v>
      </c>
      <c r="M172" s="57" t="n">
        <v>336.63</v>
      </c>
      <c r="N172" s="58" t="n">
        <v>23.3</v>
      </c>
      <c r="O172" s="26" t="n">
        <v>2</v>
      </c>
      <c r="P172" s="59" t="s">
        <v>97</v>
      </c>
      <c r="Q172" s="60" t="s">
        <v>290</v>
      </c>
      <c r="R172" s="60" t="s">
        <v>441</v>
      </c>
      <c r="S172" s="61" t="s">
        <v>95</v>
      </c>
    </row>
    <row r="173" customFormat="false" ht="22.35" hidden="false" customHeight="false" outlineLevel="0" collapsed="false">
      <c r="A173" s="20" t="s">
        <v>60</v>
      </c>
      <c r="B173" s="19" t="s">
        <v>442</v>
      </c>
      <c r="C173" s="22" t="s">
        <v>91</v>
      </c>
      <c r="D173" s="21" t="n">
        <v>128.38</v>
      </c>
      <c r="E173" s="21"/>
      <c r="F173" s="21"/>
      <c r="G173" s="21"/>
      <c r="H173" s="49" t="n">
        <v>11.48</v>
      </c>
      <c r="I173" s="21" t="n">
        <v>30.3</v>
      </c>
      <c r="J173" s="21"/>
      <c r="K173" s="21"/>
      <c r="L173" s="50" t="s">
        <v>80</v>
      </c>
      <c r="M173" s="51" t="n">
        <v>11.48</v>
      </c>
      <c r="N173" s="52" t="n">
        <v>91.1</v>
      </c>
      <c r="O173" s="22" t="n">
        <v>3</v>
      </c>
      <c r="P173" s="59" t="s">
        <v>97</v>
      </c>
      <c r="Q173" s="54" t="s">
        <v>303</v>
      </c>
      <c r="R173" s="54" t="s">
        <v>443</v>
      </c>
      <c r="S173" s="55" t="s">
        <v>95</v>
      </c>
    </row>
    <row r="174" customFormat="false" ht="22.35" hidden="false" customHeight="false" outlineLevel="0" collapsed="false">
      <c r="A174" s="24" t="s">
        <v>60</v>
      </c>
      <c r="B174" s="23" t="s">
        <v>444</v>
      </c>
      <c r="C174" s="26" t="s">
        <v>91</v>
      </c>
      <c r="D174" s="25" t="n">
        <v>123.77</v>
      </c>
      <c r="E174" s="25"/>
      <c r="F174" s="25"/>
      <c r="G174" s="25"/>
      <c r="H174" s="49" t="n">
        <v>11.48</v>
      </c>
      <c r="I174" s="25" t="n">
        <v>30.3</v>
      </c>
      <c r="J174" s="25"/>
      <c r="K174" s="25"/>
      <c r="L174" s="56" t="s">
        <v>80</v>
      </c>
      <c r="M174" s="57" t="n">
        <v>11.48</v>
      </c>
      <c r="N174" s="58" t="n">
        <v>90.7</v>
      </c>
      <c r="O174" s="26" t="n">
        <v>3</v>
      </c>
      <c r="P174" s="62" t="s">
        <v>92</v>
      </c>
      <c r="Q174" s="60" t="s">
        <v>303</v>
      </c>
      <c r="R174" s="60" t="s">
        <v>443</v>
      </c>
      <c r="S174" s="61" t="s">
        <v>95</v>
      </c>
    </row>
    <row r="175" customFormat="false" ht="22.35" hidden="false" customHeight="false" outlineLevel="0" collapsed="false">
      <c r="A175" s="20" t="s">
        <v>60</v>
      </c>
      <c r="B175" s="19" t="s">
        <v>445</v>
      </c>
      <c r="C175" s="22" t="s">
        <v>91</v>
      </c>
      <c r="D175" s="21"/>
      <c r="E175" s="21"/>
      <c r="F175" s="21"/>
      <c r="G175" s="21"/>
      <c r="H175" s="21"/>
      <c r="I175" s="21"/>
      <c r="J175" s="21" t="n">
        <v>221.62</v>
      </c>
      <c r="K175" s="21"/>
      <c r="L175" s="50" t="s">
        <v>82</v>
      </c>
      <c r="M175" s="51" t="n">
        <v>221.62</v>
      </c>
      <c r="N175" s="52"/>
      <c r="O175" s="22" t="n">
        <v>1</v>
      </c>
      <c r="P175" s="63"/>
      <c r="Q175" s="54" t="s">
        <v>290</v>
      </c>
      <c r="R175" s="54" t="s">
        <v>446</v>
      </c>
      <c r="S175" s="55" t="s">
        <v>95</v>
      </c>
    </row>
    <row r="176" customFormat="false" ht="22.35" hidden="false" customHeight="false" outlineLevel="0" collapsed="false">
      <c r="A176" s="24" t="s">
        <v>60</v>
      </c>
      <c r="B176" s="23" t="s">
        <v>447</v>
      </c>
      <c r="C176" s="26" t="s">
        <v>91</v>
      </c>
      <c r="D176" s="25" t="n">
        <v>1341.06</v>
      </c>
      <c r="E176" s="25"/>
      <c r="F176" s="25"/>
      <c r="G176" s="25"/>
      <c r="H176" s="25" t="n">
        <v>24.07</v>
      </c>
      <c r="I176" s="49" t="n">
        <v>15.82</v>
      </c>
      <c r="J176" s="25" t="n">
        <v>27.76</v>
      </c>
      <c r="K176" s="25"/>
      <c r="L176" s="56" t="s">
        <v>81</v>
      </c>
      <c r="M176" s="57" t="n">
        <v>15.82</v>
      </c>
      <c r="N176" s="58" t="n">
        <v>98.8</v>
      </c>
      <c r="O176" s="26" t="n">
        <v>4</v>
      </c>
      <c r="P176" s="59" t="s">
        <v>97</v>
      </c>
      <c r="Q176" s="60" t="s">
        <v>119</v>
      </c>
      <c r="R176" s="60" t="s">
        <v>448</v>
      </c>
      <c r="S176" s="61" t="s">
        <v>95</v>
      </c>
    </row>
    <row r="177" customFormat="false" ht="22.35" hidden="false" customHeight="false" outlineLevel="0" collapsed="false">
      <c r="A177" s="20" t="s">
        <v>60</v>
      </c>
      <c r="B177" s="19" t="s">
        <v>449</v>
      </c>
      <c r="C177" s="22" t="s">
        <v>91</v>
      </c>
      <c r="D177" s="21" t="n">
        <v>45</v>
      </c>
      <c r="E177" s="21"/>
      <c r="F177" s="21"/>
      <c r="G177" s="21"/>
      <c r="H177" s="49" t="n">
        <v>34.39</v>
      </c>
      <c r="I177" s="21"/>
      <c r="J177" s="21" t="n">
        <v>107.41</v>
      </c>
      <c r="K177" s="21"/>
      <c r="L177" s="50" t="s">
        <v>80</v>
      </c>
      <c r="M177" s="51" t="n">
        <v>34.39</v>
      </c>
      <c r="N177" s="52" t="n">
        <v>68</v>
      </c>
      <c r="O177" s="22" t="n">
        <v>3</v>
      </c>
      <c r="P177" s="59" t="s">
        <v>97</v>
      </c>
      <c r="Q177" s="54" t="s">
        <v>303</v>
      </c>
      <c r="R177" s="54" t="s">
        <v>450</v>
      </c>
      <c r="S177" s="55" t="s">
        <v>95</v>
      </c>
    </row>
    <row r="178" customFormat="false" ht="22.35" hidden="false" customHeight="false" outlineLevel="0" collapsed="false">
      <c r="A178" s="24" t="s">
        <v>60</v>
      </c>
      <c r="B178" s="23" t="s">
        <v>451</v>
      </c>
      <c r="C178" s="26" t="s">
        <v>91</v>
      </c>
      <c r="D178" s="25" t="n">
        <v>154.07</v>
      </c>
      <c r="E178" s="25" t="n">
        <v>68.98</v>
      </c>
      <c r="F178" s="25"/>
      <c r="G178" s="25"/>
      <c r="H178" s="49" t="n">
        <v>34.39</v>
      </c>
      <c r="I178" s="25"/>
      <c r="J178" s="25" t="n">
        <v>85.36</v>
      </c>
      <c r="K178" s="25"/>
      <c r="L178" s="56" t="s">
        <v>80</v>
      </c>
      <c r="M178" s="57" t="n">
        <v>34.39</v>
      </c>
      <c r="N178" s="58" t="n">
        <v>77.7</v>
      </c>
      <c r="O178" s="26" t="n">
        <v>4</v>
      </c>
      <c r="P178" s="59" t="s">
        <v>97</v>
      </c>
      <c r="Q178" s="60" t="s">
        <v>303</v>
      </c>
      <c r="R178" s="60" t="s">
        <v>450</v>
      </c>
      <c r="S178" s="61" t="s">
        <v>95</v>
      </c>
    </row>
    <row r="179" customFormat="false" ht="15" hidden="false" customHeight="false" outlineLevel="0" collapsed="false">
      <c r="A179" s="20" t="s">
        <v>60</v>
      </c>
      <c r="B179" s="19" t="s">
        <v>452</v>
      </c>
      <c r="C179" s="22" t="s">
        <v>91</v>
      </c>
      <c r="D179" s="49" t="n">
        <v>19.94</v>
      </c>
      <c r="E179" s="21" t="n">
        <v>75.79</v>
      </c>
      <c r="F179" s="21"/>
      <c r="G179" s="21"/>
      <c r="H179" s="21"/>
      <c r="I179" s="21"/>
      <c r="J179" s="21" t="n">
        <v>57.78</v>
      </c>
      <c r="K179" s="21"/>
      <c r="L179" s="50" t="s">
        <v>76</v>
      </c>
      <c r="M179" s="51" t="n">
        <v>19.94</v>
      </c>
      <c r="N179" s="52" t="n">
        <v>73.7</v>
      </c>
      <c r="O179" s="22" t="n">
        <v>3</v>
      </c>
      <c r="P179" s="53" t="s">
        <v>92</v>
      </c>
      <c r="Q179" s="54" t="s">
        <v>93</v>
      </c>
      <c r="R179" s="54" t="s">
        <v>453</v>
      </c>
      <c r="S179" s="55" t="s">
        <v>95</v>
      </c>
    </row>
    <row r="180" customFormat="false" ht="22.35" hidden="false" customHeight="false" outlineLevel="0" collapsed="false">
      <c r="A180" s="24" t="s">
        <v>60</v>
      </c>
      <c r="B180" s="23" t="s">
        <v>454</v>
      </c>
      <c r="C180" s="26" t="s">
        <v>91</v>
      </c>
      <c r="D180" s="25" t="n">
        <v>337.05</v>
      </c>
      <c r="E180" s="25"/>
      <c r="F180" s="25"/>
      <c r="G180" s="25"/>
      <c r="H180" s="25"/>
      <c r="I180" s="25"/>
      <c r="J180" s="49" t="n">
        <v>30.65</v>
      </c>
      <c r="K180" s="25"/>
      <c r="L180" s="56" t="s">
        <v>82</v>
      </c>
      <c r="M180" s="57" t="n">
        <v>30.65</v>
      </c>
      <c r="N180" s="58" t="n">
        <v>90.9</v>
      </c>
      <c r="O180" s="26" t="n">
        <v>2</v>
      </c>
      <c r="P180" s="59" t="s">
        <v>97</v>
      </c>
      <c r="Q180" s="60" t="s">
        <v>290</v>
      </c>
      <c r="R180" s="60" t="s">
        <v>455</v>
      </c>
      <c r="S180" s="61" t="s">
        <v>95</v>
      </c>
    </row>
    <row r="181" customFormat="false" ht="15" hidden="false" customHeight="false" outlineLevel="0" collapsed="false">
      <c r="A181" s="20" t="s">
        <v>60</v>
      </c>
      <c r="B181" s="19" t="s">
        <v>456</v>
      </c>
      <c r="C181" s="22" t="s">
        <v>91</v>
      </c>
      <c r="D181" s="49" t="n">
        <v>18.94</v>
      </c>
      <c r="E181" s="21"/>
      <c r="F181" s="21"/>
      <c r="G181" s="21"/>
      <c r="H181" s="21" t="n">
        <v>92.92</v>
      </c>
      <c r="I181" s="21" t="n">
        <v>25.69</v>
      </c>
      <c r="J181" s="21" t="n">
        <v>38.53</v>
      </c>
      <c r="K181" s="21"/>
      <c r="L181" s="50" t="s">
        <v>76</v>
      </c>
      <c r="M181" s="51" t="n">
        <v>18.94</v>
      </c>
      <c r="N181" s="52" t="n">
        <v>79.6</v>
      </c>
      <c r="O181" s="22" t="n">
        <v>4</v>
      </c>
      <c r="P181" s="53" t="s">
        <v>92</v>
      </c>
      <c r="Q181" s="54" t="s">
        <v>93</v>
      </c>
      <c r="R181" s="54" t="s">
        <v>457</v>
      </c>
      <c r="S181" s="55" t="s">
        <v>95</v>
      </c>
    </row>
    <row r="182" customFormat="false" ht="22.35" hidden="false" customHeight="false" outlineLevel="0" collapsed="false">
      <c r="A182" s="24" t="s">
        <v>60</v>
      </c>
      <c r="B182" s="23" t="s">
        <v>458</v>
      </c>
      <c r="C182" s="26" t="s">
        <v>91</v>
      </c>
      <c r="D182" s="25" t="n">
        <v>44.12</v>
      </c>
      <c r="E182" s="25"/>
      <c r="F182" s="25"/>
      <c r="G182" s="25"/>
      <c r="H182" s="49" t="n">
        <v>2.65</v>
      </c>
      <c r="I182" s="25" t="n">
        <v>6.24</v>
      </c>
      <c r="J182" s="25" t="n">
        <v>57.09</v>
      </c>
      <c r="K182" s="25"/>
      <c r="L182" s="56" t="s">
        <v>80</v>
      </c>
      <c r="M182" s="57" t="n">
        <v>2.65</v>
      </c>
      <c r="N182" s="58" t="n">
        <v>95.4</v>
      </c>
      <c r="O182" s="26" t="n">
        <v>4</v>
      </c>
      <c r="P182" s="59" t="s">
        <v>97</v>
      </c>
      <c r="Q182" s="60" t="s">
        <v>303</v>
      </c>
      <c r="R182" s="60" t="s">
        <v>459</v>
      </c>
      <c r="S182" s="61" t="s">
        <v>95</v>
      </c>
    </row>
    <row r="183" customFormat="false" ht="22.35" hidden="false" customHeight="false" outlineLevel="0" collapsed="false">
      <c r="A183" s="20" t="s">
        <v>60</v>
      </c>
      <c r="B183" s="19" t="s">
        <v>460</v>
      </c>
      <c r="C183" s="22" t="s">
        <v>91</v>
      </c>
      <c r="D183" s="21" t="n">
        <v>143.87</v>
      </c>
      <c r="E183" s="21"/>
      <c r="F183" s="21"/>
      <c r="G183" s="21"/>
      <c r="H183" s="49" t="n">
        <v>102.12</v>
      </c>
      <c r="I183" s="21"/>
      <c r="J183" s="21"/>
      <c r="K183" s="21"/>
      <c r="L183" s="50" t="s">
        <v>80</v>
      </c>
      <c r="M183" s="51" t="n">
        <v>102.12</v>
      </c>
      <c r="N183" s="52" t="n">
        <v>29</v>
      </c>
      <c r="O183" s="22" t="n">
        <v>2</v>
      </c>
      <c r="P183" s="53" t="s">
        <v>92</v>
      </c>
      <c r="Q183" s="54" t="s">
        <v>303</v>
      </c>
      <c r="R183" s="54" t="s">
        <v>461</v>
      </c>
      <c r="S183" s="55" t="s">
        <v>95</v>
      </c>
    </row>
    <row r="184" customFormat="false" ht="22.35" hidden="false" customHeight="false" outlineLevel="0" collapsed="false">
      <c r="A184" s="24" t="s">
        <v>60</v>
      </c>
      <c r="B184" s="23" t="s">
        <v>462</v>
      </c>
      <c r="C184" s="26" t="s">
        <v>91</v>
      </c>
      <c r="D184" s="25" t="n">
        <v>263.93</v>
      </c>
      <c r="E184" s="25"/>
      <c r="F184" s="25"/>
      <c r="G184" s="25"/>
      <c r="H184" s="49" t="n">
        <v>144.03</v>
      </c>
      <c r="I184" s="25"/>
      <c r="J184" s="25"/>
      <c r="K184" s="25"/>
      <c r="L184" s="56" t="s">
        <v>80</v>
      </c>
      <c r="M184" s="57" t="n">
        <v>144.03</v>
      </c>
      <c r="N184" s="58" t="n">
        <v>45.4</v>
      </c>
      <c r="O184" s="26" t="n">
        <v>2</v>
      </c>
      <c r="P184" s="59" t="s">
        <v>97</v>
      </c>
      <c r="Q184" s="60" t="s">
        <v>303</v>
      </c>
      <c r="R184" s="60" t="s">
        <v>463</v>
      </c>
      <c r="S184" s="61" t="s">
        <v>95</v>
      </c>
    </row>
    <row r="185" customFormat="false" ht="22.35" hidden="false" customHeight="false" outlineLevel="0" collapsed="false">
      <c r="A185" s="20" t="s">
        <v>60</v>
      </c>
      <c r="B185" s="19" t="s">
        <v>464</v>
      </c>
      <c r="C185" s="22" t="s">
        <v>91</v>
      </c>
      <c r="D185" s="21" t="n">
        <v>22.56</v>
      </c>
      <c r="E185" s="21"/>
      <c r="F185" s="21"/>
      <c r="G185" s="21"/>
      <c r="H185" s="49" t="n">
        <v>9.69</v>
      </c>
      <c r="I185" s="21" t="n">
        <v>44.74</v>
      </c>
      <c r="J185" s="21"/>
      <c r="K185" s="21"/>
      <c r="L185" s="50" t="s">
        <v>80</v>
      </c>
      <c r="M185" s="51" t="n">
        <v>9.69</v>
      </c>
      <c r="N185" s="52" t="n">
        <v>78.3</v>
      </c>
      <c r="O185" s="22" t="n">
        <v>3</v>
      </c>
      <c r="P185" s="59" t="s">
        <v>97</v>
      </c>
      <c r="Q185" s="54" t="s">
        <v>303</v>
      </c>
      <c r="R185" s="54" t="s">
        <v>465</v>
      </c>
      <c r="S185" s="55" t="s">
        <v>95</v>
      </c>
    </row>
    <row r="186" customFormat="false" ht="15" hidden="false" customHeight="false" outlineLevel="0" collapsed="false">
      <c r="A186" s="24" t="s">
        <v>60</v>
      </c>
      <c r="B186" s="23" t="s">
        <v>466</v>
      </c>
      <c r="C186" s="26" t="s">
        <v>91</v>
      </c>
      <c r="D186" s="25" t="n">
        <v>17.49</v>
      </c>
      <c r="E186" s="25"/>
      <c r="F186" s="25"/>
      <c r="G186" s="25"/>
      <c r="H186" s="25" t="n">
        <v>47.29</v>
      </c>
      <c r="I186" s="49" t="n">
        <v>12.39</v>
      </c>
      <c r="J186" s="25" t="n">
        <v>14.86</v>
      </c>
      <c r="K186" s="25"/>
      <c r="L186" s="56" t="s">
        <v>81</v>
      </c>
      <c r="M186" s="57" t="n">
        <v>12.39</v>
      </c>
      <c r="N186" s="58" t="n">
        <v>73.8</v>
      </c>
      <c r="O186" s="26" t="n">
        <v>4</v>
      </c>
      <c r="P186" s="62" t="s">
        <v>92</v>
      </c>
      <c r="Q186" s="60" t="s">
        <v>119</v>
      </c>
      <c r="R186" s="60" t="s">
        <v>467</v>
      </c>
      <c r="S186" s="61" t="s">
        <v>95</v>
      </c>
    </row>
    <row r="187" customFormat="false" ht="22.35" hidden="false" customHeight="false" outlineLevel="0" collapsed="false">
      <c r="A187" s="20" t="s">
        <v>60</v>
      </c>
      <c r="B187" s="19" t="s">
        <v>468</v>
      </c>
      <c r="C187" s="22" t="s">
        <v>91</v>
      </c>
      <c r="D187" s="21" t="n">
        <v>3.99</v>
      </c>
      <c r="E187" s="21"/>
      <c r="F187" s="21"/>
      <c r="G187" s="21"/>
      <c r="H187" s="21"/>
      <c r="I187" s="21"/>
      <c r="J187" s="49" t="n">
        <v>3.1</v>
      </c>
      <c r="K187" s="21"/>
      <c r="L187" s="50" t="s">
        <v>82</v>
      </c>
      <c r="M187" s="51" t="n">
        <v>3.1</v>
      </c>
      <c r="N187" s="52" t="n">
        <v>22.3</v>
      </c>
      <c r="O187" s="22" t="n">
        <v>2</v>
      </c>
      <c r="P187" s="53" t="s">
        <v>92</v>
      </c>
      <c r="Q187" s="54" t="s">
        <v>290</v>
      </c>
      <c r="R187" s="54" t="s">
        <v>469</v>
      </c>
      <c r="S187" s="55" t="s">
        <v>95</v>
      </c>
    </row>
    <row r="188" customFormat="false" ht="15" hidden="false" customHeight="false" outlineLevel="0" collapsed="false">
      <c r="A188" s="24" t="s">
        <v>60</v>
      </c>
      <c r="B188" s="23" t="s">
        <v>470</v>
      </c>
      <c r="C188" s="26" t="s">
        <v>91</v>
      </c>
      <c r="D188" s="25" t="n">
        <v>22.09</v>
      </c>
      <c r="E188" s="25"/>
      <c r="F188" s="25"/>
      <c r="G188" s="25"/>
      <c r="H188" s="25"/>
      <c r="I188" s="25"/>
      <c r="J188" s="25"/>
      <c r="K188" s="25"/>
      <c r="L188" s="56" t="s">
        <v>76</v>
      </c>
      <c r="M188" s="57" t="n">
        <v>22.09</v>
      </c>
      <c r="N188" s="58"/>
      <c r="O188" s="26" t="n">
        <v>1</v>
      </c>
      <c r="P188" s="64"/>
      <c r="Q188" s="60" t="s">
        <v>93</v>
      </c>
      <c r="R188" s="60" t="s">
        <v>471</v>
      </c>
      <c r="S188" s="61" t="s">
        <v>95</v>
      </c>
    </row>
    <row r="189" customFormat="false" ht="22.35" hidden="false" customHeight="false" outlineLevel="0" collapsed="false">
      <c r="A189" s="20" t="s">
        <v>60</v>
      </c>
      <c r="B189" s="19" t="s">
        <v>472</v>
      </c>
      <c r="C189" s="22" t="s">
        <v>91</v>
      </c>
      <c r="D189" s="21" t="n">
        <v>2.59</v>
      </c>
      <c r="E189" s="21"/>
      <c r="F189" s="21"/>
      <c r="G189" s="21"/>
      <c r="H189" s="49" t="n">
        <v>1.76</v>
      </c>
      <c r="I189" s="21"/>
      <c r="J189" s="21"/>
      <c r="K189" s="21"/>
      <c r="L189" s="50" t="s">
        <v>80</v>
      </c>
      <c r="M189" s="51" t="n">
        <v>1.76</v>
      </c>
      <c r="N189" s="52" t="n">
        <v>32</v>
      </c>
      <c r="O189" s="22" t="n">
        <v>2</v>
      </c>
      <c r="P189" s="59" t="s">
        <v>97</v>
      </c>
      <c r="Q189" s="54" t="s">
        <v>303</v>
      </c>
      <c r="R189" s="54" t="s">
        <v>473</v>
      </c>
      <c r="S189" s="55" t="s">
        <v>95</v>
      </c>
    </row>
    <row r="190" customFormat="false" ht="15" hidden="false" customHeight="false" outlineLevel="0" collapsed="false">
      <c r="A190" s="24" t="s">
        <v>60</v>
      </c>
      <c r="B190" s="23" t="s">
        <v>474</v>
      </c>
      <c r="C190" s="26" t="s">
        <v>91</v>
      </c>
      <c r="D190" s="25" t="n">
        <v>20.29</v>
      </c>
      <c r="E190" s="25"/>
      <c r="F190" s="25"/>
      <c r="G190" s="25"/>
      <c r="H190" s="25"/>
      <c r="I190" s="25"/>
      <c r="J190" s="25"/>
      <c r="K190" s="25"/>
      <c r="L190" s="56" t="s">
        <v>76</v>
      </c>
      <c r="M190" s="57" t="n">
        <v>20.29</v>
      </c>
      <c r="N190" s="58"/>
      <c r="O190" s="26" t="n">
        <v>1</v>
      </c>
      <c r="P190" s="64"/>
      <c r="Q190" s="60" t="s">
        <v>93</v>
      </c>
      <c r="R190" s="60" t="s">
        <v>475</v>
      </c>
      <c r="S190" s="61" t="s">
        <v>95</v>
      </c>
    </row>
    <row r="191" customFormat="false" ht="22.35" hidden="false" customHeight="false" outlineLevel="0" collapsed="false">
      <c r="A191" s="20" t="s">
        <v>60</v>
      </c>
      <c r="B191" s="19" t="s">
        <v>476</v>
      </c>
      <c r="C191" s="22" t="s">
        <v>137</v>
      </c>
      <c r="D191" s="21" t="n">
        <v>6.31</v>
      </c>
      <c r="E191" s="21"/>
      <c r="F191" s="21"/>
      <c r="G191" s="21"/>
      <c r="H191" s="49" t="n">
        <v>1.56</v>
      </c>
      <c r="I191" s="21" t="n">
        <v>343.64</v>
      </c>
      <c r="J191" s="21" t="n">
        <v>42.7</v>
      </c>
      <c r="K191" s="21"/>
      <c r="L191" s="50" t="s">
        <v>80</v>
      </c>
      <c r="M191" s="51" t="n">
        <v>1.56</v>
      </c>
      <c r="N191" s="52" t="n">
        <v>75.3</v>
      </c>
      <c r="O191" s="22" t="n">
        <v>4</v>
      </c>
      <c r="P191" s="59" t="s">
        <v>138</v>
      </c>
      <c r="Q191" s="54" t="s">
        <v>303</v>
      </c>
      <c r="R191" s="54" t="s">
        <v>477</v>
      </c>
      <c r="S191" s="55" t="s">
        <v>95</v>
      </c>
    </row>
    <row r="192" customFormat="false" ht="22.35" hidden="false" customHeight="false" outlineLevel="0" collapsed="false">
      <c r="A192" s="24" t="s">
        <v>60</v>
      </c>
      <c r="B192" s="23" t="s">
        <v>478</v>
      </c>
      <c r="C192" s="26" t="s">
        <v>91</v>
      </c>
      <c r="D192" s="25" t="n">
        <v>31.78</v>
      </c>
      <c r="E192" s="25"/>
      <c r="F192" s="25"/>
      <c r="G192" s="25"/>
      <c r="H192" s="25" t="n">
        <v>56.63</v>
      </c>
      <c r="I192" s="25" t="n">
        <v>188.61</v>
      </c>
      <c r="J192" s="49" t="n">
        <v>24.4</v>
      </c>
      <c r="K192" s="25"/>
      <c r="L192" s="56" t="s">
        <v>82</v>
      </c>
      <c r="M192" s="57" t="n">
        <v>24.4</v>
      </c>
      <c r="N192" s="58" t="n">
        <v>87.1</v>
      </c>
      <c r="O192" s="26" t="n">
        <v>4</v>
      </c>
      <c r="P192" s="59" t="s">
        <v>97</v>
      </c>
      <c r="Q192" s="60" t="s">
        <v>290</v>
      </c>
      <c r="R192" s="60" t="s">
        <v>479</v>
      </c>
      <c r="S192" s="61" t="s">
        <v>95</v>
      </c>
    </row>
    <row r="193" customFormat="false" ht="22.35" hidden="false" customHeight="false" outlineLevel="0" collapsed="false">
      <c r="A193" s="20" t="s">
        <v>60</v>
      </c>
      <c r="B193" s="19" t="s">
        <v>480</v>
      </c>
      <c r="C193" s="22" t="s">
        <v>91</v>
      </c>
      <c r="D193" s="49" t="n">
        <v>36.33</v>
      </c>
      <c r="E193" s="21"/>
      <c r="F193" s="21"/>
      <c r="G193" s="21"/>
      <c r="H193" s="21"/>
      <c r="I193" s="21"/>
      <c r="J193" s="21" t="n">
        <v>44.12</v>
      </c>
      <c r="K193" s="21"/>
      <c r="L193" s="50" t="s">
        <v>76</v>
      </c>
      <c r="M193" s="51" t="n">
        <v>36.33</v>
      </c>
      <c r="N193" s="52" t="n">
        <v>17.7</v>
      </c>
      <c r="O193" s="22" t="n">
        <v>2</v>
      </c>
      <c r="P193" s="53" t="s">
        <v>92</v>
      </c>
      <c r="Q193" s="54" t="s">
        <v>93</v>
      </c>
      <c r="R193" s="54" t="s">
        <v>481</v>
      </c>
      <c r="S193" s="55" t="s">
        <v>95</v>
      </c>
    </row>
    <row r="194" customFormat="false" ht="22.35" hidden="false" customHeight="false" outlineLevel="0" collapsed="false">
      <c r="A194" s="24" t="s">
        <v>60</v>
      </c>
      <c r="B194" s="23" t="s">
        <v>482</v>
      </c>
      <c r="C194" s="26" t="s">
        <v>91</v>
      </c>
      <c r="D194" s="25"/>
      <c r="E194" s="49" t="n">
        <v>28.67</v>
      </c>
      <c r="F194" s="25"/>
      <c r="G194" s="25"/>
      <c r="H194" s="25"/>
      <c r="I194" s="25" t="n">
        <v>178.51</v>
      </c>
      <c r="J194" s="25" t="n">
        <v>108.66</v>
      </c>
      <c r="K194" s="25"/>
      <c r="L194" s="56" t="s">
        <v>77</v>
      </c>
      <c r="M194" s="57" t="n">
        <v>28.67</v>
      </c>
      <c r="N194" s="58" t="n">
        <v>83.9</v>
      </c>
      <c r="O194" s="26" t="n">
        <v>3</v>
      </c>
      <c r="P194" s="59" t="s">
        <v>97</v>
      </c>
      <c r="Q194" s="60" t="s">
        <v>114</v>
      </c>
      <c r="R194" s="60" t="s">
        <v>483</v>
      </c>
      <c r="S194" s="26"/>
    </row>
    <row r="195" customFormat="false" ht="22.35" hidden="false" customHeight="false" outlineLevel="0" collapsed="false">
      <c r="A195" s="20" t="s">
        <v>60</v>
      </c>
      <c r="B195" s="19" t="s">
        <v>484</v>
      </c>
      <c r="C195" s="22" t="s">
        <v>91</v>
      </c>
      <c r="D195" s="21" t="n">
        <v>21.64</v>
      </c>
      <c r="E195" s="21"/>
      <c r="F195" s="21"/>
      <c r="G195" s="21"/>
      <c r="H195" s="21"/>
      <c r="I195" s="21"/>
      <c r="J195" s="21"/>
      <c r="K195" s="21"/>
      <c r="L195" s="50" t="s">
        <v>76</v>
      </c>
      <c r="M195" s="51" t="n">
        <v>21.64</v>
      </c>
      <c r="N195" s="52"/>
      <c r="O195" s="22" t="n">
        <v>1</v>
      </c>
      <c r="P195" s="63"/>
      <c r="Q195" s="54" t="s">
        <v>93</v>
      </c>
      <c r="R195" s="54" t="s">
        <v>485</v>
      </c>
      <c r="S195" s="55" t="s">
        <v>95</v>
      </c>
    </row>
    <row r="196" customFormat="false" ht="22.35" hidden="false" customHeight="false" outlineLevel="0" collapsed="false">
      <c r="A196" s="24" t="s">
        <v>60</v>
      </c>
      <c r="B196" s="23" t="s">
        <v>486</v>
      </c>
      <c r="C196" s="26" t="s">
        <v>91</v>
      </c>
      <c r="D196" s="25" t="n">
        <v>8.49</v>
      </c>
      <c r="E196" s="25"/>
      <c r="F196" s="25"/>
      <c r="G196" s="25"/>
      <c r="H196" s="49" t="n">
        <v>7.98</v>
      </c>
      <c r="I196" s="25" t="n">
        <v>29.62</v>
      </c>
      <c r="J196" s="25" t="n">
        <v>35.43</v>
      </c>
      <c r="K196" s="25"/>
      <c r="L196" s="56" t="s">
        <v>80</v>
      </c>
      <c r="M196" s="57" t="n">
        <v>7.98</v>
      </c>
      <c r="N196" s="58" t="n">
        <v>77.5</v>
      </c>
      <c r="O196" s="26" t="n">
        <v>4</v>
      </c>
      <c r="P196" s="59" t="s">
        <v>138</v>
      </c>
      <c r="Q196" s="60" t="s">
        <v>303</v>
      </c>
      <c r="R196" s="60" t="s">
        <v>487</v>
      </c>
      <c r="S196" s="61" t="s">
        <v>95</v>
      </c>
    </row>
    <row r="197" customFormat="false" ht="15" hidden="false" customHeight="false" outlineLevel="0" collapsed="false">
      <c r="A197" s="20" t="s">
        <v>60</v>
      </c>
      <c r="B197" s="19" t="s">
        <v>488</v>
      </c>
      <c r="C197" s="22" t="s">
        <v>91</v>
      </c>
      <c r="D197" s="49" t="n">
        <v>14.98</v>
      </c>
      <c r="E197" s="21"/>
      <c r="F197" s="21"/>
      <c r="G197" s="21"/>
      <c r="H197" s="21" t="n">
        <v>18.72</v>
      </c>
      <c r="I197" s="21" t="n">
        <v>27.3</v>
      </c>
      <c r="J197" s="21" t="n">
        <v>130.59</v>
      </c>
      <c r="K197" s="21"/>
      <c r="L197" s="50" t="s">
        <v>76</v>
      </c>
      <c r="M197" s="51" t="n">
        <v>14.98</v>
      </c>
      <c r="N197" s="52" t="n">
        <v>88.5</v>
      </c>
      <c r="O197" s="22" t="n">
        <v>4</v>
      </c>
      <c r="P197" s="59" t="s">
        <v>97</v>
      </c>
      <c r="Q197" s="54" t="s">
        <v>93</v>
      </c>
      <c r="R197" s="54" t="s">
        <v>489</v>
      </c>
      <c r="S197" s="55" t="s">
        <v>95</v>
      </c>
    </row>
    <row r="198" customFormat="false" ht="22.35" hidden="false" customHeight="false" outlineLevel="0" collapsed="false">
      <c r="A198" s="24" t="s">
        <v>60</v>
      </c>
      <c r="B198" s="23" t="s">
        <v>490</v>
      </c>
      <c r="C198" s="26" t="s">
        <v>137</v>
      </c>
      <c r="D198" s="49" t="n">
        <v>79.4</v>
      </c>
      <c r="E198" s="25"/>
      <c r="F198" s="25"/>
      <c r="G198" s="25"/>
      <c r="H198" s="25"/>
      <c r="I198" s="25" t="n">
        <v>25.9</v>
      </c>
      <c r="J198" s="25"/>
      <c r="K198" s="25"/>
      <c r="L198" s="56" t="s">
        <v>76</v>
      </c>
      <c r="M198" s="57" t="n">
        <v>79.4</v>
      </c>
      <c r="N198" s="58"/>
      <c r="O198" s="26" t="n">
        <v>2</v>
      </c>
      <c r="P198" s="59" t="s">
        <v>138</v>
      </c>
      <c r="Q198" s="60" t="s">
        <v>93</v>
      </c>
      <c r="R198" s="60" t="s">
        <v>491</v>
      </c>
      <c r="S198" s="61" t="s">
        <v>95</v>
      </c>
    </row>
    <row r="199" customFormat="false" ht="22.35" hidden="false" customHeight="false" outlineLevel="0" collapsed="false">
      <c r="A199" s="20" t="s">
        <v>60</v>
      </c>
      <c r="B199" s="19" t="s">
        <v>492</v>
      </c>
      <c r="C199" s="22" t="s">
        <v>493</v>
      </c>
      <c r="D199" s="49" t="n">
        <v>8.64</v>
      </c>
      <c r="E199" s="21" t="n">
        <v>69.69</v>
      </c>
      <c r="F199" s="21"/>
      <c r="G199" s="21"/>
      <c r="H199" s="21"/>
      <c r="I199" s="21" t="n">
        <v>9.12</v>
      </c>
      <c r="J199" s="21"/>
      <c r="K199" s="21"/>
      <c r="L199" s="50" t="s">
        <v>76</v>
      </c>
      <c r="M199" s="51" t="n">
        <v>8.64</v>
      </c>
      <c r="N199" s="52"/>
      <c r="O199" s="22" t="n">
        <v>3</v>
      </c>
      <c r="P199" s="59" t="s">
        <v>138</v>
      </c>
      <c r="Q199" s="54" t="s">
        <v>93</v>
      </c>
      <c r="R199" s="54" t="s">
        <v>494</v>
      </c>
      <c r="S199" s="55" t="s">
        <v>95</v>
      </c>
    </row>
    <row r="200" customFormat="false" ht="22.35" hidden="false" customHeight="false" outlineLevel="0" collapsed="false">
      <c r="A200" s="24" t="s">
        <v>60</v>
      </c>
      <c r="B200" s="23" t="s">
        <v>495</v>
      </c>
      <c r="C200" s="26" t="s">
        <v>203</v>
      </c>
      <c r="D200" s="49" t="n">
        <v>24.74</v>
      </c>
      <c r="E200" s="25"/>
      <c r="F200" s="25"/>
      <c r="G200" s="25"/>
      <c r="H200" s="25"/>
      <c r="I200" s="25" t="n">
        <v>143.07</v>
      </c>
      <c r="J200" s="25"/>
      <c r="K200" s="25"/>
      <c r="L200" s="56" t="s">
        <v>76</v>
      </c>
      <c r="M200" s="57" t="n">
        <v>24.74</v>
      </c>
      <c r="N200" s="58" t="n">
        <v>82.7</v>
      </c>
      <c r="O200" s="26" t="n">
        <v>2</v>
      </c>
      <c r="P200" s="62" t="s">
        <v>92</v>
      </c>
      <c r="Q200" s="60" t="s">
        <v>93</v>
      </c>
      <c r="R200" s="60" t="s">
        <v>496</v>
      </c>
      <c r="S200" s="61" t="s">
        <v>95</v>
      </c>
    </row>
    <row r="201" customFormat="false" ht="22.35" hidden="false" customHeight="false" outlineLevel="0" collapsed="false">
      <c r="A201" s="20" t="s">
        <v>60</v>
      </c>
      <c r="B201" s="19" t="s">
        <v>497</v>
      </c>
      <c r="C201" s="22" t="s">
        <v>91</v>
      </c>
      <c r="D201" s="49" t="n">
        <v>1.51</v>
      </c>
      <c r="E201" s="21"/>
      <c r="F201" s="21"/>
      <c r="G201" s="21"/>
      <c r="H201" s="21" t="n">
        <v>1.61</v>
      </c>
      <c r="I201" s="21" t="n">
        <v>2.18</v>
      </c>
      <c r="J201" s="21"/>
      <c r="K201" s="21"/>
      <c r="L201" s="50" t="s">
        <v>76</v>
      </c>
      <c r="M201" s="51" t="n">
        <v>1.51</v>
      </c>
      <c r="N201" s="52" t="n">
        <v>30.7</v>
      </c>
      <c r="O201" s="22" t="n">
        <v>3</v>
      </c>
      <c r="P201" s="53" t="s">
        <v>92</v>
      </c>
      <c r="Q201" s="54" t="s">
        <v>93</v>
      </c>
      <c r="R201" s="54" t="s">
        <v>498</v>
      </c>
      <c r="S201" s="55" t="s">
        <v>95</v>
      </c>
    </row>
    <row r="202" customFormat="false" ht="15" hidden="false" customHeight="false" outlineLevel="0" collapsed="false">
      <c r="A202" s="24" t="s">
        <v>60</v>
      </c>
      <c r="B202" s="23" t="s">
        <v>499</v>
      </c>
      <c r="C202" s="26" t="s">
        <v>500</v>
      </c>
      <c r="D202" s="49" t="n">
        <v>52.41</v>
      </c>
      <c r="E202" s="25"/>
      <c r="F202" s="25"/>
      <c r="G202" s="25"/>
      <c r="H202" s="25" t="n">
        <v>11.7</v>
      </c>
      <c r="I202" s="25" t="n">
        <v>14.31</v>
      </c>
      <c r="J202" s="25" t="n">
        <v>32</v>
      </c>
      <c r="K202" s="25"/>
      <c r="L202" s="56" t="s">
        <v>76</v>
      </c>
      <c r="M202" s="57" t="n">
        <v>52.41</v>
      </c>
      <c r="N202" s="58"/>
      <c r="O202" s="26" t="n">
        <v>4</v>
      </c>
      <c r="P202" s="59" t="s">
        <v>138</v>
      </c>
      <c r="Q202" s="60" t="s">
        <v>93</v>
      </c>
      <c r="R202" s="60" t="s">
        <v>501</v>
      </c>
      <c r="S202" s="61" t="s">
        <v>95</v>
      </c>
    </row>
    <row r="203" customFormat="false" ht="15" hidden="false" customHeight="false" outlineLevel="0" collapsed="false">
      <c r="A203" s="20" t="s">
        <v>61</v>
      </c>
      <c r="B203" s="19" t="s">
        <v>502</v>
      </c>
      <c r="C203" s="22" t="s">
        <v>91</v>
      </c>
      <c r="D203" s="21" t="n">
        <v>4.7</v>
      </c>
      <c r="E203" s="21"/>
      <c r="F203" s="21"/>
      <c r="G203" s="21"/>
      <c r="H203" s="21"/>
      <c r="I203" s="21"/>
      <c r="J203" s="21"/>
      <c r="K203" s="21"/>
      <c r="L203" s="50" t="s">
        <v>76</v>
      </c>
      <c r="M203" s="51" t="n">
        <v>4.7</v>
      </c>
      <c r="N203" s="52"/>
      <c r="O203" s="22" t="n">
        <v>1</v>
      </c>
      <c r="P203" s="63"/>
      <c r="Q203" s="54" t="s">
        <v>93</v>
      </c>
      <c r="R203" s="54" t="s">
        <v>503</v>
      </c>
      <c r="S203" s="55" t="s">
        <v>95</v>
      </c>
    </row>
    <row r="204" customFormat="false" ht="15" hidden="false" customHeight="false" outlineLevel="0" collapsed="false">
      <c r="A204" s="24" t="s">
        <v>61</v>
      </c>
      <c r="B204" s="23" t="s">
        <v>504</v>
      </c>
      <c r="C204" s="26" t="s">
        <v>91</v>
      </c>
      <c r="D204" s="49" t="n">
        <v>100.43</v>
      </c>
      <c r="E204" s="25"/>
      <c r="F204" s="25"/>
      <c r="G204" s="25"/>
      <c r="H204" s="25"/>
      <c r="I204" s="25"/>
      <c r="J204" s="25" t="n">
        <v>153.33</v>
      </c>
      <c r="K204" s="25"/>
      <c r="L204" s="56" t="s">
        <v>76</v>
      </c>
      <c r="M204" s="57" t="n">
        <v>100.43</v>
      </c>
      <c r="N204" s="58" t="n">
        <v>34.5</v>
      </c>
      <c r="O204" s="26" t="n">
        <v>2</v>
      </c>
      <c r="P204" s="62" t="s">
        <v>92</v>
      </c>
      <c r="Q204" s="60" t="s">
        <v>93</v>
      </c>
      <c r="R204" s="60" t="s">
        <v>505</v>
      </c>
      <c r="S204" s="61" t="s">
        <v>95</v>
      </c>
    </row>
    <row r="205" customFormat="false" ht="15" hidden="false" customHeight="false" outlineLevel="0" collapsed="false">
      <c r="A205" s="20" t="s">
        <v>61</v>
      </c>
      <c r="B205" s="19" t="s">
        <v>506</v>
      </c>
      <c r="C205" s="22" t="s">
        <v>91</v>
      </c>
      <c r="D205" s="49" t="n">
        <v>4.7</v>
      </c>
      <c r="E205" s="21"/>
      <c r="F205" s="21"/>
      <c r="G205" s="21"/>
      <c r="H205" s="21"/>
      <c r="I205" s="21"/>
      <c r="J205" s="21" t="n">
        <v>24.83</v>
      </c>
      <c r="K205" s="21"/>
      <c r="L205" s="50" t="s">
        <v>76</v>
      </c>
      <c r="M205" s="51" t="n">
        <v>4.7</v>
      </c>
      <c r="N205" s="52" t="n">
        <v>81.1</v>
      </c>
      <c r="O205" s="22" t="n">
        <v>2</v>
      </c>
      <c r="P205" s="59" t="s">
        <v>97</v>
      </c>
      <c r="Q205" s="54" t="s">
        <v>93</v>
      </c>
      <c r="R205" s="54" t="s">
        <v>503</v>
      </c>
      <c r="S205" s="55" t="s">
        <v>95</v>
      </c>
    </row>
    <row r="206" customFormat="false" ht="22.35" hidden="false" customHeight="false" outlineLevel="0" collapsed="false">
      <c r="A206" s="24" t="s">
        <v>61</v>
      </c>
      <c r="B206" s="23" t="s">
        <v>507</v>
      </c>
      <c r="C206" s="26" t="s">
        <v>91</v>
      </c>
      <c r="D206" s="25"/>
      <c r="E206" s="25" t="n">
        <v>54.97</v>
      </c>
      <c r="F206" s="25"/>
      <c r="G206" s="25"/>
      <c r="H206" s="25"/>
      <c r="I206" s="25"/>
      <c r="J206" s="25"/>
      <c r="K206" s="25"/>
      <c r="L206" s="56" t="s">
        <v>77</v>
      </c>
      <c r="M206" s="57" t="n">
        <v>54.97</v>
      </c>
      <c r="N206" s="58"/>
      <c r="O206" s="26" t="n">
        <v>1</v>
      </c>
      <c r="P206" s="64"/>
      <c r="Q206" s="60" t="s">
        <v>114</v>
      </c>
      <c r="R206" s="60" t="s">
        <v>508</v>
      </c>
      <c r="S206" s="26"/>
    </row>
    <row r="207" customFormat="false" ht="22.35" hidden="false" customHeight="false" outlineLevel="0" collapsed="false">
      <c r="A207" s="20" t="s">
        <v>61</v>
      </c>
      <c r="B207" s="19" t="s">
        <v>509</v>
      </c>
      <c r="C207" s="22" t="s">
        <v>91</v>
      </c>
      <c r="D207" s="21"/>
      <c r="E207" s="21" t="n">
        <v>288.79</v>
      </c>
      <c r="F207" s="21"/>
      <c r="G207" s="21"/>
      <c r="H207" s="21"/>
      <c r="I207" s="21"/>
      <c r="J207" s="49" t="n">
        <v>106.67</v>
      </c>
      <c r="K207" s="21"/>
      <c r="L207" s="50" t="s">
        <v>82</v>
      </c>
      <c r="M207" s="51" t="n">
        <v>106.67</v>
      </c>
      <c r="N207" s="52" t="n">
        <v>63.1</v>
      </c>
      <c r="O207" s="22" t="n">
        <v>2</v>
      </c>
      <c r="P207" s="53" t="s">
        <v>92</v>
      </c>
      <c r="Q207" s="54" t="s">
        <v>290</v>
      </c>
      <c r="R207" s="54" t="s">
        <v>510</v>
      </c>
      <c r="S207" s="55" t="s">
        <v>95</v>
      </c>
    </row>
    <row r="208" customFormat="false" ht="22.35" hidden="false" customHeight="false" outlineLevel="0" collapsed="false">
      <c r="A208" s="24" t="s">
        <v>61</v>
      </c>
      <c r="B208" s="23" t="s">
        <v>511</v>
      </c>
      <c r="C208" s="26" t="s">
        <v>91</v>
      </c>
      <c r="D208" s="49" t="n">
        <v>3.93</v>
      </c>
      <c r="E208" s="25" t="n">
        <v>64.21</v>
      </c>
      <c r="F208" s="25"/>
      <c r="G208" s="25"/>
      <c r="H208" s="25"/>
      <c r="I208" s="25"/>
      <c r="J208" s="25" t="n">
        <v>71.86</v>
      </c>
      <c r="K208" s="25"/>
      <c r="L208" s="56" t="s">
        <v>76</v>
      </c>
      <c r="M208" s="57" t="n">
        <v>3.93</v>
      </c>
      <c r="N208" s="58" t="n">
        <v>94.5</v>
      </c>
      <c r="O208" s="26" t="n">
        <v>3</v>
      </c>
      <c r="P208" s="59" t="s">
        <v>97</v>
      </c>
      <c r="Q208" s="60" t="s">
        <v>93</v>
      </c>
      <c r="R208" s="60" t="s">
        <v>512</v>
      </c>
      <c r="S208" s="61" t="s">
        <v>95</v>
      </c>
    </row>
    <row r="209" customFormat="false" ht="15" hidden="false" customHeight="false" outlineLevel="0" collapsed="false">
      <c r="A209" s="20" t="s">
        <v>61</v>
      </c>
      <c r="B209" s="19" t="s">
        <v>513</v>
      </c>
      <c r="C209" s="22" t="s">
        <v>91</v>
      </c>
      <c r="D209" s="21" t="n">
        <v>472.58</v>
      </c>
      <c r="E209" s="21"/>
      <c r="F209" s="21"/>
      <c r="G209" s="21"/>
      <c r="H209" s="21"/>
      <c r="I209" s="21"/>
      <c r="J209" s="21"/>
      <c r="K209" s="21"/>
      <c r="L209" s="50" t="s">
        <v>76</v>
      </c>
      <c r="M209" s="51" t="n">
        <v>472.58</v>
      </c>
      <c r="N209" s="52"/>
      <c r="O209" s="22" t="n">
        <v>1</v>
      </c>
      <c r="P209" s="63"/>
      <c r="Q209" s="54" t="s">
        <v>93</v>
      </c>
      <c r="R209" s="54" t="s">
        <v>236</v>
      </c>
      <c r="S209" s="55" t="s">
        <v>95</v>
      </c>
    </row>
    <row r="210" customFormat="false" ht="22.35" hidden="false" customHeight="false" outlineLevel="0" collapsed="false">
      <c r="A210" s="24" t="s">
        <v>61</v>
      </c>
      <c r="B210" s="23" t="s">
        <v>514</v>
      </c>
      <c r="C210" s="26" t="s">
        <v>91</v>
      </c>
      <c r="D210" s="25"/>
      <c r="E210" s="25" t="n">
        <v>931.57</v>
      </c>
      <c r="F210" s="25"/>
      <c r="G210" s="25"/>
      <c r="H210" s="25"/>
      <c r="I210" s="25"/>
      <c r="J210" s="25"/>
      <c r="K210" s="25"/>
      <c r="L210" s="56" t="s">
        <v>77</v>
      </c>
      <c r="M210" s="57" t="n">
        <v>931.57</v>
      </c>
      <c r="N210" s="58"/>
      <c r="O210" s="26" t="n">
        <v>1</v>
      </c>
      <c r="P210" s="64"/>
      <c r="Q210" s="60" t="s">
        <v>114</v>
      </c>
      <c r="R210" s="60" t="s">
        <v>515</v>
      </c>
      <c r="S210" s="26"/>
    </row>
    <row r="211" customFormat="false" ht="22.35" hidden="false" customHeight="false" outlineLevel="0" collapsed="false">
      <c r="A211" s="20" t="s">
        <v>61</v>
      </c>
      <c r="B211" s="19" t="s">
        <v>516</v>
      </c>
      <c r="C211" s="22" t="s">
        <v>91</v>
      </c>
      <c r="D211" s="21"/>
      <c r="E211" s="21"/>
      <c r="F211" s="21"/>
      <c r="G211" s="21"/>
      <c r="H211" s="21"/>
      <c r="I211" s="21"/>
      <c r="J211" s="21" t="n">
        <v>104.44</v>
      </c>
      <c r="K211" s="21"/>
      <c r="L211" s="50" t="s">
        <v>82</v>
      </c>
      <c r="M211" s="51" t="n">
        <v>104.44</v>
      </c>
      <c r="N211" s="52"/>
      <c r="O211" s="22" t="n">
        <v>1</v>
      </c>
      <c r="P211" s="63"/>
      <c r="Q211" s="54" t="s">
        <v>290</v>
      </c>
      <c r="R211" s="54" t="s">
        <v>517</v>
      </c>
      <c r="S211" s="55" t="s">
        <v>95</v>
      </c>
    </row>
    <row r="212" customFormat="false" ht="22.35" hidden="false" customHeight="false" outlineLevel="0" collapsed="false">
      <c r="A212" s="24" t="s">
        <v>61</v>
      </c>
      <c r="B212" s="23" t="s">
        <v>518</v>
      </c>
      <c r="C212" s="26" t="s">
        <v>519</v>
      </c>
      <c r="D212" s="49" t="n">
        <v>36.23</v>
      </c>
      <c r="E212" s="25" t="n">
        <v>139.69</v>
      </c>
      <c r="F212" s="25"/>
      <c r="G212" s="25"/>
      <c r="H212" s="25" t="n">
        <v>46.3</v>
      </c>
      <c r="I212" s="25" t="n">
        <v>25.09</v>
      </c>
      <c r="J212" s="25" t="n">
        <v>49.32</v>
      </c>
      <c r="K212" s="25"/>
      <c r="L212" s="56" t="s">
        <v>76</v>
      </c>
      <c r="M212" s="57" t="n">
        <v>36.23</v>
      </c>
      <c r="N212" s="58"/>
      <c r="O212" s="26" t="n">
        <v>5</v>
      </c>
      <c r="P212" s="59" t="s">
        <v>138</v>
      </c>
      <c r="Q212" s="60" t="s">
        <v>93</v>
      </c>
      <c r="R212" s="60" t="s">
        <v>520</v>
      </c>
      <c r="S212" s="61" t="s">
        <v>95</v>
      </c>
    </row>
    <row r="213" customFormat="false" ht="22.35" hidden="false" customHeight="false" outlineLevel="0" collapsed="false">
      <c r="A213" s="20" t="s">
        <v>61</v>
      </c>
      <c r="B213" s="19" t="s">
        <v>521</v>
      </c>
      <c r="C213" s="22" t="s">
        <v>519</v>
      </c>
      <c r="D213" s="21"/>
      <c r="E213" s="21" t="n">
        <v>90.09</v>
      </c>
      <c r="F213" s="21" t="n">
        <v>18.27</v>
      </c>
      <c r="G213" s="21"/>
      <c r="H213" s="21" t="n">
        <v>16.92</v>
      </c>
      <c r="I213" s="49" t="n">
        <v>21.84</v>
      </c>
      <c r="J213" s="21" t="n">
        <v>17.41</v>
      </c>
      <c r="K213" s="21"/>
      <c r="L213" s="50" t="s">
        <v>81</v>
      </c>
      <c r="M213" s="51" t="n">
        <v>21.84</v>
      </c>
      <c r="N213" s="52"/>
      <c r="O213" s="22" t="n">
        <v>5</v>
      </c>
      <c r="P213" s="59" t="s">
        <v>138</v>
      </c>
      <c r="Q213" s="54" t="s">
        <v>169</v>
      </c>
      <c r="R213" s="54" t="s">
        <v>522</v>
      </c>
      <c r="S213" s="55" t="s">
        <v>95</v>
      </c>
    </row>
    <row r="214" customFormat="false" ht="15" hidden="false" customHeight="false" outlineLevel="0" collapsed="false">
      <c r="A214" s="24" t="s">
        <v>61</v>
      </c>
      <c r="B214" s="23" t="s">
        <v>523</v>
      </c>
      <c r="C214" s="26" t="s">
        <v>91</v>
      </c>
      <c r="D214" s="25"/>
      <c r="E214" s="25"/>
      <c r="F214" s="49" t="n">
        <v>64.36</v>
      </c>
      <c r="G214" s="25"/>
      <c r="H214" s="25"/>
      <c r="I214" s="25"/>
      <c r="J214" s="25" t="n">
        <v>488.17</v>
      </c>
      <c r="K214" s="25"/>
      <c r="L214" s="56" t="s">
        <v>78</v>
      </c>
      <c r="M214" s="57" t="n">
        <v>64.36</v>
      </c>
      <c r="N214" s="58" t="n">
        <v>86.8</v>
      </c>
      <c r="O214" s="26" t="n">
        <v>2</v>
      </c>
      <c r="P214" s="59" t="s">
        <v>97</v>
      </c>
      <c r="Q214" s="60" t="s">
        <v>93</v>
      </c>
      <c r="R214" s="60" t="s">
        <v>524</v>
      </c>
      <c r="S214" s="61" t="s">
        <v>95</v>
      </c>
    </row>
    <row r="215" customFormat="false" ht="22.35" hidden="false" customHeight="false" outlineLevel="0" collapsed="false">
      <c r="A215" s="20" t="s">
        <v>62</v>
      </c>
      <c r="B215" s="19" t="s">
        <v>525</v>
      </c>
      <c r="C215" s="22" t="s">
        <v>91</v>
      </c>
      <c r="D215" s="21"/>
      <c r="E215" s="21"/>
      <c r="F215" s="21"/>
      <c r="G215" s="49" t="n">
        <v>10.36</v>
      </c>
      <c r="H215" s="21" t="n">
        <v>13.53</v>
      </c>
      <c r="I215" s="21"/>
      <c r="J215" s="21"/>
      <c r="K215" s="21"/>
      <c r="L215" s="50" t="s">
        <v>79</v>
      </c>
      <c r="M215" s="51" t="n">
        <v>10.36</v>
      </c>
      <c r="N215" s="52" t="n">
        <v>23.4</v>
      </c>
      <c r="O215" s="22" t="n">
        <v>2</v>
      </c>
      <c r="P215" s="53" t="s">
        <v>92</v>
      </c>
      <c r="Q215" s="54" t="s">
        <v>313</v>
      </c>
      <c r="R215" s="54" t="s">
        <v>526</v>
      </c>
      <c r="S215" s="22"/>
    </row>
    <row r="216" customFormat="false" ht="15" hidden="false" customHeight="false" outlineLevel="0" collapsed="false">
      <c r="A216" s="24" t="s">
        <v>62</v>
      </c>
      <c r="B216" s="23" t="s">
        <v>527</v>
      </c>
      <c r="C216" s="26" t="s">
        <v>91</v>
      </c>
      <c r="D216" s="25"/>
      <c r="E216" s="25"/>
      <c r="F216" s="25"/>
      <c r="G216" s="25" t="n">
        <v>28.37</v>
      </c>
      <c r="H216" s="25" t="n">
        <v>33.27</v>
      </c>
      <c r="I216" s="49" t="n">
        <v>18.94</v>
      </c>
      <c r="J216" s="25"/>
      <c r="K216" s="25"/>
      <c r="L216" s="56" t="s">
        <v>81</v>
      </c>
      <c r="M216" s="57" t="n">
        <v>18.94</v>
      </c>
      <c r="N216" s="58" t="n">
        <v>43.1</v>
      </c>
      <c r="O216" s="26" t="n">
        <v>3</v>
      </c>
      <c r="P216" s="62" t="s">
        <v>92</v>
      </c>
      <c r="Q216" s="60" t="s">
        <v>169</v>
      </c>
      <c r="R216" s="60" t="s">
        <v>528</v>
      </c>
      <c r="S216" s="61" t="s">
        <v>95</v>
      </c>
    </row>
    <row r="217" customFormat="false" ht="15" hidden="false" customHeight="false" outlineLevel="0" collapsed="false">
      <c r="A217" s="20" t="s">
        <v>62</v>
      </c>
      <c r="B217" s="19" t="s">
        <v>529</v>
      </c>
      <c r="C217" s="22" t="s">
        <v>91</v>
      </c>
      <c r="D217" s="21"/>
      <c r="E217" s="21"/>
      <c r="F217" s="21"/>
      <c r="G217" s="21"/>
      <c r="H217" s="21" t="n">
        <v>59.44</v>
      </c>
      <c r="I217" s="49" t="n">
        <v>32.08</v>
      </c>
      <c r="J217" s="21"/>
      <c r="K217" s="21"/>
      <c r="L217" s="50" t="s">
        <v>81</v>
      </c>
      <c r="M217" s="51" t="n">
        <v>32.08</v>
      </c>
      <c r="N217" s="52" t="n">
        <v>46</v>
      </c>
      <c r="O217" s="22" t="n">
        <v>2</v>
      </c>
      <c r="P217" s="53" t="s">
        <v>92</v>
      </c>
      <c r="Q217" s="54" t="s">
        <v>169</v>
      </c>
      <c r="R217" s="54" t="s">
        <v>530</v>
      </c>
      <c r="S217" s="55" t="s">
        <v>95</v>
      </c>
    </row>
    <row r="218" customFormat="false" ht="22.35" hidden="false" customHeight="false" outlineLevel="0" collapsed="false">
      <c r="A218" s="24" t="s">
        <v>62</v>
      </c>
      <c r="B218" s="23" t="s">
        <v>531</v>
      </c>
      <c r="C218" s="26" t="s">
        <v>91</v>
      </c>
      <c r="D218" s="25"/>
      <c r="E218" s="25"/>
      <c r="F218" s="25"/>
      <c r="G218" s="49" t="n">
        <v>22.59</v>
      </c>
      <c r="H218" s="25" t="n">
        <v>39.51</v>
      </c>
      <c r="I218" s="25" t="n">
        <v>28.4</v>
      </c>
      <c r="J218" s="25"/>
      <c r="K218" s="25"/>
      <c r="L218" s="56" t="s">
        <v>79</v>
      </c>
      <c r="M218" s="57" t="n">
        <v>22.59</v>
      </c>
      <c r="N218" s="58" t="n">
        <v>42.8</v>
      </c>
      <c r="O218" s="26" t="n">
        <v>3</v>
      </c>
      <c r="P218" s="62" t="s">
        <v>92</v>
      </c>
      <c r="Q218" s="60" t="s">
        <v>313</v>
      </c>
      <c r="R218" s="60" t="s">
        <v>532</v>
      </c>
      <c r="S218" s="61" t="s">
        <v>95</v>
      </c>
    </row>
    <row r="219" customFormat="false" ht="15" hidden="false" customHeight="false" outlineLevel="0" collapsed="false">
      <c r="A219" s="20" t="s">
        <v>62</v>
      </c>
      <c r="B219" s="19" t="s">
        <v>533</v>
      </c>
      <c r="C219" s="22" t="s">
        <v>91</v>
      </c>
      <c r="D219" s="21" t="n">
        <v>194.96</v>
      </c>
      <c r="E219" s="21"/>
      <c r="F219" s="21"/>
      <c r="G219" s="21" t="n">
        <v>2.76</v>
      </c>
      <c r="H219" s="21" t="n">
        <v>10.94</v>
      </c>
      <c r="I219" s="21" t="n">
        <v>2.76</v>
      </c>
      <c r="J219" s="21"/>
      <c r="K219" s="49" t="n">
        <v>2.64</v>
      </c>
      <c r="L219" s="50" t="s">
        <v>83</v>
      </c>
      <c r="M219" s="51" t="n">
        <v>2.64</v>
      </c>
      <c r="N219" s="52" t="n">
        <v>98.6</v>
      </c>
      <c r="O219" s="22" t="n">
        <v>5</v>
      </c>
      <c r="P219" s="59" t="s">
        <v>138</v>
      </c>
      <c r="Q219" s="54" t="s">
        <v>534</v>
      </c>
      <c r="R219" s="54" t="s">
        <v>535</v>
      </c>
      <c r="S219" s="55" t="s">
        <v>95</v>
      </c>
    </row>
    <row r="220" customFormat="false" ht="22.35" hidden="false" customHeight="false" outlineLevel="0" collapsed="false">
      <c r="A220" s="24" t="s">
        <v>62</v>
      </c>
      <c r="B220" s="23" t="s">
        <v>536</v>
      </c>
      <c r="C220" s="26" t="s">
        <v>91</v>
      </c>
      <c r="D220" s="25"/>
      <c r="E220" s="25"/>
      <c r="F220" s="25"/>
      <c r="G220" s="25" t="n">
        <v>3.08</v>
      </c>
      <c r="H220" s="25" t="n">
        <v>6.57</v>
      </c>
      <c r="I220" s="49" t="n">
        <v>2.68</v>
      </c>
      <c r="J220" s="25"/>
      <c r="K220" s="25"/>
      <c r="L220" s="56" t="s">
        <v>81</v>
      </c>
      <c r="M220" s="57" t="n">
        <v>2.68</v>
      </c>
      <c r="N220" s="58" t="n">
        <v>59.2</v>
      </c>
      <c r="O220" s="26" t="n">
        <v>3</v>
      </c>
      <c r="P220" s="59" t="s">
        <v>138</v>
      </c>
      <c r="Q220" s="60" t="s">
        <v>169</v>
      </c>
      <c r="R220" s="60" t="s">
        <v>537</v>
      </c>
      <c r="S220" s="61" t="s">
        <v>95</v>
      </c>
    </row>
    <row r="221" customFormat="false" ht="22.35" hidden="false" customHeight="false" outlineLevel="0" collapsed="false">
      <c r="A221" s="20" t="s">
        <v>62</v>
      </c>
      <c r="B221" s="19" t="s">
        <v>538</v>
      </c>
      <c r="C221" s="22" t="s">
        <v>91</v>
      </c>
      <c r="D221" s="21"/>
      <c r="E221" s="21"/>
      <c r="F221" s="21"/>
      <c r="G221" s="21"/>
      <c r="H221" s="49" t="n">
        <v>7.38</v>
      </c>
      <c r="I221" s="21" t="n">
        <v>33.48</v>
      </c>
      <c r="J221" s="21"/>
      <c r="K221" s="21"/>
      <c r="L221" s="50" t="s">
        <v>80</v>
      </c>
      <c r="M221" s="51" t="n">
        <v>7.38</v>
      </c>
      <c r="N221" s="52" t="n">
        <v>78</v>
      </c>
      <c r="O221" s="22" t="n">
        <v>2</v>
      </c>
      <c r="P221" s="59" t="s">
        <v>97</v>
      </c>
      <c r="Q221" s="54" t="s">
        <v>303</v>
      </c>
      <c r="R221" s="54" t="s">
        <v>539</v>
      </c>
      <c r="S221" s="55" t="s">
        <v>95</v>
      </c>
    </row>
    <row r="222" customFormat="false" ht="22.35" hidden="false" customHeight="false" outlineLevel="0" collapsed="false">
      <c r="A222" s="24" t="s">
        <v>62</v>
      </c>
      <c r="B222" s="23" t="s">
        <v>540</v>
      </c>
      <c r="C222" s="26" t="s">
        <v>91</v>
      </c>
      <c r="D222" s="49" t="n">
        <v>8.08</v>
      </c>
      <c r="E222" s="25"/>
      <c r="F222" s="25"/>
      <c r="G222" s="25"/>
      <c r="H222" s="25" t="n">
        <v>13.15</v>
      </c>
      <c r="I222" s="25" t="n">
        <v>90.59</v>
      </c>
      <c r="J222" s="25"/>
      <c r="K222" s="25"/>
      <c r="L222" s="56" t="s">
        <v>76</v>
      </c>
      <c r="M222" s="57" t="n">
        <v>8.08</v>
      </c>
      <c r="N222" s="58" t="n">
        <v>91.1</v>
      </c>
      <c r="O222" s="26" t="n">
        <v>3</v>
      </c>
      <c r="P222" s="59" t="s">
        <v>138</v>
      </c>
      <c r="Q222" s="60" t="s">
        <v>93</v>
      </c>
      <c r="R222" s="60" t="s">
        <v>541</v>
      </c>
      <c r="S222" s="61" t="s">
        <v>95</v>
      </c>
    </row>
    <row r="223" customFormat="false" ht="15" hidden="false" customHeight="false" outlineLevel="0" collapsed="false">
      <c r="A223" s="20" t="s">
        <v>62</v>
      </c>
      <c r="B223" s="19" t="s">
        <v>542</v>
      </c>
      <c r="C223" s="22" t="s">
        <v>137</v>
      </c>
      <c r="D223" s="21" t="n">
        <v>8.77</v>
      </c>
      <c r="E223" s="21"/>
      <c r="F223" s="21"/>
      <c r="G223" s="21"/>
      <c r="H223" s="21"/>
      <c r="I223" s="49" t="n">
        <v>2.22</v>
      </c>
      <c r="J223" s="21"/>
      <c r="K223" s="21"/>
      <c r="L223" s="50" t="s">
        <v>81</v>
      </c>
      <c r="M223" s="51" t="n">
        <v>2.22</v>
      </c>
      <c r="N223" s="52"/>
      <c r="O223" s="22" t="n">
        <v>2</v>
      </c>
      <c r="P223" s="59" t="s">
        <v>138</v>
      </c>
      <c r="Q223" s="54" t="s">
        <v>119</v>
      </c>
      <c r="R223" s="54" t="s">
        <v>543</v>
      </c>
      <c r="S223" s="55" t="s">
        <v>95</v>
      </c>
    </row>
    <row r="224" customFormat="false" ht="22.35" hidden="false" customHeight="false" outlineLevel="0" collapsed="false">
      <c r="A224" s="24" t="s">
        <v>62</v>
      </c>
      <c r="B224" s="23" t="s">
        <v>544</v>
      </c>
      <c r="C224" s="26" t="s">
        <v>493</v>
      </c>
      <c r="D224" s="25"/>
      <c r="E224" s="25"/>
      <c r="F224" s="25"/>
      <c r="G224" s="25" t="n">
        <v>4.66</v>
      </c>
      <c r="H224" s="25" t="n">
        <v>8.1</v>
      </c>
      <c r="I224" s="25" t="n">
        <v>8.48</v>
      </c>
      <c r="J224" s="25"/>
      <c r="K224" s="49" t="n">
        <v>5.97</v>
      </c>
      <c r="L224" s="56" t="s">
        <v>83</v>
      </c>
      <c r="M224" s="57" t="n">
        <v>5.97</v>
      </c>
      <c r="N224" s="58" t="n">
        <v>29.6</v>
      </c>
      <c r="O224" s="26" t="n">
        <v>4</v>
      </c>
      <c r="P224" s="59" t="s">
        <v>138</v>
      </c>
      <c r="Q224" s="60" t="s">
        <v>534</v>
      </c>
      <c r="R224" s="60" t="s">
        <v>545</v>
      </c>
      <c r="S224" s="61" t="s">
        <v>95</v>
      </c>
    </row>
    <row r="225" customFormat="false" ht="22.35" hidden="false" customHeight="false" outlineLevel="0" collapsed="false">
      <c r="A225" s="20" t="s">
        <v>62</v>
      </c>
      <c r="B225" s="19" t="s">
        <v>546</v>
      </c>
      <c r="C225" s="22" t="s">
        <v>493</v>
      </c>
      <c r="D225" s="21"/>
      <c r="E225" s="21"/>
      <c r="F225" s="21"/>
      <c r="G225" s="21" t="n">
        <v>33.92</v>
      </c>
      <c r="H225" s="21" t="n">
        <v>39.35</v>
      </c>
      <c r="I225" s="49" t="n">
        <v>8.73</v>
      </c>
      <c r="J225" s="21"/>
      <c r="K225" s="21" t="n">
        <v>12.31</v>
      </c>
      <c r="L225" s="50" t="s">
        <v>81</v>
      </c>
      <c r="M225" s="51" t="n">
        <v>8.73</v>
      </c>
      <c r="N225" s="52" t="n">
        <v>77.8</v>
      </c>
      <c r="O225" s="22" t="n">
        <v>4</v>
      </c>
      <c r="P225" s="53" t="s">
        <v>92</v>
      </c>
      <c r="Q225" s="54" t="s">
        <v>169</v>
      </c>
      <c r="R225" s="54" t="s">
        <v>547</v>
      </c>
      <c r="S225" s="55" t="s">
        <v>95</v>
      </c>
    </row>
    <row r="226" customFormat="false" ht="22.35" hidden="false" customHeight="false" outlineLevel="0" collapsed="false">
      <c r="A226" s="24" t="s">
        <v>62</v>
      </c>
      <c r="B226" s="23" t="s">
        <v>548</v>
      </c>
      <c r="C226" s="26" t="s">
        <v>493</v>
      </c>
      <c r="D226" s="25"/>
      <c r="E226" s="25"/>
      <c r="F226" s="25"/>
      <c r="G226" s="25" t="n">
        <v>5.53</v>
      </c>
      <c r="H226" s="25" t="n">
        <v>10.54</v>
      </c>
      <c r="I226" s="49" t="n">
        <v>3.94</v>
      </c>
      <c r="J226" s="25"/>
      <c r="K226" s="25" t="n">
        <v>15.18</v>
      </c>
      <c r="L226" s="56" t="s">
        <v>81</v>
      </c>
      <c r="M226" s="57" t="n">
        <v>3.94</v>
      </c>
      <c r="N226" s="58" t="n">
        <v>74</v>
      </c>
      <c r="O226" s="26" t="n">
        <v>4</v>
      </c>
      <c r="P226" s="62" t="s">
        <v>92</v>
      </c>
      <c r="Q226" s="60" t="s">
        <v>169</v>
      </c>
      <c r="R226" s="60" t="s">
        <v>549</v>
      </c>
      <c r="S226" s="61" t="s">
        <v>95</v>
      </c>
    </row>
    <row r="227" customFormat="false" ht="32.8" hidden="false" customHeight="false" outlineLevel="0" collapsed="false">
      <c r="A227" s="20" t="s">
        <v>62</v>
      </c>
      <c r="B227" s="19" t="s">
        <v>550</v>
      </c>
      <c r="C227" s="22" t="s">
        <v>493</v>
      </c>
      <c r="D227" s="21"/>
      <c r="E227" s="21"/>
      <c r="F227" s="21"/>
      <c r="G227" s="21" t="n">
        <v>14.84</v>
      </c>
      <c r="H227" s="21" t="n">
        <v>253.65</v>
      </c>
      <c r="I227" s="49" t="n">
        <v>11.62</v>
      </c>
      <c r="J227" s="21"/>
      <c r="K227" s="21"/>
      <c r="L227" s="50" t="s">
        <v>81</v>
      </c>
      <c r="M227" s="51" t="n">
        <v>11.62</v>
      </c>
      <c r="N227" s="52" t="n">
        <v>21.7</v>
      </c>
      <c r="O227" s="22" t="n">
        <v>3</v>
      </c>
      <c r="P227" s="59" t="s">
        <v>138</v>
      </c>
      <c r="Q227" s="54" t="s">
        <v>169</v>
      </c>
      <c r="R227" s="54" t="s">
        <v>551</v>
      </c>
      <c r="S227" s="55" t="s">
        <v>95</v>
      </c>
    </row>
    <row r="228" customFormat="false" ht="15" hidden="false" customHeight="false" outlineLevel="0" collapsed="false">
      <c r="A228" s="24" t="s">
        <v>62</v>
      </c>
      <c r="B228" s="23" t="s">
        <v>552</v>
      </c>
      <c r="C228" s="26" t="s">
        <v>553</v>
      </c>
      <c r="D228" s="49" t="n">
        <v>10.82</v>
      </c>
      <c r="E228" s="25"/>
      <c r="F228" s="25"/>
      <c r="G228" s="25" t="n">
        <v>12.3</v>
      </c>
      <c r="H228" s="25" t="n">
        <v>11.6</v>
      </c>
      <c r="I228" s="25" t="n">
        <v>17.39</v>
      </c>
      <c r="J228" s="25"/>
      <c r="K228" s="25" t="n">
        <v>4.61</v>
      </c>
      <c r="L228" s="56" t="s">
        <v>76</v>
      </c>
      <c r="M228" s="57" t="n">
        <v>10.82</v>
      </c>
      <c r="N228" s="58" t="n">
        <v>12</v>
      </c>
      <c r="O228" s="26" t="n">
        <v>5</v>
      </c>
      <c r="P228" s="59" t="s">
        <v>138</v>
      </c>
      <c r="Q228" s="60" t="s">
        <v>93</v>
      </c>
      <c r="R228" s="60" t="s">
        <v>554</v>
      </c>
      <c r="S228" s="61" t="s">
        <v>95</v>
      </c>
    </row>
    <row r="229" customFormat="false" ht="15" hidden="false" customHeight="false" outlineLevel="0" collapsed="false">
      <c r="A229" s="20" t="s">
        <v>62</v>
      </c>
      <c r="B229" s="19" t="s">
        <v>555</v>
      </c>
      <c r="C229" s="22" t="s">
        <v>556</v>
      </c>
      <c r="D229" s="49" t="n">
        <v>5.76</v>
      </c>
      <c r="E229" s="21"/>
      <c r="F229" s="21"/>
      <c r="G229" s="21" t="n">
        <v>9.36</v>
      </c>
      <c r="H229" s="21" t="n">
        <v>13.49</v>
      </c>
      <c r="I229" s="21" t="n">
        <v>19.96</v>
      </c>
      <c r="J229" s="21"/>
      <c r="K229" s="21" t="n">
        <v>8.68</v>
      </c>
      <c r="L229" s="50" t="s">
        <v>76</v>
      </c>
      <c r="M229" s="51" t="n">
        <v>5.76</v>
      </c>
      <c r="N229" s="52"/>
      <c r="O229" s="22" t="n">
        <v>5</v>
      </c>
      <c r="P229" s="59" t="s">
        <v>138</v>
      </c>
      <c r="Q229" s="54" t="s">
        <v>93</v>
      </c>
      <c r="R229" s="54" t="s">
        <v>557</v>
      </c>
      <c r="S229" s="55" t="s">
        <v>95</v>
      </c>
    </row>
    <row r="230" customFormat="false" ht="22.35" hidden="false" customHeight="false" outlineLevel="0" collapsed="false">
      <c r="A230" s="24" t="s">
        <v>62</v>
      </c>
      <c r="B230" s="23" t="s">
        <v>558</v>
      </c>
      <c r="C230" s="26" t="s">
        <v>374</v>
      </c>
      <c r="D230" s="25" t="n">
        <v>7.56</v>
      </c>
      <c r="E230" s="25"/>
      <c r="F230" s="25"/>
      <c r="G230" s="25" t="n">
        <v>5.75</v>
      </c>
      <c r="H230" s="25" t="n">
        <v>8.94</v>
      </c>
      <c r="I230" s="49" t="n">
        <v>6.56</v>
      </c>
      <c r="J230" s="25"/>
      <c r="K230" s="25" t="n">
        <v>7.42</v>
      </c>
      <c r="L230" s="56" t="s">
        <v>81</v>
      </c>
      <c r="M230" s="57" t="n">
        <v>6.56</v>
      </c>
      <c r="N230" s="58" t="n">
        <v>13.2</v>
      </c>
      <c r="O230" s="26" t="n">
        <v>5</v>
      </c>
      <c r="P230" s="59" t="s">
        <v>138</v>
      </c>
      <c r="Q230" s="60" t="s">
        <v>119</v>
      </c>
      <c r="R230" s="60" t="s">
        <v>559</v>
      </c>
      <c r="S230" s="61" t="s">
        <v>95</v>
      </c>
    </row>
    <row r="231" customFormat="false" ht="15" hidden="false" customHeight="false" outlineLevel="0" collapsed="false">
      <c r="A231" s="20" t="s">
        <v>62</v>
      </c>
      <c r="B231" s="19" t="s">
        <v>560</v>
      </c>
      <c r="C231" s="22" t="s">
        <v>374</v>
      </c>
      <c r="D231" s="49" t="n">
        <v>10.66</v>
      </c>
      <c r="E231" s="21"/>
      <c r="F231" s="21"/>
      <c r="G231" s="21" t="n">
        <v>18.33</v>
      </c>
      <c r="H231" s="21" t="n">
        <v>42.13</v>
      </c>
      <c r="I231" s="21" t="n">
        <v>19</v>
      </c>
      <c r="J231" s="21"/>
      <c r="K231" s="21" t="n">
        <v>12.82</v>
      </c>
      <c r="L231" s="50" t="s">
        <v>76</v>
      </c>
      <c r="M231" s="51" t="n">
        <v>10.66</v>
      </c>
      <c r="N231" s="52" t="n">
        <v>43.9</v>
      </c>
      <c r="O231" s="22" t="n">
        <v>5</v>
      </c>
      <c r="P231" s="59" t="s">
        <v>138</v>
      </c>
      <c r="Q231" s="54" t="s">
        <v>93</v>
      </c>
      <c r="R231" s="54" t="s">
        <v>561</v>
      </c>
      <c r="S231" s="55" t="s">
        <v>95</v>
      </c>
    </row>
    <row r="232" customFormat="false" ht="22.35" hidden="false" customHeight="false" outlineLevel="0" collapsed="false">
      <c r="A232" s="24" t="s">
        <v>62</v>
      </c>
      <c r="B232" s="23" t="s">
        <v>562</v>
      </c>
      <c r="C232" s="26" t="s">
        <v>203</v>
      </c>
      <c r="D232" s="49" t="n">
        <v>7.97</v>
      </c>
      <c r="E232" s="25"/>
      <c r="F232" s="25"/>
      <c r="G232" s="25" t="n">
        <v>8.26</v>
      </c>
      <c r="H232" s="25" t="n">
        <v>12</v>
      </c>
      <c r="I232" s="25" t="n">
        <v>9.8</v>
      </c>
      <c r="J232" s="25"/>
      <c r="K232" s="25" t="n">
        <v>13.58</v>
      </c>
      <c r="L232" s="56" t="s">
        <v>76</v>
      </c>
      <c r="M232" s="57" t="n">
        <v>7.97</v>
      </c>
      <c r="N232" s="58" t="n">
        <v>41.3</v>
      </c>
      <c r="O232" s="26" t="n">
        <v>5</v>
      </c>
      <c r="P232" s="59" t="s">
        <v>138</v>
      </c>
      <c r="Q232" s="60" t="s">
        <v>93</v>
      </c>
      <c r="R232" s="60" t="s">
        <v>563</v>
      </c>
      <c r="S232" s="61" t="s">
        <v>95</v>
      </c>
    </row>
    <row r="233" customFormat="false" ht="15" hidden="false" customHeight="false" outlineLevel="0" collapsed="false">
      <c r="A233" s="20" t="s">
        <v>62</v>
      </c>
      <c r="B233" s="19" t="s">
        <v>564</v>
      </c>
      <c r="C233" s="22" t="s">
        <v>203</v>
      </c>
      <c r="D233" s="21" t="n">
        <v>10.25</v>
      </c>
      <c r="E233" s="21"/>
      <c r="F233" s="21"/>
      <c r="G233" s="21" t="n">
        <v>13.11</v>
      </c>
      <c r="H233" s="21" t="n">
        <v>13.98</v>
      </c>
      <c r="I233" s="49" t="n">
        <v>9.8</v>
      </c>
      <c r="J233" s="21"/>
      <c r="K233" s="21" t="n">
        <v>19.12</v>
      </c>
      <c r="L233" s="50" t="s">
        <v>81</v>
      </c>
      <c r="M233" s="51" t="n">
        <v>9.8</v>
      </c>
      <c r="N233" s="52" t="n">
        <v>48.7</v>
      </c>
      <c r="O233" s="22" t="n">
        <v>5</v>
      </c>
      <c r="P233" s="59" t="s">
        <v>138</v>
      </c>
      <c r="Q233" s="54" t="s">
        <v>119</v>
      </c>
      <c r="R233" s="54" t="s">
        <v>565</v>
      </c>
      <c r="S233" s="55" t="s">
        <v>95</v>
      </c>
    </row>
    <row r="234" customFormat="false" ht="22.35" hidden="false" customHeight="false" outlineLevel="0" collapsed="false">
      <c r="A234" s="24" t="s">
        <v>62</v>
      </c>
      <c r="B234" s="23" t="s">
        <v>566</v>
      </c>
      <c r="C234" s="26" t="s">
        <v>203</v>
      </c>
      <c r="D234" s="49" t="n">
        <v>1.55</v>
      </c>
      <c r="E234" s="25"/>
      <c r="F234" s="25"/>
      <c r="G234" s="25" t="n">
        <v>4.76</v>
      </c>
      <c r="H234" s="25" t="n">
        <v>8.09</v>
      </c>
      <c r="I234" s="25" t="n">
        <v>26.09</v>
      </c>
      <c r="J234" s="25"/>
      <c r="K234" s="25"/>
      <c r="L234" s="56" t="s">
        <v>76</v>
      </c>
      <c r="M234" s="57" t="n">
        <v>1.55</v>
      </c>
      <c r="N234" s="58"/>
      <c r="O234" s="26" t="n">
        <v>4</v>
      </c>
      <c r="P234" s="59" t="s">
        <v>138</v>
      </c>
      <c r="Q234" s="60" t="s">
        <v>93</v>
      </c>
      <c r="R234" s="60" t="s">
        <v>567</v>
      </c>
      <c r="S234" s="61" t="s">
        <v>95</v>
      </c>
    </row>
    <row r="235" customFormat="false" ht="15" hidden="false" customHeight="false" outlineLevel="0" collapsed="false">
      <c r="A235" s="20" t="s">
        <v>62</v>
      </c>
      <c r="B235" s="19" t="s">
        <v>568</v>
      </c>
      <c r="C235" s="22" t="s">
        <v>203</v>
      </c>
      <c r="D235" s="49" t="n">
        <v>18.88</v>
      </c>
      <c r="E235" s="21"/>
      <c r="F235" s="21"/>
      <c r="G235" s="21"/>
      <c r="H235" s="21"/>
      <c r="I235" s="21" t="n">
        <v>22.18</v>
      </c>
      <c r="J235" s="21"/>
      <c r="K235" s="21"/>
      <c r="L235" s="50" t="s">
        <v>76</v>
      </c>
      <c r="M235" s="51" t="n">
        <v>18.88</v>
      </c>
      <c r="N235" s="52" t="n">
        <v>14.9</v>
      </c>
      <c r="O235" s="22" t="n">
        <v>2</v>
      </c>
      <c r="P235" s="59" t="s">
        <v>97</v>
      </c>
      <c r="Q235" s="54" t="s">
        <v>93</v>
      </c>
      <c r="R235" s="54" t="s">
        <v>569</v>
      </c>
      <c r="S235" s="55" t="s">
        <v>95</v>
      </c>
    </row>
    <row r="236" customFormat="false" ht="22.35" hidden="false" customHeight="false" outlineLevel="0" collapsed="false">
      <c r="A236" s="24" t="s">
        <v>62</v>
      </c>
      <c r="B236" s="23" t="s">
        <v>570</v>
      </c>
      <c r="C236" s="26" t="s">
        <v>91</v>
      </c>
      <c r="D236" s="25"/>
      <c r="E236" s="25"/>
      <c r="F236" s="25"/>
      <c r="G236" s="25" t="n">
        <v>19.54</v>
      </c>
      <c r="H236" s="25"/>
      <c r="I236" s="49" t="n">
        <v>2.8</v>
      </c>
      <c r="J236" s="25"/>
      <c r="K236" s="25" t="n">
        <v>11.05</v>
      </c>
      <c r="L236" s="56" t="s">
        <v>81</v>
      </c>
      <c r="M236" s="57" t="n">
        <v>2.8</v>
      </c>
      <c r="N236" s="58" t="n">
        <v>85.7</v>
      </c>
      <c r="O236" s="26" t="n">
        <v>3</v>
      </c>
      <c r="P236" s="59" t="s">
        <v>138</v>
      </c>
      <c r="Q236" s="60" t="s">
        <v>119</v>
      </c>
      <c r="R236" s="60" t="s">
        <v>571</v>
      </c>
      <c r="S236" s="61" t="s">
        <v>95</v>
      </c>
    </row>
    <row r="237" customFormat="false" ht="15" hidden="false" customHeight="false" outlineLevel="0" collapsed="false">
      <c r="A237" s="20" t="s">
        <v>62</v>
      </c>
      <c r="B237" s="19" t="s">
        <v>572</v>
      </c>
      <c r="C237" s="22" t="s">
        <v>137</v>
      </c>
      <c r="D237" s="21"/>
      <c r="E237" s="21"/>
      <c r="F237" s="21"/>
      <c r="G237" s="21"/>
      <c r="H237" s="21" t="n">
        <v>179.45</v>
      </c>
      <c r="I237" s="49" t="n">
        <v>1.39</v>
      </c>
      <c r="J237" s="21"/>
      <c r="K237" s="21"/>
      <c r="L237" s="50" t="s">
        <v>81</v>
      </c>
      <c r="M237" s="51" t="n">
        <v>1.39</v>
      </c>
      <c r="N237" s="52"/>
      <c r="O237" s="22" t="n">
        <v>2</v>
      </c>
      <c r="P237" s="59" t="s">
        <v>138</v>
      </c>
      <c r="Q237" s="54" t="s">
        <v>169</v>
      </c>
      <c r="R237" s="54" t="s">
        <v>573</v>
      </c>
      <c r="S237" s="55" t="s">
        <v>95</v>
      </c>
    </row>
    <row r="238" customFormat="false" ht="22.35" hidden="false" customHeight="false" outlineLevel="0" collapsed="false">
      <c r="A238" s="24" t="s">
        <v>63</v>
      </c>
      <c r="B238" s="23" t="s">
        <v>574</v>
      </c>
      <c r="C238" s="26" t="s">
        <v>344</v>
      </c>
      <c r="D238" s="49" t="n">
        <v>108.26</v>
      </c>
      <c r="E238" s="25"/>
      <c r="F238" s="25"/>
      <c r="G238" s="25" t="n">
        <v>155</v>
      </c>
      <c r="H238" s="25" t="n">
        <v>83.9</v>
      </c>
      <c r="I238" s="25" t="n">
        <v>15.92</v>
      </c>
      <c r="J238" s="25"/>
      <c r="K238" s="25"/>
      <c r="L238" s="56" t="s">
        <v>76</v>
      </c>
      <c r="M238" s="57" t="n">
        <v>108.26</v>
      </c>
      <c r="N238" s="58"/>
      <c r="O238" s="26" t="n">
        <v>4</v>
      </c>
      <c r="P238" s="59" t="s">
        <v>138</v>
      </c>
      <c r="Q238" s="60" t="s">
        <v>93</v>
      </c>
      <c r="R238" s="60" t="s">
        <v>575</v>
      </c>
      <c r="S238" s="61" t="s">
        <v>95</v>
      </c>
    </row>
    <row r="239" customFormat="false" ht="22.35" hidden="false" customHeight="false" outlineLevel="0" collapsed="false">
      <c r="A239" s="20" t="s">
        <v>63</v>
      </c>
      <c r="B239" s="19" t="s">
        <v>576</v>
      </c>
      <c r="C239" s="22" t="s">
        <v>344</v>
      </c>
      <c r="D239" s="49" t="n">
        <v>108.26</v>
      </c>
      <c r="E239" s="21"/>
      <c r="F239" s="21"/>
      <c r="G239" s="21" t="n">
        <v>51.9</v>
      </c>
      <c r="H239" s="21" t="n">
        <v>3.98</v>
      </c>
      <c r="I239" s="21" t="n">
        <v>13.5</v>
      </c>
      <c r="J239" s="21"/>
      <c r="K239" s="21" t="n">
        <v>35.42</v>
      </c>
      <c r="L239" s="50" t="s">
        <v>76</v>
      </c>
      <c r="M239" s="51" t="n">
        <v>108.26</v>
      </c>
      <c r="N239" s="52"/>
      <c r="O239" s="22" t="n">
        <v>5</v>
      </c>
      <c r="P239" s="59" t="s">
        <v>138</v>
      </c>
      <c r="Q239" s="54" t="s">
        <v>93</v>
      </c>
      <c r="R239" s="54" t="s">
        <v>575</v>
      </c>
      <c r="S239" s="55" t="s">
        <v>95</v>
      </c>
    </row>
    <row r="240" customFormat="false" ht="22.35" hidden="false" customHeight="false" outlineLevel="0" collapsed="false">
      <c r="A240" s="24" t="s">
        <v>63</v>
      </c>
      <c r="B240" s="23" t="s">
        <v>577</v>
      </c>
      <c r="C240" s="26" t="s">
        <v>344</v>
      </c>
      <c r="D240" s="49" t="n">
        <v>17.26</v>
      </c>
      <c r="E240" s="25"/>
      <c r="F240" s="25"/>
      <c r="G240" s="25" t="n">
        <v>11.5</v>
      </c>
      <c r="H240" s="25" t="n">
        <v>93.7</v>
      </c>
      <c r="I240" s="25" t="n">
        <v>13.5</v>
      </c>
      <c r="J240" s="25"/>
      <c r="K240" s="25" t="n">
        <v>29.9</v>
      </c>
      <c r="L240" s="56" t="s">
        <v>76</v>
      </c>
      <c r="M240" s="57" t="n">
        <v>17.26</v>
      </c>
      <c r="N240" s="58"/>
      <c r="O240" s="26" t="n">
        <v>5</v>
      </c>
      <c r="P240" s="59" t="s">
        <v>138</v>
      </c>
      <c r="Q240" s="60" t="s">
        <v>93</v>
      </c>
      <c r="R240" s="60" t="s">
        <v>578</v>
      </c>
      <c r="S240" s="61" t="s">
        <v>95</v>
      </c>
    </row>
    <row r="241" customFormat="false" ht="22.35" hidden="false" customHeight="false" outlineLevel="0" collapsed="false">
      <c r="A241" s="20" t="s">
        <v>63</v>
      </c>
      <c r="B241" s="19" t="s">
        <v>579</v>
      </c>
      <c r="C241" s="22" t="s">
        <v>344</v>
      </c>
      <c r="D241" s="49" t="n">
        <v>34.23</v>
      </c>
      <c r="E241" s="21"/>
      <c r="F241" s="21"/>
      <c r="G241" s="21"/>
      <c r="H241" s="21"/>
      <c r="I241" s="21" t="n">
        <v>75.1</v>
      </c>
      <c r="J241" s="21"/>
      <c r="K241" s="21"/>
      <c r="L241" s="50" t="s">
        <v>76</v>
      </c>
      <c r="M241" s="51" t="n">
        <v>34.23</v>
      </c>
      <c r="N241" s="52"/>
      <c r="O241" s="22" t="n">
        <v>2</v>
      </c>
      <c r="P241" s="59" t="s">
        <v>138</v>
      </c>
      <c r="Q241" s="54" t="s">
        <v>93</v>
      </c>
      <c r="R241" s="54" t="s">
        <v>580</v>
      </c>
      <c r="S241" s="55" t="s">
        <v>95</v>
      </c>
    </row>
    <row r="242" customFormat="false" ht="15" hidden="false" customHeight="false" outlineLevel="0" collapsed="false">
      <c r="A242" s="24" t="s">
        <v>63</v>
      </c>
      <c r="B242" s="23" t="s">
        <v>581</v>
      </c>
      <c r="C242" s="26" t="s">
        <v>344</v>
      </c>
      <c r="D242" s="49" t="n">
        <v>12.94</v>
      </c>
      <c r="E242" s="25"/>
      <c r="F242" s="25"/>
      <c r="G242" s="25" t="n">
        <v>10.29</v>
      </c>
      <c r="H242" s="25" t="n">
        <v>5.1</v>
      </c>
      <c r="I242" s="25" t="n">
        <v>3.56</v>
      </c>
      <c r="J242" s="25"/>
      <c r="K242" s="25"/>
      <c r="L242" s="56" t="s">
        <v>76</v>
      </c>
      <c r="M242" s="57" t="n">
        <v>12.94</v>
      </c>
      <c r="N242" s="58"/>
      <c r="O242" s="26" t="n">
        <v>4</v>
      </c>
      <c r="P242" s="59" t="s">
        <v>138</v>
      </c>
      <c r="Q242" s="60" t="s">
        <v>93</v>
      </c>
      <c r="R242" s="60" t="s">
        <v>582</v>
      </c>
      <c r="S242" s="61" t="s">
        <v>95</v>
      </c>
    </row>
    <row r="243" customFormat="false" ht="22.35" hidden="false" customHeight="false" outlineLevel="0" collapsed="false">
      <c r="A243" s="20" t="s">
        <v>63</v>
      </c>
      <c r="B243" s="19" t="s">
        <v>583</v>
      </c>
      <c r="C243" s="22" t="s">
        <v>344</v>
      </c>
      <c r="D243" s="21"/>
      <c r="E243" s="21"/>
      <c r="F243" s="21"/>
      <c r="G243" s="21"/>
      <c r="H243" s="21" t="n">
        <v>6.07</v>
      </c>
      <c r="I243" s="49" t="n">
        <v>86.14</v>
      </c>
      <c r="J243" s="21"/>
      <c r="K243" s="21"/>
      <c r="L243" s="50" t="s">
        <v>81</v>
      </c>
      <c r="M243" s="51" t="n">
        <v>86.14</v>
      </c>
      <c r="N243" s="52"/>
      <c r="O243" s="22" t="n">
        <v>2</v>
      </c>
      <c r="P243" s="59" t="s">
        <v>138</v>
      </c>
      <c r="Q243" s="54" t="s">
        <v>119</v>
      </c>
      <c r="R243" s="54" t="s">
        <v>584</v>
      </c>
      <c r="S243" s="55" t="s">
        <v>95</v>
      </c>
    </row>
    <row r="244" customFormat="false" ht="22.35" hidden="false" customHeight="false" outlineLevel="0" collapsed="false">
      <c r="A244" s="24" t="s">
        <v>63</v>
      </c>
      <c r="B244" s="23" t="s">
        <v>585</v>
      </c>
      <c r="C244" s="26" t="s">
        <v>344</v>
      </c>
      <c r="D244" s="25"/>
      <c r="E244" s="25"/>
      <c r="F244" s="25"/>
      <c r="G244" s="49" t="n">
        <v>27.07</v>
      </c>
      <c r="H244" s="25"/>
      <c r="I244" s="25" t="n">
        <v>29.3</v>
      </c>
      <c r="J244" s="25"/>
      <c r="K244" s="25"/>
      <c r="L244" s="56" t="s">
        <v>79</v>
      </c>
      <c r="M244" s="57" t="n">
        <v>27.07</v>
      </c>
      <c r="N244" s="58"/>
      <c r="O244" s="26" t="n">
        <v>2</v>
      </c>
      <c r="P244" s="59" t="s">
        <v>138</v>
      </c>
      <c r="Q244" s="60" t="s">
        <v>313</v>
      </c>
      <c r="R244" s="60" t="s">
        <v>586</v>
      </c>
      <c r="S244" s="61" t="s">
        <v>95</v>
      </c>
    </row>
    <row r="245" customFormat="false" ht="22.35" hidden="false" customHeight="false" outlineLevel="0" collapsed="false">
      <c r="A245" s="20" t="s">
        <v>63</v>
      </c>
      <c r="B245" s="19" t="s">
        <v>587</v>
      </c>
      <c r="C245" s="22" t="s">
        <v>344</v>
      </c>
      <c r="D245" s="21"/>
      <c r="E245" s="21"/>
      <c r="F245" s="21"/>
      <c r="G245" s="21"/>
      <c r="H245" s="21" t="n">
        <v>79.41</v>
      </c>
      <c r="I245" s="21"/>
      <c r="J245" s="21"/>
      <c r="K245" s="21"/>
      <c r="L245" s="50" t="s">
        <v>80</v>
      </c>
      <c r="M245" s="51" t="n">
        <v>79.41</v>
      </c>
      <c r="N245" s="52"/>
      <c r="O245" s="22" t="n">
        <v>1</v>
      </c>
      <c r="P245" s="63"/>
      <c r="Q245" s="54" t="s">
        <v>303</v>
      </c>
      <c r="R245" s="54" t="s">
        <v>588</v>
      </c>
      <c r="S245" s="55" t="s">
        <v>95</v>
      </c>
    </row>
    <row r="246" customFormat="false" ht="22.35" hidden="false" customHeight="false" outlineLevel="0" collapsed="false">
      <c r="A246" s="24" t="s">
        <v>63</v>
      </c>
      <c r="B246" s="23" t="s">
        <v>589</v>
      </c>
      <c r="C246" s="26" t="s">
        <v>344</v>
      </c>
      <c r="D246" s="25"/>
      <c r="E246" s="25"/>
      <c r="F246" s="25"/>
      <c r="G246" s="49" t="n">
        <v>26.4</v>
      </c>
      <c r="H246" s="25" t="n">
        <v>46.76</v>
      </c>
      <c r="I246" s="25"/>
      <c r="J246" s="25"/>
      <c r="K246" s="25"/>
      <c r="L246" s="56" t="s">
        <v>79</v>
      </c>
      <c r="M246" s="57" t="n">
        <v>26.4</v>
      </c>
      <c r="N246" s="58"/>
      <c r="O246" s="26" t="n">
        <v>2</v>
      </c>
      <c r="P246" s="59" t="s">
        <v>138</v>
      </c>
      <c r="Q246" s="60" t="s">
        <v>313</v>
      </c>
      <c r="R246" s="60" t="s">
        <v>590</v>
      </c>
      <c r="S246" s="26"/>
    </row>
    <row r="247" customFormat="false" ht="22.35" hidden="false" customHeight="false" outlineLevel="0" collapsed="false">
      <c r="A247" s="20" t="s">
        <v>63</v>
      </c>
      <c r="B247" s="19" t="s">
        <v>591</v>
      </c>
      <c r="C247" s="22" t="s">
        <v>91</v>
      </c>
      <c r="D247" s="21"/>
      <c r="E247" s="21"/>
      <c r="F247" s="21"/>
      <c r="G247" s="21"/>
      <c r="H247" s="49" t="n">
        <v>5.67</v>
      </c>
      <c r="I247" s="21" t="n">
        <v>14.2</v>
      </c>
      <c r="J247" s="21"/>
      <c r="K247" s="21" t="n">
        <v>11.5</v>
      </c>
      <c r="L247" s="50" t="s">
        <v>80</v>
      </c>
      <c r="M247" s="51" t="n">
        <v>5.67</v>
      </c>
      <c r="N247" s="52" t="n">
        <v>60.1</v>
      </c>
      <c r="O247" s="22" t="n">
        <v>3</v>
      </c>
      <c r="P247" s="59" t="s">
        <v>97</v>
      </c>
      <c r="Q247" s="54" t="s">
        <v>303</v>
      </c>
      <c r="R247" s="54" t="s">
        <v>592</v>
      </c>
      <c r="S247" s="55" t="s">
        <v>95</v>
      </c>
    </row>
    <row r="248" customFormat="false" ht="22.35" hidden="false" customHeight="false" outlineLevel="0" collapsed="false">
      <c r="A248" s="24" t="s">
        <v>63</v>
      </c>
      <c r="B248" s="23" t="s">
        <v>593</v>
      </c>
      <c r="C248" s="26" t="s">
        <v>91</v>
      </c>
      <c r="D248" s="25"/>
      <c r="E248" s="25"/>
      <c r="F248" s="25"/>
      <c r="G248" s="25"/>
      <c r="H248" s="25" t="n">
        <v>2.59</v>
      </c>
      <c r="I248" s="25"/>
      <c r="J248" s="25"/>
      <c r="K248" s="25"/>
      <c r="L248" s="56" t="s">
        <v>80</v>
      </c>
      <c r="M248" s="57" t="n">
        <v>2.59</v>
      </c>
      <c r="N248" s="58"/>
      <c r="O248" s="26" t="n">
        <v>1</v>
      </c>
      <c r="P248" s="64"/>
      <c r="Q248" s="60" t="s">
        <v>303</v>
      </c>
      <c r="R248" s="60" t="s">
        <v>594</v>
      </c>
      <c r="S248" s="61" t="s">
        <v>95</v>
      </c>
    </row>
    <row r="249" customFormat="false" ht="15" hidden="false" customHeight="false" outlineLevel="0" collapsed="false">
      <c r="A249" s="20" t="s">
        <v>63</v>
      </c>
      <c r="B249" s="19" t="s">
        <v>595</v>
      </c>
      <c r="C249" s="22" t="s">
        <v>91</v>
      </c>
      <c r="D249" s="21"/>
      <c r="E249" s="21"/>
      <c r="F249" s="21"/>
      <c r="G249" s="21"/>
      <c r="H249" s="21" t="n">
        <v>109.14</v>
      </c>
      <c r="I249" s="49" t="n">
        <v>13.6</v>
      </c>
      <c r="J249" s="21"/>
      <c r="K249" s="21"/>
      <c r="L249" s="50" t="s">
        <v>81</v>
      </c>
      <c r="M249" s="51" t="n">
        <v>13.6</v>
      </c>
      <c r="N249" s="52" t="n">
        <v>87.5</v>
      </c>
      <c r="O249" s="22" t="n">
        <v>2</v>
      </c>
      <c r="P249" s="59" t="s">
        <v>97</v>
      </c>
      <c r="Q249" s="54" t="s">
        <v>119</v>
      </c>
      <c r="R249" s="54" t="s">
        <v>596</v>
      </c>
      <c r="S249" s="55" t="s">
        <v>95</v>
      </c>
    </row>
    <row r="250" customFormat="false" ht="22.35" hidden="false" customHeight="false" outlineLevel="0" collapsed="false">
      <c r="A250" s="24" t="s">
        <v>63</v>
      </c>
      <c r="B250" s="23" t="s">
        <v>597</v>
      </c>
      <c r="C250" s="26" t="s">
        <v>91</v>
      </c>
      <c r="D250" s="25" t="n">
        <v>5.72</v>
      </c>
      <c r="E250" s="25"/>
      <c r="F250" s="25"/>
      <c r="G250" s="25"/>
      <c r="H250" s="49" t="n">
        <v>2.52</v>
      </c>
      <c r="I250" s="25" t="n">
        <v>4.1</v>
      </c>
      <c r="J250" s="25"/>
      <c r="K250" s="25"/>
      <c r="L250" s="56" t="s">
        <v>80</v>
      </c>
      <c r="M250" s="57" t="n">
        <v>2.52</v>
      </c>
      <c r="N250" s="58" t="n">
        <v>55.9</v>
      </c>
      <c r="O250" s="26" t="n">
        <v>3</v>
      </c>
      <c r="P250" s="62" t="s">
        <v>92</v>
      </c>
      <c r="Q250" s="60" t="s">
        <v>303</v>
      </c>
      <c r="R250" s="60" t="s">
        <v>598</v>
      </c>
      <c r="S250" s="61" t="s">
        <v>95</v>
      </c>
    </row>
    <row r="251" customFormat="false" ht="22.35" hidden="false" customHeight="false" outlineLevel="0" collapsed="false">
      <c r="A251" s="20" t="s">
        <v>63</v>
      </c>
      <c r="B251" s="19" t="s">
        <v>599</v>
      </c>
      <c r="C251" s="22" t="s">
        <v>91</v>
      </c>
      <c r="D251" s="21" t="n">
        <v>2.24</v>
      </c>
      <c r="E251" s="21"/>
      <c r="F251" s="21"/>
      <c r="G251" s="21"/>
      <c r="H251" s="49" t="n">
        <v>2.05</v>
      </c>
      <c r="I251" s="21" t="n">
        <v>2.9</v>
      </c>
      <c r="J251" s="21"/>
      <c r="K251" s="21"/>
      <c r="L251" s="50" t="s">
        <v>80</v>
      </c>
      <c r="M251" s="51" t="n">
        <v>2.05</v>
      </c>
      <c r="N251" s="52" t="n">
        <v>29.3</v>
      </c>
      <c r="O251" s="22" t="n">
        <v>3</v>
      </c>
      <c r="P251" s="59" t="s">
        <v>97</v>
      </c>
      <c r="Q251" s="54" t="s">
        <v>303</v>
      </c>
      <c r="R251" s="54" t="s">
        <v>600</v>
      </c>
      <c r="S251" s="55" t="s">
        <v>95</v>
      </c>
    </row>
    <row r="252" customFormat="false" ht="22.35" hidden="false" customHeight="false" outlineLevel="0" collapsed="false">
      <c r="A252" s="24" t="s">
        <v>63</v>
      </c>
      <c r="B252" s="23" t="s">
        <v>601</v>
      </c>
      <c r="C252" s="26" t="s">
        <v>91</v>
      </c>
      <c r="D252" s="25" t="n">
        <v>27.24</v>
      </c>
      <c r="E252" s="25"/>
      <c r="F252" s="25"/>
      <c r="G252" s="25" t="n">
        <v>15.3</v>
      </c>
      <c r="H252" s="49" t="n">
        <v>6.02</v>
      </c>
      <c r="I252" s="25" t="n">
        <v>29.1</v>
      </c>
      <c r="J252" s="25"/>
      <c r="K252" s="25"/>
      <c r="L252" s="56" t="s">
        <v>80</v>
      </c>
      <c r="M252" s="57" t="n">
        <v>6.02</v>
      </c>
      <c r="N252" s="58" t="n">
        <v>79.3</v>
      </c>
      <c r="O252" s="26" t="n">
        <v>4</v>
      </c>
      <c r="P252" s="59" t="s">
        <v>97</v>
      </c>
      <c r="Q252" s="60" t="s">
        <v>303</v>
      </c>
      <c r="R252" s="60" t="s">
        <v>602</v>
      </c>
      <c r="S252" s="61" t="s">
        <v>95</v>
      </c>
    </row>
    <row r="253" customFormat="false" ht="15" hidden="false" customHeight="false" outlineLevel="0" collapsed="false">
      <c r="A253" s="20" t="s">
        <v>63</v>
      </c>
      <c r="B253" s="19" t="s">
        <v>603</v>
      </c>
      <c r="C253" s="22" t="s">
        <v>374</v>
      </c>
      <c r="D253" s="49" t="n">
        <v>2.23</v>
      </c>
      <c r="E253" s="21"/>
      <c r="F253" s="21"/>
      <c r="G253" s="21" t="n">
        <v>7.45</v>
      </c>
      <c r="H253" s="21" t="n">
        <v>3.94</v>
      </c>
      <c r="I253" s="21" t="n">
        <v>3.34</v>
      </c>
      <c r="J253" s="21"/>
      <c r="K253" s="21"/>
      <c r="L253" s="50" t="s">
        <v>76</v>
      </c>
      <c r="M253" s="51" t="n">
        <v>2.23</v>
      </c>
      <c r="N253" s="52"/>
      <c r="O253" s="22" t="n">
        <v>4</v>
      </c>
      <c r="P253" s="59" t="s">
        <v>138</v>
      </c>
      <c r="Q253" s="54" t="s">
        <v>93</v>
      </c>
      <c r="R253" s="54" t="s">
        <v>604</v>
      </c>
      <c r="S253" s="55" t="s">
        <v>95</v>
      </c>
    </row>
    <row r="254" customFormat="false" ht="22.35" hidden="false" customHeight="false" outlineLevel="0" collapsed="false">
      <c r="A254" s="24" t="s">
        <v>63</v>
      </c>
      <c r="B254" s="23" t="s">
        <v>605</v>
      </c>
      <c r="C254" s="26" t="s">
        <v>374</v>
      </c>
      <c r="D254" s="25" t="n">
        <v>18.22</v>
      </c>
      <c r="E254" s="25"/>
      <c r="F254" s="25"/>
      <c r="G254" s="25" t="n">
        <v>48.56</v>
      </c>
      <c r="H254" s="25" t="n">
        <v>10.26</v>
      </c>
      <c r="I254" s="49" t="n">
        <v>13.34</v>
      </c>
      <c r="J254" s="25"/>
      <c r="K254" s="25"/>
      <c r="L254" s="56" t="s">
        <v>81</v>
      </c>
      <c r="M254" s="57" t="n">
        <v>13.34</v>
      </c>
      <c r="N254" s="58" t="n">
        <v>72.5</v>
      </c>
      <c r="O254" s="26" t="n">
        <v>4</v>
      </c>
      <c r="P254" s="59" t="s">
        <v>138</v>
      </c>
      <c r="Q254" s="60" t="s">
        <v>169</v>
      </c>
      <c r="R254" s="60" t="s">
        <v>606</v>
      </c>
      <c r="S254" s="61" t="s">
        <v>95</v>
      </c>
    </row>
    <row r="255" customFormat="false" ht="22.35" hidden="false" customHeight="false" outlineLevel="0" collapsed="false">
      <c r="A255" s="20" t="s">
        <v>63</v>
      </c>
      <c r="B255" s="19" t="s">
        <v>607</v>
      </c>
      <c r="C255" s="22" t="s">
        <v>91</v>
      </c>
      <c r="D255" s="49" t="n">
        <v>12.2</v>
      </c>
      <c r="E255" s="21"/>
      <c r="F255" s="21"/>
      <c r="G255" s="21"/>
      <c r="H255" s="21" t="n">
        <v>17.52</v>
      </c>
      <c r="I255" s="21" t="n">
        <v>24.34</v>
      </c>
      <c r="J255" s="21"/>
      <c r="K255" s="21"/>
      <c r="L255" s="50" t="s">
        <v>76</v>
      </c>
      <c r="M255" s="51" t="n">
        <v>12.2</v>
      </c>
      <c r="N255" s="52" t="n">
        <v>49.9</v>
      </c>
      <c r="O255" s="22" t="n">
        <v>3</v>
      </c>
      <c r="P255" s="59" t="s">
        <v>138</v>
      </c>
      <c r="Q255" s="54" t="s">
        <v>93</v>
      </c>
      <c r="R255" s="54" t="s">
        <v>608</v>
      </c>
      <c r="S255" s="55" t="s">
        <v>95</v>
      </c>
    </row>
    <row r="256" customFormat="false" ht="22.35" hidden="false" customHeight="false" outlineLevel="0" collapsed="false">
      <c r="A256" s="24" t="s">
        <v>63</v>
      </c>
      <c r="B256" s="23" t="s">
        <v>609</v>
      </c>
      <c r="C256" s="26" t="s">
        <v>91</v>
      </c>
      <c r="D256" s="25"/>
      <c r="E256" s="25"/>
      <c r="F256" s="25"/>
      <c r="G256" s="25" t="n">
        <v>8</v>
      </c>
      <c r="H256" s="49" t="n">
        <v>4.83</v>
      </c>
      <c r="I256" s="25" t="n">
        <v>10.2</v>
      </c>
      <c r="J256" s="25"/>
      <c r="K256" s="25"/>
      <c r="L256" s="56" t="s">
        <v>80</v>
      </c>
      <c r="M256" s="57" t="n">
        <v>4.83</v>
      </c>
      <c r="N256" s="58" t="n">
        <v>52.6</v>
      </c>
      <c r="O256" s="26" t="n">
        <v>3</v>
      </c>
      <c r="P256" s="59" t="s">
        <v>97</v>
      </c>
      <c r="Q256" s="60" t="s">
        <v>303</v>
      </c>
      <c r="R256" s="60" t="s">
        <v>610</v>
      </c>
      <c r="S256" s="61" t="s">
        <v>95</v>
      </c>
    </row>
    <row r="257" customFormat="false" ht="22.35" hidden="false" customHeight="false" outlineLevel="0" collapsed="false">
      <c r="A257" s="20" t="s">
        <v>63</v>
      </c>
      <c r="B257" s="19" t="s">
        <v>611</v>
      </c>
      <c r="C257" s="22" t="s">
        <v>91</v>
      </c>
      <c r="D257" s="21" t="n">
        <v>8.4</v>
      </c>
      <c r="E257" s="21"/>
      <c r="F257" s="21"/>
      <c r="G257" s="21" t="n">
        <v>10.19</v>
      </c>
      <c r="H257" s="49" t="n">
        <v>5.86</v>
      </c>
      <c r="I257" s="21" t="n">
        <v>9.89</v>
      </c>
      <c r="J257" s="21"/>
      <c r="K257" s="21"/>
      <c r="L257" s="50" t="s">
        <v>80</v>
      </c>
      <c r="M257" s="51" t="n">
        <v>5.86</v>
      </c>
      <c r="N257" s="52" t="n">
        <v>42.5</v>
      </c>
      <c r="O257" s="22" t="n">
        <v>4</v>
      </c>
      <c r="P257" s="59" t="s">
        <v>97</v>
      </c>
      <c r="Q257" s="54" t="s">
        <v>303</v>
      </c>
      <c r="R257" s="54" t="s">
        <v>612</v>
      </c>
      <c r="S257" s="55" t="s">
        <v>95</v>
      </c>
    </row>
    <row r="258" customFormat="false" ht="22.35" hidden="false" customHeight="false" outlineLevel="0" collapsed="false">
      <c r="A258" s="24" t="s">
        <v>63</v>
      </c>
      <c r="B258" s="23" t="s">
        <v>613</v>
      </c>
      <c r="C258" s="26" t="s">
        <v>493</v>
      </c>
      <c r="D258" s="25"/>
      <c r="E258" s="25"/>
      <c r="F258" s="25"/>
      <c r="G258" s="49" t="n">
        <v>1.52</v>
      </c>
      <c r="H258" s="25" t="n">
        <v>102.67</v>
      </c>
      <c r="I258" s="25" t="n">
        <v>143.77</v>
      </c>
      <c r="J258" s="25"/>
      <c r="K258" s="25"/>
      <c r="L258" s="56" t="s">
        <v>79</v>
      </c>
      <c r="M258" s="57" t="n">
        <v>1.52</v>
      </c>
      <c r="N258" s="58"/>
      <c r="O258" s="26" t="n">
        <v>3</v>
      </c>
      <c r="P258" s="59" t="s">
        <v>138</v>
      </c>
      <c r="Q258" s="60" t="s">
        <v>313</v>
      </c>
      <c r="R258" s="60" t="s">
        <v>614</v>
      </c>
      <c r="S258" s="26"/>
    </row>
    <row r="259" customFormat="false" ht="22.35" hidden="false" customHeight="false" outlineLevel="0" collapsed="false">
      <c r="A259" s="20" t="s">
        <v>63</v>
      </c>
      <c r="B259" s="19" t="s">
        <v>615</v>
      </c>
      <c r="C259" s="22" t="s">
        <v>556</v>
      </c>
      <c r="D259" s="21"/>
      <c r="E259" s="21"/>
      <c r="F259" s="21"/>
      <c r="G259" s="49" t="n">
        <v>44.98</v>
      </c>
      <c r="H259" s="21" t="n">
        <v>15.5</v>
      </c>
      <c r="I259" s="21" t="n">
        <v>52.13</v>
      </c>
      <c r="J259" s="21"/>
      <c r="K259" s="21"/>
      <c r="L259" s="50" t="s">
        <v>79</v>
      </c>
      <c r="M259" s="51" t="n">
        <v>44.98</v>
      </c>
      <c r="N259" s="52"/>
      <c r="O259" s="22" t="n">
        <v>3</v>
      </c>
      <c r="P259" s="59" t="s">
        <v>138</v>
      </c>
      <c r="Q259" s="54" t="s">
        <v>313</v>
      </c>
      <c r="R259" s="54" t="s">
        <v>616</v>
      </c>
      <c r="S259" s="55" t="s">
        <v>95</v>
      </c>
    </row>
    <row r="260" customFormat="false" ht="15" hidden="false" customHeight="false" outlineLevel="0" collapsed="false">
      <c r="A260" s="24" t="s">
        <v>63</v>
      </c>
      <c r="B260" s="23" t="s">
        <v>617</v>
      </c>
      <c r="C260" s="26" t="s">
        <v>374</v>
      </c>
      <c r="D260" s="49" t="n">
        <v>6.34</v>
      </c>
      <c r="E260" s="25"/>
      <c r="F260" s="25"/>
      <c r="G260" s="25" t="n">
        <v>15.52</v>
      </c>
      <c r="H260" s="25" t="n">
        <v>17.27</v>
      </c>
      <c r="I260" s="25" t="n">
        <v>13.36</v>
      </c>
      <c r="J260" s="25"/>
      <c r="K260" s="25"/>
      <c r="L260" s="56" t="s">
        <v>76</v>
      </c>
      <c r="M260" s="57" t="n">
        <v>6.34</v>
      </c>
      <c r="N260" s="58"/>
      <c r="O260" s="26" t="n">
        <v>4</v>
      </c>
      <c r="P260" s="59" t="s">
        <v>138</v>
      </c>
      <c r="Q260" s="60" t="s">
        <v>93</v>
      </c>
      <c r="R260" s="60" t="s">
        <v>618</v>
      </c>
      <c r="S260" s="61" t="s">
        <v>95</v>
      </c>
    </row>
    <row r="261" customFormat="false" ht="22.35" hidden="false" customHeight="false" outlineLevel="0" collapsed="false">
      <c r="A261" s="20" t="s">
        <v>64</v>
      </c>
      <c r="B261" s="19" t="s">
        <v>619</v>
      </c>
      <c r="C261" s="22" t="s">
        <v>493</v>
      </c>
      <c r="D261" s="21"/>
      <c r="E261" s="21"/>
      <c r="F261" s="21"/>
      <c r="G261" s="21" t="n">
        <v>37.56</v>
      </c>
      <c r="H261" s="21"/>
      <c r="I261" s="49" t="n">
        <v>19.07</v>
      </c>
      <c r="J261" s="21"/>
      <c r="K261" s="21"/>
      <c r="L261" s="50" t="s">
        <v>81</v>
      </c>
      <c r="M261" s="51" t="n">
        <v>19.07</v>
      </c>
      <c r="N261" s="52" t="n">
        <v>49.2</v>
      </c>
      <c r="O261" s="22" t="n">
        <v>2</v>
      </c>
      <c r="P261" s="59" t="s">
        <v>97</v>
      </c>
      <c r="Q261" s="54" t="s">
        <v>169</v>
      </c>
      <c r="R261" s="54" t="s">
        <v>620</v>
      </c>
      <c r="S261" s="55" t="s">
        <v>95</v>
      </c>
    </row>
    <row r="262" customFormat="false" ht="22.35" hidden="false" customHeight="false" outlineLevel="0" collapsed="false">
      <c r="A262" s="24" t="s">
        <v>64</v>
      </c>
      <c r="B262" s="23" t="s">
        <v>621</v>
      </c>
      <c r="C262" s="26" t="s">
        <v>493</v>
      </c>
      <c r="D262" s="25"/>
      <c r="E262" s="25"/>
      <c r="F262" s="25"/>
      <c r="G262" s="25"/>
      <c r="H262" s="49" t="n">
        <v>24.13</v>
      </c>
      <c r="I262" s="25" t="n">
        <v>10.19</v>
      </c>
      <c r="J262" s="25"/>
      <c r="K262" s="25"/>
      <c r="L262" s="56" t="s">
        <v>80</v>
      </c>
      <c r="M262" s="57" t="n">
        <v>24.13</v>
      </c>
      <c r="N262" s="58"/>
      <c r="O262" s="26" t="n">
        <v>2</v>
      </c>
      <c r="P262" s="59" t="s">
        <v>138</v>
      </c>
      <c r="Q262" s="60" t="s">
        <v>303</v>
      </c>
      <c r="R262" s="60" t="s">
        <v>622</v>
      </c>
      <c r="S262" s="61" t="s">
        <v>95</v>
      </c>
    </row>
    <row r="263" customFormat="false" ht="22.35" hidden="false" customHeight="false" outlineLevel="0" collapsed="false">
      <c r="A263" s="20" t="s">
        <v>64</v>
      </c>
      <c r="B263" s="19" t="s">
        <v>623</v>
      </c>
      <c r="C263" s="22" t="s">
        <v>137</v>
      </c>
      <c r="D263" s="21"/>
      <c r="E263" s="21"/>
      <c r="F263" s="21"/>
      <c r="G263" s="21" t="n">
        <v>3.21</v>
      </c>
      <c r="H263" s="49" t="n">
        <v>8.1</v>
      </c>
      <c r="I263" s="21" t="n">
        <v>2.4</v>
      </c>
      <c r="J263" s="21"/>
      <c r="K263" s="21"/>
      <c r="L263" s="50" t="s">
        <v>80</v>
      </c>
      <c r="M263" s="51" t="n">
        <v>8.1</v>
      </c>
      <c r="N263" s="52"/>
      <c r="O263" s="22" t="n">
        <v>3</v>
      </c>
      <c r="P263" s="59" t="s">
        <v>138</v>
      </c>
      <c r="Q263" s="54" t="s">
        <v>303</v>
      </c>
      <c r="R263" s="54" t="s">
        <v>624</v>
      </c>
      <c r="S263" s="55" t="s">
        <v>95</v>
      </c>
    </row>
    <row r="264" customFormat="false" ht="22.35" hidden="false" customHeight="false" outlineLevel="0" collapsed="false">
      <c r="A264" s="24" t="s">
        <v>64</v>
      </c>
      <c r="B264" s="23" t="s">
        <v>625</v>
      </c>
      <c r="C264" s="26" t="s">
        <v>553</v>
      </c>
      <c r="D264" s="25" t="n">
        <v>64.25</v>
      </c>
      <c r="E264" s="25"/>
      <c r="F264" s="25"/>
      <c r="G264" s="49" t="n">
        <v>15.3</v>
      </c>
      <c r="H264" s="25" t="n">
        <v>25.86</v>
      </c>
      <c r="I264" s="25" t="n">
        <v>14.95</v>
      </c>
      <c r="J264" s="25"/>
      <c r="K264" s="25" t="n">
        <v>17.47</v>
      </c>
      <c r="L264" s="56" t="s">
        <v>79</v>
      </c>
      <c r="M264" s="57" t="n">
        <v>15.3</v>
      </c>
      <c r="N264" s="58" t="n">
        <v>76.2</v>
      </c>
      <c r="O264" s="26" t="n">
        <v>5</v>
      </c>
      <c r="P264" s="59" t="s">
        <v>138</v>
      </c>
      <c r="Q264" s="60" t="s">
        <v>313</v>
      </c>
      <c r="R264" s="60" t="s">
        <v>626</v>
      </c>
      <c r="S264" s="61" t="s">
        <v>95</v>
      </c>
    </row>
    <row r="265" customFormat="false" ht="15" hidden="false" customHeight="false" outlineLevel="0" collapsed="false">
      <c r="A265" s="20" t="s">
        <v>64</v>
      </c>
      <c r="B265" s="19" t="s">
        <v>627</v>
      </c>
      <c r="C265" s="22" t="s">
        <v>553</v>
      </c>
      <c r="D265" s="49" t="n">
        <v>13.54</v>
      </c>
      <c r="E265" s="21"/>
      <c r="F265" s="21"/>
      <c r="G265" s="21"/>
      <c r="H265" s="21" t="n">
        <v>15.9</v>
      </c>
      <c r="I265" s="21" t="n">
        <v>7.51</v>
      </c>
      <c r="J265" s="21"/>
      <c r="K265" s="21"/>
      <c r="L265" s="50" t="s">
        <v>76</v>
      </c>
      <c r="M265" s="51" t="n">
        <v>13.54</v>
      </c>
      <c r="N265" s="52"/>
      <c r="O265" s="22" t="n">
        <v>3</v>
      </c>
      <c r="P265" s="59" t="s">
        <v>138</v>
      </c>
      <c r="Q265" s="54" t="s">
        <v>93</v>
      </c>
      <c r="R265" s="54" t="s">
        <v>628</v>
      </c>
      <c r="S265" s="55" t="s">
        <v>95</v>
      </c>
    </row>
    <row r="266" customFormat="false" ht="15" hidden="false" customHeight="false" outlineLevel="0" collapsed="false">
      <c r="A266" s="24" t="s">
        <v>64</v>
      </c>
      <c r="B266" s="23" t="s">
        <v>629</v>
      </c>
      <c r="C266" s="26" t="s">
        <v>188</v>
      </c>
      <c r="D266" s="49" t="n">
        <v>3.24</v>
      </c>
      <c r="E266" s="25"/>
      <c r="F266" s="25"/>
      <c r="G266" s="25"/>
      <c r="H266" s="25" t="n">
        <v>14.62</v>
      </c>
      <c r="I266" s="25" t="n">
        <v>29.3</v>
      </c>
      <c r="J266" s="25"/>
      <c r="K266" s="25"/>
      <c r="L266" s="56" t="s">
        <v>76</v>
      </c>
      <c r="M266" s="57" t="n">
        <v>3.24</v>
      </c>
      <c r="N266" s="58"/>
      <c r="O266" s="26" t="n">
        <v>3</v>
      </c>
      <c r="P266" s="59" t="s">
        <v>138</v>
      </c>
      <c r="Q266" s="60" t="s">
        <v>93</v>
      </c>
      <c r="R266" s="60" t="s">
        <v>630</v>
      </c>
      <c r="S266" s="61" t="s">
        <v>95</v>
      </c>
    </row>
    <row r="267" customFormat="false" ht="22.35" hidden="false" customHeight="false" outlineLevel="0" collapsed="false">
      <c r="A267" s="20" t="s">
        <v>64</v>
      </c>
      <c r="B267" s="19" t="s">
        <v>631</v>
      </c>
      <c r="C267" s="22" t="s">
        <v>493</v>
      </c>
      <c r="D267" s="21"/>
      <c r="E267" s="21"/>
      <c r="F267" s="21"/>
      <c r="G267" s="21" t="n">
        <v>89.98</v>
      </c>
      <c r="H267" s="49" t="n">
        <v>16.56</v>
      </c>
      <c r="I267" s="21" t="n">
        <v>20</v>
      </c>
      <c r="J267" s="21"/>
      <c r="K267" s="21"/>
      <c r="L267" s="50" t="s">
        <v>80</v>
      </c>
      <c r="M267" s="51" t="n">
        <v>16.56</v>
      </c>
      <c r="N267" s="52"/>
      <c r="O267" s="22" t="n">
        <v>3</v>
      </c>
      <c r="P267" s="59" t="s">
        <v>138</v>
      </c>
      <c r="Q267" s="54" t="s">
        <v>303</v>
      </c>
      <c r="R267" s="54" t="s">
        <v>632</v>
      </c>
      <c r="S267" s="55" t="s">
        <v>95</v>
      </c>
    </row>
    <row r="268" customFormat="false" ht="22.35" hidden="false" customHeight="false" outlineLevel="0" collapsed="false">
      <c r="A268" s="24" t="s">
        <v>64</v>
      </c>
      <c r="B268" s="23" t="s">
        <v>633</v>
      </c>
      <c r="C268" s="26" t="s">
        <v>634</v>
      </c>
      <c r="D268" s="25"/>
      <c r="E268" s="25"/>
      <c r="F268" s="25"/>
      <c r="G268" s="25" t="n">
        <v>235.66</v>
      </c>
      <c r="H268" s="49" t="n">
        <v>148.73</v>
      </c>
      <c r="I268" s="25"/>
      <c r="J268" s="25"/>
      <c r="K268" s="25"/>
      <c r="L268" s="56" t="s">
        <v>80</v>
      </c>
      <c r="M268" s="57" t="n">
        <v>148.73</v>
      </c>
      <c r="N268" s="58"/>
      <c r="O268" s="26" t="n">
        <v>2</v>
      </c>
      <c r="P268" s="59" t="s">
        <v>138</v>
      </c>
      <c r="Q268" s="60" t="s">
        <v>303</v>
      </c>
      <c r="R268" s="60" t="s">
        <v>635</v>
      </c>
      <c r="S268" s="61" t="s">
        <v>95</v>
      </c>
    </row>
    <row r="269" customFormat="false" ht="15" hidden="false" customHeight="false" outlineLevel="0" collapsed="false">
      <c r="A269" s="20" t="s">
        <v>64</v>
      </c>
      <c r="B269" s="19" t="s">
        <v>636</v>
      </c>
      <c r="C269" s="22" t="s">
        <v>493</v>
      </c>
      <c r="D269" s="49" t="n">
        <v>7.69</v>
      </c>
      <c r="E269" s="21"/>
      <c r="F269" s="21"/>
      <c r="G269" s="21" t="n">
        <v>9.44</v>
      </c>
      <c r="H269" s="21" t="n">
        <v>19.72</v>
      </c>
      <c r="I269" s="21" t="n">
        <v>15.63</v>
      </c>
      <c r="J269" s="21"/>
      <c r="K269" s="21"/>
      <c r="L269" s="50" t="s">
        <v>76</v>
      </c>
      <c r="M269" s="51" t="n">
        <v>7.69</v>
      </c>
      <c r="N269" s="52" t="n">
        <v>61</v>
      </c>
      <c r="O269" s="22" t="n">
        <v>4</v>
      </c>
      <c r="P269" s="59" t="s">
        <v>138</v>
      </c>
      <c r="Q269" s="54" t="s">
        <v>93</v>
      </c>
      <c r="R269" s="54" t="s">
        <v>637</v>
      </c>
      <c r="S269" s="55" t="s">
        <v>95</v>
      </c>
    </row>
    <row r="270" customFormat="false" ht="22.35" hidden="false" customHeight="false" outlineLevel="0" collapsed="false">
      <c r="A270" s="24" t="s">
        <v>64</v>
      </c>
      <c r="B270" s="23" t="s">
        <v>638</v>
      </c>
      <c r="C270" s="26" t="s">
        <v>493</v>
      </c>
      <c r="D270" s="25"/>
      <c r="E270" s="25"/>
      <c r="F270" s="25"/>
      <c r="G270" s="25" t="n">
        <v>16.28</v>
      </c>
      <c r="H270" s="25" t="n">
        <v>56.56</v>
      </c>
      <c r="I270" s="49" t="n">
        <v>9.05</v>
      </c>
      <c r="J270" s="25"/>
      <c r="K270" s="25" t="n">
        <v>80.9</v>
      </c>
      <c r="L270" s="56" t="s">
        <v>81</v>
      </c>
      <c r="M270" s="57" t="n">
        <v>9.05</v>
      </c>
      <c r="N270" s="58"/>
      <c r="O270" s="26" t="n">
        <v>4</v>
      </c>
      <c r="P270" s="59" t="s">
        <v>138</v>
      </c>
      <c r="Q270" s="60" t="s">
        <v>169</v>
      </c>
      <c r="R270" s="60" t="s">
        <v>639</v>
      </c>
      <c r="S270" s="61" t="s">
        <v>95</v>
      </c>
    </row>
    <row r="271" customFormat="false" ht="22.35" hidden="false" customHeight="false" outlineLevel="0" collapsed="false">
      <c r="A271" s="20" t="s">
        <v>64</v>
      </c>
      <c r="B271" s="19" t="s">
        <v>640</v>
      </c>
      <c r="C271" s="22" t="s">
        <v>137</v>
      </c>
      <c r="D271" s="49" t="n">
        <v>4.38</v>
      </c>
      <c r="E271" s="21"/>
      <c r="F271" s="21"/>
      <c r="G271" s="21" t="n">
        <v>10.45</v>
      </c>
      <c r="H271" s="21" t="n">
        <v>4.99</v>
      </c>
      <c r="I271" s="21" t="n">
        <v>3.89</v>
      </c>
      <c r="J271" s="21"/>
      <c r="K271" s="21"/>
      <c r="L271" s="50" t="s">
        <v>76</v>
      </c>
      <c r="M271" s="51" t="n">
        <v>4.38</v>
      </c>
      <c r="N271" s="52" t="n">
        <v>12.2</v>
      </c>
      <c r="O271" s="22" t="n">
        <v>4</v>
      </c>
      <c r="P271" s="59" t="s">
        <v>138</v>
      </c>
      <c r="Q271" s="54" t="s">
        <v>93</v>
      </c>
      <c r="R271" s="54" t="s">
        <v>641</v>
      </c>
      <c r="S271" s="55" t="s">
        <v>95</v>
      </c>
    </row>
    <row r="272" customFormat="false" ht="22.35" hidden="false" customHeight="false" outlineLevel="0" collapsed="false">
      <c r="A272" s="24" t="s">
        <v>64</v>
      </c>
      <c r="B272" s="23" t="s">
        <v>642</v>
      </c>
      <c r="C272" s="26" t="s">
        <v>91</v>
      </c>
      <c r="D272" s="25" t="n">
        <v>28.44</v>
      </c>
      <c r="E272" s="25"/>
      <c r="F272" s="25"/>
      <c r="G272" s="25" t="n">
        <v>12.42</v>
      </c>
      <c r="H272" s="25" t="n">
        <v>36.94</v>
      </c>
      <c r="I272" s="49" t="n">
        <v>8.32</v>
      </c>
      <c r="J272" s="25"/>
      <c r="K272" s="25"/>
      <c r="L272" s="56" t="s">
        <v>81</v>
      </c>
      <c r="M272" s="57" t="n">
        <v>8.32</v>
      </c>
      <c r="N272" s="58" t="n">
        <v>77.5</v>
      </c>
      <c r="O272" s="26" t="n">
        <v>4</v>
      </c>
      <c r="P272" s="59" t="s">
        <v>97</v>
      </c>
      <c r="Q272" s="60" t="s">
        <v>169</v>
      </c>
      <c r="R272" s="60" t="s">
        <v>643</v>
      </c>
      <c r="S272" s="61" t="s">
        <v>95</v>
      </c>
    </row>
    <row r="273" customFormat="false" ht="22.35" hidden="false" customHeight="false" outlineLevel="0" collapsed="false">
      <c r="A273" s="20" t="s">
        <v>64</v>
      </c>
      <c r="B273" s="19" t="s">
        <v>644</v>
      </c>
      <c r="C273" s="22" t="s">
        <v>553</v>
      </c>
      <c r="D273" s="21"/>
      <c r="E273" s="21"/>
      <c r="F273" s="21"/>
      <c r="G273" s="49" t="n">
        <v>15.75</v>
      </c>
      <c r="H273" s="21" t="n">
        <v>25.9</v>
      </c>
      <c r="I273" s="21" t="n">
        <v>15.75</v>
      </c>
      <c r="J273" s="21"/>
      <c r="K273" s="21"/>
      <c r="L273" s="50" t="s">
        <v>79</v>
      </c>
      <c r="M273" s="51" t="n">
        <v>15.75</v>
      </c>
      <c r="N273" s="52"/>
      <c r="O273" s="22" t="n">
        <v>3</v>
      </c>
      <c r="P273" s="59" t="s">
        <v>138</v>
      </c>
      <c r="Q273" s="54" t="s">
        <v>313</v>
      </c>
      <c r="R273" s="54" t="s">
        <v>645</v>
      </c>
      <c r="S273" s="55" t="s">
        <v>95</v>
      </c>
    </row>
    <row r="274" customFormat="false" ht="22.35" hidden="false" customHeight="false" outlineLevel="0" collapsed="false">
      <c r="A274" s="24" t="s">
        <v>64</v>
      </c>
      <c r="B274" s="23" t="s">
        <v>646</v>
      </c>
      <c r="C274" s="26" t="s">
        <v>647</v>
      </c>
      <c r="D274" s="49" t="n">
        <v>23.05</v>
      </c>
      <c r="E274" s="25"/>
      <c r="F274" s="25"/>
      <c r="G274" s="25" t="n">
        <v>133.84</v>
      </c>
      <c r="H274" s="25" t="n">
        <v>26.24</v>
      </c>
      <c r="I274" s="25" t="n">
        <v>19.18</v>
      </c>
      <c r="J274" s="25"/>
      <c r="K274" s="25"/>
      <c r="L274" s="56" t="s">
        <v>76</v>
      </c>
      <c r="M274" s="57" t="n">
        <v>23.05</v>
      </c>
      <c r="N274" s="58"/>
      <c r="O274" s="26" t="n">
        <v>4</v>
      </c>
      <c r="P274" s="59" t="s">
        <v>138</v>
      </c>
      <c r="Q274" s="60" t="s">
        <v>93</v>
      </c>
      <c r="R274" s="60" t="s">
        <v>648</v>
      </c>
      <c r="S274" s="61" t="s">
        <v>95</v>
      </c>
    </row>
    <row r="275" customFormat="false" ht="22.35" hidden="false" customHeight="false" outlineLevel="0" collapsed="false">
      <c r="A275" s="20" t="s">
        <v>65</v>
      </c>
      <c r="B275" s="19" t="s">
        <v>649</v>
      </c>
      <c r="C275" s="22" t="s">
        <v>91</v>
      </c>
      <c r="D275" s="21"/>
      <c r="E275" s="21"/>
      <c r="F275" s="21"/>
      <c r="G275" s="21" t="n">
        <v>68.16</v>
      </c>
      <c r="H275" s="21" t="n">
        <v>326.7</v>
      </c>
      <c r="I275" s="49" t="n">
        <v>56.03</v>
      </c>
      <c r="J275" s="21"/>
      <c r="K275" s="21" t="n">
        <v>86.08</v>
      </c>
      <c r="L275" s="50" t="s">
        <v>81</v>
      </c>
      <c r="M275" s="51" t="n">
        <v>56.03</v>
      </c>
      <c r="N275" s="52" t="n">
        <v>82.8</v>
      </c>
      <c r="O275" s="22" t="n">
        <v>4</v>
      </c>
      <c r="P275" s="53" t="s">
        <v>92</v>
      </c>
      <c r="Q275" s="54" t="s">
        <v>119</v>
      </c>
      <c r="R275" s="54" t="s">
        <v>650</v>
      </c>
      <c r="S275" s="55" t="s">
        <v>95</v>
      </c>
    </row>
    <row r="276" customFormat="false" ht="32.8" hidden="false" customHeight="false" outlineLevel="0" collapsed="false">
      <c r="A276" s="24" t="s">
        <v>65</v>
      </c>
      <c r="B276" s="23" t="s">
        <v>651</v>
      </c>
      <c r="C276" s="26" t="s">
        <v>91</v>
      </c>
      <c r="D276" s="25"/>
      <c r="E276" s="25"/>
      <c r="F276" s="25"/>
      <c r="G276" s="25" t="n">
        <v>176.71</v>
      </c>
      <c r="H276" s="25" t="n">
        <v>255.93</v>
      </c>
      <c r="I276" s="49" t="n">
        <v>98.43</v>
      </c>
      <c r="J276" s="25"/>
      <c r="K276" s="25"/>
      <c r="L276" s="56" t="s">
        <v>81</v>
      </c>
      <c r="M276" s="57" t="n">
        <v>98.43</v>
      </c>
      <c r="N276" s="58" t="n">
        <v>61.5</v>
      </c>
      <c r="O276" s="26" t="n">
        <v>3</v>
      </c>
      <c r="P276" s="59" t="s">
        <v>97</v>
      </c>
      <c r="Q276" s="60" t="s">
        <v>169</v>
      </c>
      <c r="R276" s="60" t="s">
        <v>652</v>
      </c>
      <c r="S276" s="61" t="s">
        <v>95</v>
      </c>
    </row>
    <row r="277" customFormat="false" ht="32.8" hidden="false" customHeight="false" outlineLevel="0" collapsed="false">
      <c r="A277" s="20" t="s">
        <v>65</v>
      </c>
      <c r="B277" s="19" t="s">
        <v>653</v>
      </c>
      <c r="C277" s="22" t="s">
        <v>91</v>
      </c>
      <c r="D277" s="21"/>
      <c r="E277" s="21"/>
      <c r="F277" s="21"/>
      <c r="G277" s="21" t="n">
        <v>199.67</v>
      </c>
      <c r="H277" s="21"/>
      <c r="I277" s="49" t="n">
        <v>186.2</v>
      </c>
      <c r="J277" s="21"/>
      <c r="K277" s="21"/>
      <c r="L277" s="50" t="s">
        <v>81</v>
      </c>
      <c r="M277" s="51" t="n">
        <v>186.2</v>
      </c>
      <c r="N277" s="52" t="n">
        <v>6.7</v>
      </c>
      <c r="O277" s="22" t="n">
        <v>2</v>
      </c>
      <c r="P277" s="59" t="s">
        <v>97</v>
      </c>
      <c r="Q277" s="54" t="s">
        <v>169</v>
      </c>
      <c r="R277" s="54" t="s">
        <v>654</v>
      </c>
      <c r="S277" s="55" t="s">
        <v>95</v>
      </c>
    </row>
    <row r="278" customFormat="false" ht="22.35" hidden="false" customHeight="false" outlineLevel="0" collapsed="false">
      <c r="A278" s="24" t="s">
        <v>65</v>
      </c>
      <c r="B278" s="23" t="s">
        <v>655</v>
      </c>
      <c r="C278" s="26" t="s">
        <v>91</v>
      </c>
      <c r="D278" s="49" t="n">
        <v>2.21</v>
      </c>
      <c r="E278" s="25"/>
      <c r="F278" s="25"/>
      <c r="G278" s="25" t="n">
        <v>14</v>
      </c>
      <c r="H278" s="25"/>
      <c r="I278" s="25" t="n">
        <v>553.31</v>
      </c>
      <c r="J278" s="25"/>
      <c r="K278" s="25" t="n">
        <v>5.6</v>
      </c>
      <c r="L278" s="56" t="s">
        <v>76</v>
      </c>
      <c r="M278" s="57" t="n">
        <v>2.21</v>
      </c>
      <c r="N278" s="58" t="n">
        <v>99.6</v>
      </c>
      <c r="O278" s="26" t="n">
        <v>4</v>
      </c>
      <c r="P278" s="59" t="s">
        <v>97</v>
      </c>
      <c r="Q278" s="60" t="s">
        <v>93</v>
      </c>
      <c r="R278" s="60" t="s">
        <v>656</v>
      </c>
      <c r="S278" s="61" t="s">
        <v>95</v>
      </c>
    </row>
    <row r="279" customFormat="false" ht="22.35" hidden="false" customHeight="false" outlineLevel="0" collapsed="false">
      <c r="A279" s="20" t="s">
        <v>65</v>
      </c>
      <c r="B279" s="19" t="s">
        <v>657</v>
      </c>
      <c r="C279" s="22" t="s">
        <v>137</v>
      </c>
      <c r="D279" s="21"/>
      <c r="E279" s="21"/>
      <c r="F279" s="21"/>
      <c r="G279" s="21"/>
      <c r="H279" s="21" t="n">
        <v>1.46</v>
      </c>
      <c r="I279" s="21"/>
      <c r="J279" s="21"/>
      <c r="K279" s="21"/>
      <c r="L279" s="50" t="s">
        <v>80</v>
      </c>
      <c r="M279" s="51" t="n">
        <v>1.46</v>
      </c>
      <c r="N279" s="52"/>
      <c r="O279" s="22" t="n">
        <v>1</v>
      </c>
      <c r="P279" s="63"/>
      <c r="Q279" s="54" t="s">
        <v>303</v>
      </c>
      <c r="R279" s="54" t="s">
        <v>658</v>
      </c>
      <c r="S279" s="55" t="s">
        <v>95</v>
      </c>
    </row>
    <row r="280" customFormat="false" ht="22.35" hidden="false" customHeight="false" outlineLevel="0" collapsed="false">
      <c r="A280" s="24" t="s">
        <v>65</v>
      </c>
      <c r="B280" s="23" t="s">
        <v>659</v>
      </c>
      <c r="C280" s="26" t="s">
        <v>493</v>
      </c>
      <c r="D280" s="25"/>
      <c r="E280" s="25"/>
      <c r="F280" s="25"/>
      <c r="G280" s="25"/>
      <c r="H280" s="25" t="n">
        <v>14.1</v>
      </c>
      <c r="I280" s="25"/>
      <c r="J280" s="25"/>
      <c r="K280" s="25"/>
      <c r="L280" s="56" t="s">
        <v>80</v>
      </c>
      <c r="M280" s="57" t="n">
        <v>14.1</v>
      </c>
      <c r="N280" s="58"/>
      <c r="O280" s="26" t="n">
        <v>1</v>
      </c>
      <c r="P280" s="64"/>
      <c r="Q280" s="60" t="s">
        <v>303</v>
      </c>
      <c r="R280" s="60" t="s">
        <v>660</v>
      </c>
      <c r="S280" s="61" t="s">
        <v>95</v>
      </c>
    </row>
    <row r="281" customFormat="false" ht="22.35" hidden="false" customHeight="false" outlineLevel="0" collapsed="false">
      <c r="A281" s="20" t="s">
        <v>65</v>
      </c>
      <c r="B281" s="19" t="s">
        <v>661</v>
      </c>
      <c r="C281" s="22" t="s">
        <v>493</v>
      </c>
      <c r="D281" s="21"/>
      <c r="E281" s="21"/>
      <c r="F281" s="21"/>
      <c r="G281" s="21" t="n">
        <v>29.92</v>
      </c>
      <c r="H281" s="21" t="n">
        <v>19.56</v>
      </c>
      <c r="I281" s="49" t="n">
        <v>9.89</v>
      </c>
      <c r="J281" s="21"/>
      <c r="K281" s="21"/>
      <c r="L281" s="50" t="s">
        <v>81</v>
      </c>
      <c r="M281" s="51" t="n">
        <v>9.89</v>
      </c>
      <c r="N281" s="52" t="n">
        <v>49.4</v>
      </c>
      <c r="O281" s="22" t="n">
        <v>3</v>
      </c>
      <c r="P281" s="59" t="s">
        <v>138</v>
      </c>
      <c r="Q281" s="54" t="s">
        <v>169</v>
      </c>
      <c r="R281" s="54" t="s">
        <v>662</v>
      </c>
      <c r="S281" s="55" t="s">
        <v>95</v>
      </c>
    </row>
    <row r="282" customFormat="false" ht="22.35" hidden="false" customHeight="false" outlineLevel="0" collapsed="false">
      <c r="A282" s="24" t="s">
        <v>65</v>
      </c>
      <c r="B282" s="23" t="s">
        <v>663</v>
      </c>
      <c r="C282" s="26" t="s">
        <v>493</v>
      </c>
      <c r="D282" s="25"/>
      <c r="E282" s="25"/>
      <c r="F282" s="25"/>
      <c r="G282" s="25" t="n">
        <v>34.4</v>
      </c>
      <c r="H282" s="25"/>
      <c r="I282" s="25"/>
      <c r="J282" s="25"/>
      <c r="K282" s="25"/>
      <c r="L282" s="56" t="s">
        <v>79</v>
      </c>
      <c r="M282" s="57" t="n">
        <v>34.4</v>
      </c>
      <c r="N282" s="58"/>
      <c r="O282" s="26" t="n">
        <v>1</v>
      </c>
      <c r="P282" s="64"/>
      <c r="Q282" s="60" t="s">
        <v>313</v>
      </c>
      <c r="R282" s="60" t="s">
        <v>664</v>
      </c>
      <c r="S282" s="26"/>
    </row>
    <row r="283" customFormat="false" ht="22.35" hidden="false" customHeight="false" outlineLevel="0" collapsed="false">
      <c r="A283" s="20" t="s">
        <v>65</v>
      </c>
      <c r="B283" s="19" t="s">
        <v>665</v>
      </c>
      <c r="C283" s="22" t="s">
        <v>137</v>
      </c>
      <c r="D283" s="21"/>
      <c r="E283" s="21"/>
      <c r="F283" s="21"/>
      <c r="G283" s="21" t="n">
        <v>22.32</v>
      </c>
      <c r="H283" s="49" t="n">
        <v>2.25</v>
      </c>
      <c r="I283" s="21" t="n">
        <v>4.41</v>
      </c>
      <c r="J283" s="21"/>
      <c r="K283" s="21"/>
      <c r="L283" s="50" t="s">
        <v>80</v>
      </c>
      <c r="M283" s="51" t="n">
        <v>2.25</v>
      </c>
      <c r="N283" s="52" t="n">
        <v>49</v>
      </c>
      <c r="O283" s="22" t="n">
        <v>3</v>
      </c>
      <c r="P283" s="59" t="s">
        <v>138</v>
      </c>
      <c r="Q283" s="54" t="s">
        <v>303</v>
      </c>
      <c r="R283" s="54" t="s">
        <v>666</v>
      </c>
      <c r="S283" s="55" t="s">
        <v>95</v>
      </c>
    </row>
    <row r="284" customFormat="false" ht="22.35" hidden="false" customHeight="false" outlineLevel="0" collapsed="false">
      <c r="A284" s="24" t="s">
        <v>65</v>
      </c>
      <c r="B284" s="23" t="s">
        <v>667</v>
      </c>
      <c r="C284" s="26" t="s">
        <v>137</v>
      </c>
      <c r="D284" s="25" t="n">
        <v>54.95</v>
      </c>
      <c r="E284" s="25"/>
      <c r="F284" s="25"/>
      <c r="G284" s="25" t="n">
        <v>13.19</v>
      </c>
      <c r="H284" s="49" t="n">
        <v>3.76</v>
      </c>
      <c r="I284" s="25" t="n">
        <v>13.7</v>
      </c>
      <c r="J284" s="25"/>
      <c r="K284" s="25" t="n">
        <v>22.96</v>
      </c>
      <c r="L284" s="56" t="s">
        <v>80</v>
      </c>
      <c r="M284" s="57" t="n">
        <v>3.76</v>
      </c>
      <c r="N284" s="58" t="n">
        <v>93.2</v>
      </c>
      <c r="O284" s="26" t="n">
        <v>5</v>
      </c>
      <c r="P284" s="59" t="s">
        <v>138</v>
      </c>
      <c r="Q284" s="60" t="s">
        <v>303</v>
      </c>
      <c r="R284" s="60" t="s">
        <v>668</v>
      </c>
      <c r="S284" s="61" t="s">
        <v>95</v>
      </c>
    </row>
    <row r="285" customFormat="false" ht="22.35" hidden="false" customHeight="false" outlineLevel="0" collapsed="false">
      <c r="A285" s="20" t="s">
        <v>65</v>
      </c>
      <c r="B285" s="19" t="s">
        <v>669</v>
      </c>
      <c r="C285" s="22" t="s">
        <v>91</v>
      </c>
      <c r="D285" s="21" t="n">
        <v>110.18</v>
      </c>
      <c r="E285" s="21"/>
      <c r="F285" s="21"/>
      <c r="G285" s="49" t="n">
        <v>2.15</v>
      </c>
      <c r="H285" s="21"/>
      <c r="I285" s="21"/>
      <c r="J285" s="21"/>
      <c r="K285" s="21"/>
      <c r="L285" s="50" t="s">
        <v>79</v>
      </c>
      <c r="M285" s="51" t="n">
        <v>2.15</v>
      </c>
      <c r="N285" s="52" t="n">
        <v>98</v>
      </c>
      <c r="O285" s="22" t="n">
        <v>2</v>
      </c>
      <c r="P285" s="59" t="s">
        <v>97</v>
      </c>
      <c r="Q285" s="54" t="s">
        <v>313</v>
      </c>
      <c r="R285" s="54" t="s">
        <v>670</v>
      </c>
      <c r="S285" s="55" t="s">
        <v>95</v>
      </c>
    </row>
    <row r="286" customFormat="false" ht="22.35" hidden="false" customHeight="false" outlineLevel="0" collapsed="false">
      <c r="A286" s="24" t="s">
        <v>65</v>
      </c>
      <c r="B286" s="23" t="s">
        <v>671</v>
      </c>
      <c r="C286" s="26" t="s">
        <v>672</v>
      </c>
      <c r="D286" s="49" t="n">
        <v>3.14</v>
      </c>
      <c r="E286" s="25"/>
      <c r="F286" s="25"/>
      <c r="G286" s="25" t="n">
        <v>30.05</v>
      </c>
      <c r="H286" s="25"/>
      <c r="I286" s="25"/>
      <c r="J286" s="25"/>
      <c r="K286" s="25"/>
      <c r="L286" s="56" t="s">
        <v>76</v>
      </c>
      <c r="M286" s="57" t="n">
        <v>3.14</v>
      </c>
      <c r="N286" s="58" t="n">
        <v>89.6</v>
      </c>
      <c r="O286" s="26" t="n">
        <v>2</v>
      </c>
      <c r="P286" s="59" t="s">
        <v>97</v>
      </c>
      <c r="Q286" s="60" t="s">
        <v>93</v>
      </c>
      <c r="R286" s="60" t="s">
        <v>673</v>
      </c>
      <c r="S286" s="61" t="s">
        <v>95</v>
      </c>
    </row>
    <row r="287" customFormat="false" ht="15" hidden="false" customHeight="false" outlineLevel="0" collapsed="false">
      <c r="A287" s="20" t="s">
        <v>65</v>
      </c>
      <c r="B287" s="19" t="s">
        <v>674</v>
      </c>
      <c r="C287" s="22" t="s">
        <v>91</v>
      </c>
      <c r="D287" s="21" t="n">
        <v>27.57</v>
      </c>
      <c r="E287" s="21"/>
      <c r="F287" s="21"/>
      <c r="G287" s="21"/>
      <c r="H287" s="21"/>
      <c r="I287" s="21"/>
      <c r="J287" s="21"/>
      <c r="K287" s="21"/>
      <c r="L287" s="50" t="s">
        <v>76</v>
      </c>
      <c r="M287" s="51" t="n">
        <v>27.57</v>
      </c>
      <c r="N287" s="52"/>
      <c r="O287" s="22" t="n">
        <v>1</v>
      </c>
      <c r="P287" s="63"/>
      <c r="Q287" s="54" t="s">
        <v>93</v>
      </c>
      <c r="R287" s="54" t="s">
        <v>675</v>
      </c>
      <c r="S287" s="55" t="s">
        <v>95</v>
      </c>
    </row>
    <row r="288" customFormat="false" ht="22.35" hidden="false" customHeight="false" outlineLevel="0" collapsed="false">
      <c r="A288" s="24" t="s">
        <v>65</v>
      </c>
      <c r="B288" s="23" t="s">
        <v>676</v>
      </c>
      <c r="C288" s="26" t="s">
        <v>91</v>
      </c>
      <c r="D288" s="49" t="n">
        <v>3.36</v>
      </c>
      <c r="E288" s="25"/>
      <c r="F288" s="25"/>
      <c r="G288" s="25"/>
      <c r="H288" s="25" t="n">
        <v>9.69</v>
      </c>
      <c r="I288" s="25" t="n">
        <v>43.47</v>
      </c>
      <c r="J288" s="25"/>
      <c r="K288" s="25"/>
      <c r="L288" s="56" t="s">
        <v>76</v>
      </c>
      <c r="M288" s="57" t="n">
        <v>3.36</v>
      </c>
      <c r="N288" s="58" t="n">
        <v>92.3</v>
      </c>
      <c r="O288" s="26" t="n">
        <v>3</v>
      </c>
      <c r="P288" s="59" t="s">
        <v>97</v>
      </c>
      <c r="Q288" s="60" t="s">
        <v>93</v>
      </c>
      <c r="R288" s="60" t="s">
        <v>677</v>
      </c>
      <c r="S288" s="61" t="s">
        <v>95</v>
      </c>
    </row>
    <row r="289" customFormat="false" ht="15" hidden="false" customHeight="false" outlineLevel="0" collapsed="false">
      <c r="A289" s="20" t="s">
        <v>65</v>
      </c>
      <c r="B289" s="19" t="s">
        <v>678</v>
      </c>
      <c r="C289" s="22" t="s">
        <v>493</v>
      </c>
      <c r="D289" s="21"/>
      <c r="E289" s="21"/>
      <c r="F289" s="21"/>
      <c r="G289" s="21"/>
      <c r="H289" s="21"/>
      <c r="I289" s="21" t="n">
        <v>957.1</v>
      </c>
      <c r="J289" s="21"/>
      <c r="K289" s="49" t="n">
        <v>58.71</v>
      </c>
      <c r="L289" s="50" t="s">
        <v>83</v>
      </c>
      <c r="M289" s="51" t="n">
        <v>58.71</v>
      </c>
      <c r="N289" s="52"/>
      <c r="O289" s="22" t="n">
        <v>2</v>
      </c>
      <c r="P289" s="59" t="s">
        <v>138</v>
      </c>
      <c r="Q289" s="54" t="s">
        <v>534</v>
      </c>
      <c r="R289" s="54" t="s">
        <v>679</v>
      </c>
      <c r="S289" s="55" t="s">
        <v>95</v>
      </c>
    </row>
    <row r="290" customFormat="false" ht="22.35" hidden="false" customHeight="false" outlineLevel="0" collapsed="false">
      <c r="A290" s="24" t="s">
        <v>65</v>
      </c>
      <c r="B290" s="23" t="s">
        <v>680</v>
      </c>
      <c r="C290" s="26" t="s">
        <v>519</v>
      </c>
      <c r="D290" s="25"/>
      <c r="E290" s="25"/>
      <c r="F290" s="25"/>
      <c r="G290" s="25"/>
      <c r="H290" s="49" t="n">
        <v>6.97</v>
      </c>
      <c r="I290" s="25" t="n">
        <v>8.95</v>
      </c>
      <c r="J290" s="25"/>
      <c r="K290" s="25"/>
      <c r="L290" s="56" t="s">
        <v>80</v>
      </c>
      <c r="M290" s="57" t="n">
        <v>6.97</v>
      </c>
      <c r="N290" s="58"/>
      <c r="O290" s="26" t="n">
        <v>2</v>
      </c>
      <c r="P290" s="59" t="s">
        <v>138</v>
      </c>
      <c r="Q290" s="60" t="s">
        <v>303</v>
      </c>
      <c r="R290" s="60" t="s">
        <v>681</v>
      </c>
      <c r="S290" s="61" t="s">
        <v>95</v>
      </c>
    </row>
    <row r="291" customFormat="false" ht="15" hidden="false" customHeight="false" outlineLevel="0" collapsed="false">
      <c r="A291" s="20" t="s">
        <v>66</v>
      </c>
      <c r="B291" s="19" t="s">
        <v>682</v>
      </c>
      <c r="C291" s="22" t="s">
        <v>553</v>
      </c>
      <c r="D291" s="49" t="n">
        <v>6.1</v>
      </c>
      <c r="E291" s="21"/>
      <c r="F291" s="21"/>
      <c r="G291" s="21" t="n">
        <v>19.3</v>
      </c>
      <c r="H291" s="21" t="n">
        <v>33.37</v>
      </c>
      <c r="I291" s="21" t="n">
        <v>6.38</v>
      </c>
      <c r="J291" s="21"/>
      <c r="K291" s="21"/>
      <c r="L291" s="50" t="s">
        <v>76</v>
      </c>
      <c r="M291" s="51" t="n">
        <v>6.1</v>
      </c>
      <c r="N291" s="52" t="n">
        <v>68.4</v>
      </c>
      <c r="O291" s="22" t="n">
        <v>4</v>
      </c>
      <c r="P291" s="59" t="s">
        <v>138</v>
      </c>
      <c r="Q291" s="54" t="s">
        <v>93</v>
      </c>
      <c r="R291" s="54" t="s">
        <v>683</v>
      </c>
      <c r="S291" s="55" t="s">
        <v>95</v>
      </c>
    </row>
    <row r="292" customFormat="false" ht="22.35" hidden="false" customHeight="false" outlineLevel="0" collapsed="false">
      <c r="A292" s="24" t="s">
        <v>66</v>
      </c>
      <c r="B292" s="23" t="s">
        <v>684</v>
      </c>
      <c r="C292" s="26" t="s">
        <v>553</v>
      </c>
      <c r="D292" s="25"/>
      <c r="E292" s="25"/>
      <c r="F292" s="25"/>
      <c r="G292" s="25"/>
      <c r="H292" s="25" t="n">
        <v>8.57</v>
      </c>
      <c r="I292" s="25"/>
      <c r="J292" s="25"/>
      <c r="K292" s="25"/>
      <c r="L292" s="56" t="s">
        <v>80</v>
      </c>
      <c r="M292" s="57" t="n">
        <v>8.57</v>
      </c>
      <c r="N292" s="58"/>
      <c r="O292" s="26" t="n">
        <v>1</v>
      </c>
      <c r="P292" s="64"/>
      <c r="Q292" s="60" t="s">
        <v>303</v>
      </c>
      <c r="R292" s="60" t="s">
        <v>685</v>
      </c>
      <c r="S292" s="61" t="s">
        <v>95</v>
      </c>
    </row>
    <row r="293" customFormat="false" ht="15" hidden="false" customHeight="false" outlineLevel="0" collapsed="false">
      <c r="A293" s="20" t="s">
        <v>66</v>
      </c>
      <c r="B293" s="19" t="s">
        <v>686</v>
      </c>
      <c r="C293" s="22" t="s">
        <v>553</v>
      </c>
      <c r="D293" s="21"/>
      <c r="E293" s="21"/>
      <c r="F293" s="21"/>
      <c r="G293" s="21"/>
      <c r="H293" s="21" t="n">
        <v>8.81</v>
      </c>
      <c r="I293" s="49" t="n">
        <v>12.05</v>
      </c>
      <c r="J293" s="21"/>
      <c r="K293" s="21"/>
      <c r="L293" s="50" t="s">
        <v>81</v>
      </c>
      <c r="M293" s="51" t="n">
        <v>12.05</v>
      </c>
      <c r="N293" s="52"/>
      <c r="O293" s="22" t="n">
        <v>2</v>
      </c>
      <c r="P293" s="59" t="s">
        <v>138</v>
      </c>
      <c r="Q293" s="54" t="s">
        <v>119</v>
      </c>
      <c r="R293" s="54" t="s">
        <v>687</v>
      </c>
      <c r="S293" s="55" t="s">
        <v>95</v>
      </c>
    </row>
    <row r="294" customFormat="false" ht="15" hidden="false" customHeight="false" outlineLevel="0" collapsed="false">
      <c r="A294" s="24" t="s">
        <v>66</v>
      </c>
      <c r="B294" s="23" t="s">
        <v>688</v>
      </c>
      <c r="C294" s="26" t="s">
        <v>553</v>
      </c>
      <c r="D294" s="49" t="n">
        <v>6.1</v>
      </c>
      <c r="E294" s="25"/>
      <c r="F294" s="25"/>
      <c r="G294" s="25" t="n">
        <v>10.05</v>
      </c>
      <c r="H294" s="25" t="n">
        <v>12.02</v>
      </c>
      <c r="I294" s="25" t="n">
        <v>3.41</v>
      </c>
      <c r="J294" s="25"/>
      <c r="K294" s="25"/>
      <c r="L294" s="56" t="s">
        <v>76</v>
      </c>
      <c r="M294" s="57" t="n">
        <v>6.1</v>
      </c>
      <c r="N294" s="58" t="n">
        <v>39.3</v>
      </c>
      <c r="O294" s="26" t="n">
        <v>4</v>
      </c>
      <c r="P294" s="59" t="s">
        <v>138</v>
      </c>
      <c r="Q294" s="60" t="s">
        <v>93</v>
      </c>
      <c r="R294" s="60" t="s">
        <v>683</v>
      </c>
      <c r="S294" s="61" t="s">
        <v>95</v>
      </c>
    </row>
    <row r="295" customFormat="false" ht="22.35" hidden="false" customHeight="false" outlineLevel="0" collapsed="false">
      <c r="A295" s="20" t="s">
        <v>66</v>
      </c>
      <c r="B295" s="19" t="s">
        <v>689</v>
      </c>
      <c r="C295" s="22" t="s">
        <v>553</v>
      </c>
      <c r="D295" s="21"/>
      <c r="E295" s="21"/>
      <c r="F295" s="21"/>
      <c r="G295" s="49" t="n">
        <v>2.44</v>
      </c>
      <c r="H295" s="21" t="n">
        <v>4.81</v>
      </c>
      <c r="I295" s="21" t="n">
        <v>4.29</v>
      </c>
      <c r="J295" s="21"/>
      <c r="K295" s="21"/>
      <c r="L295" s="50" t="s">
        <v>79</v>
      </c>
      <c r="M295" s="51" t="n">
        <v>2.44</v>
      </c>
      <c r="N295" s="52"/>
      <c r="O295" s="22" t="n">
        <v>3</v>
      </c>
      <c r="P295" s="59" t="s">
        <v>138</v>
      </c>
      <c r="Q295" s="54" t="s">
        <v>313</v>
      </c>
      <c r="R295" s="54" t="s">
        <v>690</v>
      </c>
      <c r="S295" s="55" t="s">
        <v>95</v>
      </c>
    </row>
    <row r="296" customFormat="false" ht="22.35" hidden="false" customHeight="false" outlineLevel="0" collapsed="false">
      <c r="A296" s="24" t="s">
        <v>66</v>
      </c>
      <c r="B296" s="23" t="s">
        <v>691</v>
      </c>
      <c r="C296" s="26" t="s">
        <v>553</v>
      </c>
      <c r="D296" s="25"/>
      <c r="E296" s="25"/>
      <c r="F296" s="25"/>
      <c r="G296" s="25" t="n">
        <v>4.08</v>
      </c>
      <c r="H296" s="25"/>
      <c r="I296" s="25"/>
      <c r="J296" s="25"/>
      <c r="K296" s="25"/>
      <c r="L296" s="56" t="s">
        <v>79</v>
      </c>
      <c r="M296" s="57" t="n">
        <v>4.08</v>
      </c>
      <c r="N296" s="58"/>
      <c r="O296" s="26" t="n">
        <v>1</v>
      </c>
      <c r="P296" s="64"/>
      <c r="Q296" s="60" t="s">
        <v>313</v>
      </c>
      <c r="R296" s="60" t="s">
        <v>692</v>
      </c>
      <c r="S296" s="61" t="s">
        <v>95</v>
      </c>
    </row>
    <row r="297" customFormat="false" ht="22.35" hidden="false" customHeight="false" outlineLevel="0" collapsed="false">
      <c r="A297" s="20" t="s">
        <v>66</v>
      </c>
      <c r="B297" s="19" t="s">
        <v>693</v>
      </c>
      <c r="C297" s="22" t="s">
        <v>91</v>
      </c>
      <c r="D297" s="21"/>
      <c r="E297" s="21"/>
      <c r="F297" s="21"/>
      <c r="G297" s="21"/>
      <c r="H297" s="21" t="n">
        <v>3.97</v>
      </c>
      <c r="I297" s="21"/>
      <c r="J297" s="21"/>
      <c r="K297" s="21"/>
      <c r="L297" s="50" t="s">
        <v>80</v>
      </c>
      <c r="M297" s="51" t="n">
        <v>3.97</v>
      </c>
      <c r="N297" s="52"/>
      <c r="O297" s="22" t="n">
        <v>1</v>
      </c>
      <c r="P297" s="63"/>
      <c r="Q297" s="54" t="s">
        <v>303</v>
      </c>
      <c r="R297" s="54" t="s">
        <v>694</v>
      </c>
      <c r="S297" s="55" t="s">
        <v>95</v>
      </c>
    </row>
    <row r="298" customFormat="false" ht="22.35" hidden="false" customHeight="false" outlineLevel="0" collapsed="false">
      <c r="A298" s="24" t="s">
        <v>66</v>
      </c>
      <c r="B298" s="23" t="s">
        <v>695</v>
      </c>
      <c r="C298" s="26" t="s">
        <v>91</v>
      </c>
      <c r="D298" s="25"/>
      <c r="E298" s="25"/>
      <c r="F298" s="25"/>
      <c r="G298" s="25" t="n">
        <v>174.08</v>
      </c>
      <c r="H298" s="49" t="n">
        <v>1.86</v>
      </c>
      <c r="I298" s="25"/>
      <c r="J298" s="25"/>
      <c r="K298" s="25"/>
      <c r="L298" s="56" t="s">
        <v>80</v>
      </c>
      <c r="M298" s="57" t="n">
        <v>1.86</v>
      </c>
      <c r="N298" s="58" t="n">
        <v>98.9</v>
      </c>
      <c r="O298" s="26" t="n">
        <v>2</v>
      </c>
      <c r="P298" s="59" t="s">
        <v>138</v>
      </c>
      <c r="Q298" s="60" t="s">
        <v>303</v>
      </c>
      <c r="R298" s="60" t="s">
        <v>696</v>
      </c>
      <c r="S298" s="61" t="s">
        <v>95</v>
      </c>
    </row>
    <row r="299" customFormat="false" ht="15" hidden="false" customHeight="false" outlineLevel="0" collapsed="false">
      <c r="A299" s="20" t="s">
        <v>66</v>
      </c>
      <c r="B299" s="19" t="s">
        <v>697</v>
      </c>
      <c r="C299" s="22" t="s">
        <v>91</v>
      </c>
      <c r="D299" s="49" t="n">
        <v>15.76</v>
      </c>
      <c r="E299" s="21"/>
      <c r="F299" s="21"/>
      <c r="G299" s="21"/>
      <c r="H299" s="21"/>
      <c r="I299" s="21" t="n">
        <v>23.96</v>
      </c>
      <c r="J299" s="21"/>
      <c r="K299" s="21"/>
      <c r="L299" s="50" t="s">
        <v>76</v>
      </c>
      <c r="M299" s="51" t="n">
        <v>15.76</v>
      </c>
      <c r="N299" s="52" t="n">
        <v>34.2</v>
      </c>
      <c r="O299" s="22" t="n">
        <v>2</v>
      </c>
      <c r="P299" s="59" t="s">
        <v>138</v>
      </c>
      <c r="Q299" s="54" t="s">
        <v>93</v>
      </c>
      <c r="R299" s="54" t="s">
        <v>698</v>
      </c>
      <c r="S299" s="55" t="s">
        <v>95</v>
      </c>
    </row>
    <row r="300" customFormat="false" ht="22.35" hidden="false" customHeight="false" outlineLevel="0" collapsed="false">
      <c r="A300" s="24" t="s">
        <v>66</v>
      </c>
      <c r="B300" s="23" t="s">
        <v>699</v>
      </c>
      <c r="C300" s="26" t="s">
        <v>493</v>
      </c>
      <c r="D300" s="25"/>
      <c r="E300" s="25"/>
      <c r="F300" s="25"/>
      <c r="G300" s="25" t="n">
        <v>6.56</v>
      </c>
      <c r="H300" s="49" t="n">
        <v>14.32</v>
      </c>
      <c r="I300" s="25" t="n">
        <v>48.4</v>
      </c>
      <c r="J300" s="25"/>
      <c r="K300" s="25"/>
      <c r="L300" s="56" t="s">
        <v>80</v>
      </c>
      <c r="M300" s="57" t="n">
        <v>14.32</v>
      </c>
      <c r="N300" s="58"/>
      <c r="O300" s="26" t="n">
        <v>3</v>
      </c>
      <c r="P300" s="59" t="s">
        <v>138</v>
      </c>
      <c r="Q300" s="60" t="s">
        <v>303</v>
      </c>
      <c r="R300" s="60" t="s">
        <v>700</v>
      </c>
      <c r="S300" s="61" t="s">
        <v>95</v>
      </c>
    </row>
    <row r="301" customFormat="false" ht="22.35" hidden="false" customHeight="false" outlineLevel="0" collapsed="false">
      <c r="A301" s="20" t="s">
        <v>66</v>
      </c>
      <c r="B301" s="19" t="s">
        <v>701</v>
      </c>
      <c r="C301" s="22" t="s">
        <v>137</v>
      </c>
      <c r="D301" s="21" t="n">
        <v>16.7</v>
      </c>
      <c r="E301" s="21"/>
      <c r="F301" s="21"/>
      <c r="G301" s="21" t="n">
        <v>1.36</v>
      </c>
      <c r="H301" s="49" t="n">
        <v>2.9</v>
      </c>
      <c r="I301" s="21" t="n">
        <v>17.8</v>
      </c>
      <c r="J301" s="21"/>
      <c r="K301" s="21"/>
      <c r="L301" s="50" t="s">
        <v>80</v>
      </c>
      <c r="M301" s="51" t="n">
        <v>2.9</v>
      </c>
      <c r="N301" s="52" t="n">
        <v>82.6</v>
      </c>
      <c r="O301" s="22" t="n">
        <v>4</v>
      </c>
      <c r="P301" s="59" t="s">
        <v>138</v>
      </c>
      <c r="Q301" s="54" t="s">
        <v>303</v>
      </c>
      <c r="R301" s="54" t="s">
        <v>702</v>
      </c>
      <c r="S301" s="55" t="s">
        <v>95</v>
      </c>
    </row>
    <row r="302" customFormat="false" ht="22.35" hidden="false" customHeight="false" outlineLevel="0" collapsed="false">
      <c r="A302" s="24" t="s">
        <v>66</v>
      </c>
      <c r="B302" s="23" t="s">
        <v>703</v>
      </c>
      <c r="C302" s="26" t="s">
        <v>137</v>
      </c>
      <c r="D302" s="25"/>
      <c r="E302" s="25"/>
      <c r="F302" s="25"/>
      <c r="G302" s="25" t="n">
        <v>3.08</v>
      </c>
      <c r="H302" s="25"/>
      <c r="I302" s="25"/>
      <c r="J302" s="25"/>
      <c r="K302" s="25"/>
      <c r="L302" s="56" t="s">
        <v>79</v>
      </c>
      <c r="M302" s="57" t="n">
        <v>3.08</v>
      </c>
      <c r="N302" s="58"/>
      <c r="O302" s="26" t="n">
        <v>1</v>
      </c>
      <c r="P302" s="64"/>
      <c r="Q302" s="60" t="s">
        <v>313</v>
      </c>
      <c r="R302" s="60" t="s">
        <v>704</v>
      </c>
      <c r="S302" s="26"/>
    </row>
    <row r="303" customFormat="false" ht="22.35" hidden="false" customHeight="false" outlineLevel="0" collapsed="false">
      <c r="A303" s="20" t="s">
        <v>66</v>
      </c>
      <c r="B303" s="19" t="s">
        <v>705</v>
      </c>
      <c r="C303" s="22" t="s">
        <v>493</v>
      </c>
      <c r="D303" s="21" t="n">
        <v>0.51</v>
      </c>
      <c r="E303" s="21"/>
      <c r="F303" s="21"/>
      <c r="G303" s="21"/>
      <c r="H303" s="21"/>
      <c r="I303" s="21"/>
      <c r="J303" s="21"/>
      <c r="K303" s="21"/>
      <c r="L303" s="50" t="s">
        <v>76</v>
      </c>
      <c r="M303" s="51" t="n">
        <v>0.51</v>
      </c>
      <c r="N303" s="52"/>
      <c r="O303" s="22" t="n">
        <v>1</v>
      </c>
      <c r="P303" s="63"/>
      <c r="Q303" s="54" t="s">
        <v>93</v>
      </c>
      <c r="R303" s="54" t="s">
        <v>706</v>
      </c>
      <c r="S303" s="55" t="s">
        <v>95</v>
      </c>
    </row>
    <row r="304" customFormat="false" ht="22.35" hidden="false" customHeight="false" outlineLevel="0" collapsed="false">
      <c r="A304" s="24" t="s">
        <v>66</v>
      </c>
      <c r="B304" s="23" t="s">
        <v>707</v>
      </c>
      <c r="C304" s="26" t="s">
        <v>708</v>
      </c>
      <c r="D304" s="25"/>
      <c r="E304" s="25"/>
      <c r="F304" s="25"/>
      <c r="G304" s="49" t="n">
        <v>0.74</v>
      </c>
      <c r="H304" s="25" t="n">
        <v>68.12</v>
      </c>
      <c r="I304" s="25"/>
      <c r="J304" s="25"/>
      <c r="K304" s="25"/>
      <c r="L304" s="56" t="s">
        <v>79</v>
      </c>
      <c r="M304" s="57" t="n">
        <v>0.74</v>
      </c>
      <c r="N304" s="58"/>
      <c r="O304" s="26" t="n">
        <v>2</v>
      </c>
      <c r="P304" s="59" t="s">
        <v>138</v>
      </c>
      <c r="Q304" s="60" t="s">
        <v>313</v>
      </c>
      <c r="R304" s="60" t="s">
        <v>709</v>
      </c>
      <c r="S304" s="61" t="s">
        <v>95</v>
      </c>
    </row>
    <row r="305" customFormat="false" ht="22.35" hidden="false" customHeight="false" outlineLevel="0" collapsed="false">
      <c r="A305" s="20" t="s">
        <v>66</v>
      </c>
      <c r="B305" s="19" t="s">
        <v>710</v>
      </c>
      <c r="C305" s="22" t="s">
        <v>493</v>
      </c>
      <c r="D305" s="21"/>
      <c r="E305" s="21"/>
      <c r="F305" s="21"/>
      <c r="G305" s="21" t="n">
        <v>96.97</v>
      </c>
      <c r="H305" s="49" t="n">
        <v>7.68</v>
      </c>
      <c r="I305" s="21" t="n">
        <v>3.36</v>
      </c>
      <c r="J305" s="21"/>
      <c r="K305" s="21"/>
      <c r="L305" s="50" t="s">
        <v>80</v>
      </c>
      <c r="M305" s="51" t="n">
        <v>7.68</v>
      </c>
      <c r="N305" s="52"/>
      <c r="O305" s="22" t="n">
        <v>3</v>
      </c>
      <c r="P305" s="59" t="s">
        <v>138</v>
      </c>
      <c r="Q305" s="54" t="s">
        <v>303</v>
      </c>
      <c r="R305" s="54" t="s">
        <v>711</v>
      </c>
      <c r="S305" s="55" t="s">
        <v>95</v>
      </c>
    </row>
    <row r="306" customFormat="false" ht="22.35" hidden="false" customHeight="false" outlineLevel="0" collapsed="false">
      <c r="A306" s="24" t="s">
        <v>66</v>
      </c>
      <c r="B306" s="23" t="s">
        <v>712</v>
      </c>
      <c r="C306" s="26" t="s">
        <v>91</v>
      </c>
      <c r="D306" s="25" t="n">
        <v>7.56</v>
      </c>
      <c r="E306" s="25"/>
      <c r="F306" s="25"/>
      <c r="G306" s="25" t="n">
        <v>6.95</v>
      </c>
      <c r="H306" s="49" t="n">
        <v>0.77</v>
      </c>
      <c r="I306" s="25" t="n">
        <v>9.18</v>
      </c>
      <c r="J306" s="25"/>
      <c r="K306" s="25"/>
      <c r="L306" s="56" t="s">
        <v>80</v>
      </c>
      <c r="M306" s="57" t="n">
        <v>0.77</v>
      </c>
      <c r="N306" s="58" t="n">
        <v>91.6</v>
      </c>
      <c r="O306" s="26" t="n">
        <v>4</v>
      </c>
      <c r="P306" s="59" t="s">
        <v>138</v>
      </c>
      <c r="Q306" s="60" t="s">
        <v>303</v>
      </c>
      <c r="R306" s="60" t="s">
        <v>713</v>
      </c>
      <c r="S306" s="61" t="s">
        <v>95</v>
      </c>
    </row>
    <row r="307" customFormat="false" ht="22.35" hidden="false" customHeight="false" outlineLevel="0" collapsed="false">
      <c r="A307" s="20" t="s">
        <v>66</v>
      </c>
      <c r="B307" s="19" t="s">
        <v>714</v>
      </c>
      <c r="C307" s="22" t="s">
        <v>91</v>
      </c>
      <c r="D307" s="21" t="n">
        <v>93.9</v>
      </c>
      <c r="E307" s="21"/>
      <c r="F307" s="21"/>
      <c r="G307" s="21" t="n">
        <v>48.74</v>
      </c>
      <c r="H307" s="21" t="n">
        <v>120.95</v>
      </c>
      <c r="I307" s="49" t="n">
        <v>7.24</v>
      </c>
      <c r="J307" s="21"/>
      <c r="K307" s="21"/>
      <c r="L307" s="50" t="s">
        <v>81</v>
      </c>
      <c r="M307" s="51" t="n">
        <v>7.24</v>
      </c>
      <c r="N307" s="52" t="n">
        <v>94</v>
      </c>
      <c r="O307" s="22" t="n">
        <v>4</v>
      </c>
      <c r="P307" s="59" t="s">
        <v>138</v>
      </c>
      <c r="Q307" s="54" t="s">
        <v>119</v>
      </c>
      <c r="R307" s="54" t="s">
        <v>715</v>
      </c>
      <c r="S307" s="55" t="s">
        <v>95</v>
      </c>
    </row>
    <row r="308" customFormat="false" ht="22.35" hidden="false" customHeight="false" outlineLevel="0" collapsed="false">
      <c r="A308" s="24" t="s">
        <v>66</v>
      </c>
      <c r="B308" s="23" t="s">
        <v>716</v>
      </c>
      <c r="C308" s="26" t="s">
        <v>519</v>
      </c>
      <c r="D308" s="49" t="n">
        <v>6.5</v>
      </c>
      <c r="E308" s="25"/>
      <c r="F308" s="25"/>
      <c r="G308" s="25" t="n">
        <v>14</v>
      </c>
      <c r="H308" s="25" t="n">
        <v>14.05</v>
      </c>
      <c r="I308" s="25" t="n">
        <v>10.33</v>
      </c>
      <c r="J308" s="25"/>
      <c r="K308" s="25"/>
      <c r="L308" s="56" t="s">
        <v>76</v>
      </c>
      <c r="M308" s="57" t="n">
        <v>6.5</v>
      </c>
      <c r="N308" s="58"/>
      <c r="O308" s="26" t="n">
        <v>4</v>
      </c>
      <c r="P308" s="59" t="s">
        <v>138</v>
      </c>
      <c r="Q308" s="60" t="s">
        <v>93</v>
      </c>
      <c r="R308" s="60" t="s">
        <v>717</v>
      </c>
      <c r="S308" s="61" t="s">
        <v>95</v>
      </c>
    </row>
    <row r="309" customFormat="false" ht="15" hidden="false" customHeight="false" outlineLevel="0" collapsed="false">
      <c r="A309" s="20" t="s">
        <v>66</v>
      </c>
      <c r="B309" s="19" t="s">
        <v>718</v>
      </c>
      <c r="C309" s="22" t="s">
        <v>91</v>
      </c>
      <c r="D309" s="49" t="n">
        <v>5.69</v>
      </c>
      <c r="E309" s="21" t="n">
        <v>573.46</v>
      </c>
      <c r="F309" s="21"/>
      <c r="G309" s="21"/>
      <c r="H309" s="21" t="n">
        <v>22.83</v>
      </c>
      <c r="I309" s="21"/>
      <c r="J309" s="21"/>
      <c r="K309" s="21"/>
      <c r="L309" s="50" t="s">
        <v>76</v>
      </c>
      <c r="M309" s="51" t="n">
        <v>5.69</v>
      </c>
      <c r="N309" s="52" t="n">
        <v>75.1</v>
      </c>
      <c r="O309" s="22" t="n">
        <v>3</v>
      </c>
      <c r="P309" s="59" t="s">
        <v>138</v>
      </c>
      <c r="Q309" s="54" t="s">
        <v>93</v>
      </c>
      <c r="R309" s="54" t="s">
        <v>719</v>
      </c>
      <c r="S309" s="55" t="s">
        <v>95</v>
      </c>
    </row>
    <row r="310" customFormat="false" ht="22.35" hidden="false" customHeight="false" outlineLevel="0" collapsed="false">
      <c r="A310" s="24" t="s">
        <v>67</v>
      </c>
      <c r="B310" s="23" t="s">
        <v>720</v>
      </c>
      <c r="C310" s="26" t="s">
        <v>203</v>
      </c>
      <c r="D310" s="49" t="n">
        <v>21.29</v>
      </c>
      <c r="E310" s="25"/>
      <c r="F310" s="25"/>
      <c r="G310" s="25"/>
      <c r="H310" s="25" t="n">
        <v>17.33</v>
      </c>
      <c r="I310" s="25"/>
      <c r="J310" s="25"/>
      <c r="K310" s="25"/>
      <c r="L310" s="56" t="s">
        <v>76</v>
      </c>
      <c r="M310" s="57" t="n">
        <v>21.29</v>
      </c>
      <c r="N310" s="58"/>
      <c r="O310" s="26" t="n">
        <v>2</v>
      </c>
      <c r="P310" s="59" t="s">
        <v>138</v>
      </c>
      <c r="Q310" s="60" t="s">
        <v>93</v>
      </c>
      <c r="R310" s="60" t="s">
        <v>721</v>
      </c>
      <c r="S310" s="61" t="s">
        <v>95</v>
      </c>
    </row>
    <row r="311" customFormat="false" ht="22.35" hidden="false" customHeight="false" outlineLevel="0" collapsed="false">
      <c r="A311" s="20" t="s">
        <v>67</v>
      </c>
      <c r="B311" s="19" t="s">
        <v>722</v>
      </c>
      <c r="C311" s="22" t="s">
        <v>203</v>
      </c>
      <c r="D311" s="49" t="n">
        <v>9.58</v>
      </c>
      <c r="E311" s="21"/>
      <c r="F311" s="21"/>
      <c r="G311" s="21"/>
      <c r="H311" s="21"/>
      <c r="I311" s="21" t="n">
        <v>33.54</v>
      </c>
      <c r="J311" s="21"/>
      <c r="K311" s="21"/>
      <c r="L311" s="50" t="s">
        <v>76</v>
      </c>
      <c r="M311" s="51" t="n">
        <v>9.58</v>
      </c>
      <c r="N311" s="52" t="n">
        <v>71.4</v>
      </c>
      <c r="O311" s="22" t="n">
        <v>2</v>
      </c>
      <c r="P311" s="53" t="s">
        <v>92</v>
      </c>
      <c r="Q311" s="54" t="s">
        <v>93</v>
      </c>
      <c r="R311" s="54" t="s">
        <v>723</v>
      </c>
      <c r="S311" s="55" t="s">
        <v>95</v>
      </c>
    </row>
    <row r="312" customFormat="false" ht="22.35" hidden="false" customHeight="false" outlineLevel="0" collapsed="false">
      <c r="A312" s="24" t="s">
        <v>67</v>
      </c>
      <c r="B312" s="23" t="s">
        <v>724</v>
      </c>
      <c r="C312" s="26" t="s">
        <v>203</v>
      </c>
      <c r="D312" s="49" t="n">
        <v>15.94</v>
      </c>
      <c r="E312" s="25"/>
      <c r="F312" s="25"/>
      <c r="G312" s="25"/>
      <c r="H312" s="25"/>
      <c r="I312" s="25" t="n">
        <v>20.2</v>
      </c>
      <c r="J312" s="25"/>
      <c r="K312" s="25"/>
      <c r="L312" s="56" t="s">
        <v>76</v>
      </c>
      <c r="M312" s="57" t="n">
        <v>15.94</v>
      </c>
      <c r="N312" s="58" t="n">
        <v>21.1</v>
      </c>
      <c r="O312" s="26" t="n">
        <v>2</v>
      </c>
      <c r="P312" s="62" t="s">
        <v>92</v>
      </c>
      <c r="Q312" s="60" t="s">
        <v>93</v>
      </c>
      <c r="R312" s="60" t="s">
        <v>725</v>
      </c>
      <c r="S312" s="61" t="s">
        <v>95</v>
      </c>
    </row>
    <row r="313" customFormat="false" ht="22.35" hidden="false" customHeight="false" outlineLevel="0" collapsed="false">
      <c r="A313" s="20" t="s">
        <v>67</v>
      </c>
      <c r="B313" s="19" t="s">
        <v>726</v>
      </c>
      <c r="C313" s="22" t="s">
        <v>203</v>
      </c>
      <c r="D313" s="49" t="n">
        <v>18.9</v>
      </c>
      <c r="E313" s="21"/>
      <c r="F313" s="21"/>
      <c r="G313" s="21"/>
      <c r="H313" s="21" t="n">
        <v>2.64</v>
      </c>
      <c r="I313" s="21"/>
      <c r="J313" s="21"/>
      <c r="K313" s="21"/>
      <c r="L313" s="50" t="s">
        <v>76</v>
      </c>
      <c r="M313" s="51" t="n">
        <v>18.9</v>
      </c>
      <c r="N313" s="52"/>
      <c r="O313" s="22" t="n">
        <v>2</v>
      </c>
      <c r="P313" s="59" t="s">
        <v>138</v>
      </c>
      <c r="Q313" s="54" t="s">
        <v>93</v>
      </c>
      <c r="R313" s="54" t="s">
        <v>727</v>
      </c>
      <c r="S313" s="55" t="s">
        <v>95</v>
      </c>
    </row>
    <row r="314" customFormat="false" ht="15" hidden="false" customHeight="false" outlineLevel="0" collapsed="false">
      <c r="A314" s="24" t="s">
        <v>67</v>
      </c>
      <c r="B314" s="23" t="s">
        <v>728</v>
      </c>
      <c r="C314" s="26" t="s">
        <v>91</v>
      </c>
      <c r="D314" s="25" t="n">
        <v>14.7</v>
      </c>
      <c r="E314" s="25"/>
      <c r="F314" s="25"/>
      <c r="G314" s="25"/>
      <c r="H314" s="25"/>
      <c r="I314" s="49" t="n">
        <v>0.42</v>
      </c>
      <c r="J314" s="25"/>
      <c r="K314" s="25"/>
      <c r="L314" s="56" t="s">
        <v>81</v>
      </c>
      <c r="M314" s="57" t="n">
        <v>0.42</v>
      </c>
      <c r="N314" s="58" t="n">
        <v>97.1</v>
      </c>
      <c r="O314" s="26" t="n">
        <v>2</v>
      </c>
      <c r="P314" s="62" t="s">
        <v>92</v>
      </c>
      <c r="Q314" s="60" t="s">
        <v>119</v>
      </c>
      <c r="R314" s="60" t="s">
        <v>729</v>
      </c>
      <c r="S314" s="61" t="s">
        <v>95</v>
      </c>
    </row>
    <row r="315" customFormat="false" ht="22.35" hidden="false" customHeight="false" outlineLevel="0" collapsed="false">
      <c r="A315" s="20" t="s">
        <v>67</v>
      </c>
      <c r="B315" s="19" t="s">
        <v>730</v>
      </c>
      <c r="C315" s="22" t="s">
        <v>203</v>
      </c>
      <c r="D315" s="49" t="n">
        <v>3.31</v>
      </c>
      <c r="E315" s="21" t="n">
        <v>21.31</v>
      </c>
      <c r="F315" s="21"/>
      <c r="G315" s="21"/>
      <c r="H315" s="21" t="n">
        <v>12.18</v>
      </c>
      <c r="I315" s="21" t="n">
        <v>5.82</v>
      </c>
      <c r="J315" s="21" t="n">
        <v>13.21</v>
      </c>
      <c r="K315" s="21"/>
      <c r="L315" s="50" t="s">
        <v>76</v>
      </c>
      <c r="M315" s="51" t="n">
        <v>3.31</v>
      </c>
      <c r="N315" s="52" t="n">
        <v>43.1</v>
      </c>
      <c r="O315" s="22" t="n">
        <v>5</v>
      </c>
      <c r="P315" s="59" t="s">
        <v>138</v>
      </c>
      <c r="Q315" s="54" t="s">
        <v>93</v>
      </c>
      <c r="R315" s="54" t="s">
        <v>731</v>
      </c>
      <c r="S315" s="55" t="s">
        <v>95</v>
      </c>
    </row>
    <row r="316" customFormat="false" ht="15" hidden="false" customHeight="false" outlineLevel="0" collapsed="false">
      <c r="A316" s="24" t="s">
        <v>67</v>
      </c>
      <c r="B316" s="23" t="s">
        <v>732</v>
      </c>
      <c r="C316" s="26" t="s">
        <v>203</v>
      </c>
      <c r="D316" s="49" t="n">
        <v>7.56</v>
      </c>
      <c r="E316" s="25" t="n">
        <v>45</v>
      </c>
      <c r="F316" s="25"/>
      <c r="G316" s="25"/>
      <c r="H316" s="25"/>
      <c r="I316" s="25" t="n">
        <v>9.02</v>
      </c>
      <c r="J316" s="25"/>
      <c r="K316" s="25"/>
      <c r="L316" s="56" t="s">
        <v>76</v>
      </c>
      <c r="M316" s="57" t="n">
        <v>7.56</v>
      </c>
      <c r="N316" s="58"/>
      <c r="O316" s="26" t="n">
        <v>3</v>
      </c>
      <c r="P316" s="59" t="s">
        <v>138</v>
      </c>
      <c r="Q316" s="60" t="s">
        <v>93</v>
      </c>
      <c r="R316" s="60" t="s">
        <v>733</v>
      </c>
      <c r="S316" s="61" t="s">
        <v>95</v>
      </c>
    </row>
    <row r="317" customFormat="false" ht="22.35" hidden="false" customHeight="false" outlineLevel="0" collapsed="false">
      <c r="A317" s="20" t="s">
        <v>67</v>
      </c>
      <c r="B317" s="19" t="s">
        <v>734</v>
      </c>
      <c r="C317" s="22" t="s">
        <v>91</v>
      </c>
      <c r="D317" s="21" t="n">
        <v>67.69</v>
      </c>
      <c r="E317" s="21"/>
      <c r="F317" s="21"/>
      <c r="G317" s="21"/>
      <c r="H317" s="21"/>
      <c r="I317" s="21"/>
      <c r="J317" s="21"/>
      <c r="K317" s="21"/>
      <c r="L317" s="50" t="s">
        <v>76</v>
      </c>
      <c r="M317" s="51" t="n">
        <v>67.69</v>
      </c>
      <c r="N317" s="52"/>
      <c r="O317" s="22" t="n">
        <v>1</v>
      </c>
      <c r="P317" s="63"/>
      <c r="Q317" s="54" t="s">
        <v>93</v>
      </c>
      <c r="R317" s="54" t="s">
        <v>735</v>
      </c>
      <c r="S317" s="55" t="s">
        <v>95</v>
      </c>
    </row>
    <row r="318" customFormat="false" ht="15" hidden="false" customHeight="false" outlineLevel="0" collapsed="false">
      <c r="A318" s="24" t="s">
        <v>67</v>
      </c>
      <c r="B318" s="23" t="s">
        <v>736</v>
      </c>
      <c r="C318" s="26" t="s">
        <v>91</v>
      </c>
      <c r="D318" s="25" t="n">
        <v>5.3</v>
      </c>
      <c r="E318" s="25"/>
      <c r="F318" s="25"/>
      <c r="G318" s="25"/>
      <c r="H318" s="25"/>
      <c r="I318" s="25"/>
      <c r="J318" s="25"/>
      <c r="K318" s="25"/>
      <c r="L318" s="56" t="s">
        <v>76</v>
      </c>
      <c r="M318" s="57" t="n">
        <v>5.3</v>
      </c>
      <c r="N318" s="58"/>
      <c r="O318" s="26" t="n">
        <v>1</v>
      </c>
      <c r="P318" s="64"/>
      <c r="Q318" s="60" t="s">
        <v>93</v>
      </c>
      <c r="R318" s="60" t="s">
        <v>737</v>
      </c>
      <c r="S318" s="61" t="s">
        <v>95</v>
      </c>
    </row>
    <row r="319" customFormat="false" ht="22.35" hidden="false" customHeight="false" outlineLevel="0" collapsed="false">
      <c r="A319" s="20" t="s">
        <v>67</v>
      </c>
      <c r="B319" s="19" t="s">
        <v>738</v>
      </c>
      <c r="C319" s="22" t="s">
        <v>91</v>
      </c>
      <c r="D319" s="21" t="n">
        <v>29.55</v>
      </c>
      <c r="E319" s="21"/>
      <c r="F319" s="21"/>
      <c r="G319" s="21"/>
      <c r="H319" s="21"/>
      <c r="I319" s="21"/>
      <c r="J319" s="21"/>
      <c r="K319" s="21"/>
      <c r="L319" s="50" t="s">
        <v>76</v>
      </c>
      <c r="M319" s="51" t="n">
        <v>29.55</v>
      </c>
      <c r="N319" s="52"/>
      <c r="O319" s="22" t="n">
        <v>1</v>
      </c>
      <c r="P319" s="63"/>
      <c r="Q319" s="54" t="s">
        <v>93</v>
      </c>
      <c r="R319" s="54" t="s">
        <v>739</v>
      </c>
      <c r="S319" s="55" t="s">
        <v>95</v>
      </c>
    </row>
    <row r="320" customFormat="false" ht="22.35" hidden="false" customHeight="false" outlineLevel="0" collapsed="false">
      <c r="A320" s="24" t="s">
        <v>67</v>
      </c>
      <c r="B320" s="23" t="s">
        <v>740</v>
      </c>
      <c r="C320" s="26" t="s">
        <v>188</v>
      </c>
      <c r="D320" s="49" t="n">
        <v>7.87</v>
      </c>
      <c r="E320" s="25"/>
      <c r="F320" s="25"/>
      <c r="G320" s="25"/>
      <c r="H320" s="25" t="n">
        <v>7.8</v>
      </c>
      <c r="I320" s="25"/>
      <c r="J320" s="25"/>
      <c r="K320" s="25"/>
      <c r="L320" s="56" t="s">
        <v>76</v>
      </c>
      <c r="M320" s="57" t="n">
        <v>7.87</v>
      </c>
      <c r="N320" s="58"/>
      <c r="O320" s="26" t="n">
        <v>2</v>
      </c>
      <c r="P320" s="59" t="s">
        <v>138</v>
      </c>
      <c r="Q320" s="60" t="s">
        <v>93</v>
      </c>
      <c r="R320" s="60" t="s">
        <v>741</v>
      </c>
      <c r="S320" s="61" t="s">
        <v>95</v>
      </c>
    </row>
    <row r="321" customFormat="false" ht="15" hidden="false" customHeight="false" outlineLevel="0" collapsed="false">
      <c r="A321" s="20" t="s">
        <v>67</v>
      </c>
      <c r="B321" s="19" t="s">
        <v>742</v>
      </c>
      <c r="C321" s="22" t="s">
        <v>188</v>
      </c>
      <c r="D321" s="49" t="n">
        <v>2.26</v>
      </c>
      <c r="E321" s="21" t="n">
        <v>5.77</v>
      </c>
      <c r="F321" s="21"/>
      <c r="G321" s="21"/>
      <c r="H321" s="21" t="n">
        <v>6.2</v>
      </c>
      <c r="I321" s="21" t="n">
        <v>11.7</v>
      </c>
      <c r="J321" s="21"/>
      <c r="K321" s="21"/>
      <c r="L321" s="50" t="s">
        <v>76</v>
      </c>
      <c r="M321" s="51" t="n">
        <v>2.26</v>
      </c>
      <c r="N321" s="52"/>
      <c r="O321" s="22" t="n">
        <v>4</v>
      </c>
      <c r="P321" s="59" t="s">
        <v>138</v>
      </c>
      <c r="Q321" s="54" t="s">
        <v>93</v>
      </c>
      <c r="R321" s="54" t="s">
        <v>743</v>
      </c>
      <c r="S321" s="55" t="s">
        <v>95</v>
      </c>
    </row>
    <row r="322" customFormat="false" ht="22.35" hidden="false" customHeight="false" outlineLevel="0" collapsed="false">
      <c r="A322" s="24" t="s">
        <v>67</v>
      </c>
      <c r="B322" s="23" t="s">
        <v>744</v>
      </c>
      <c r="C322" s="26" t="s">
        <v>91</v>
      </c>
      <c r="D322" s="25" t="n">
        <v>14</v>
      </c>
      <c r="E322" s="25"/>
      <c r="F322" s="25"/>
      <c r="G322" s="25"/>
      <c r="H322" s="49" t="n">
        <v>0.89</v>
      </c>
      <c r="I322" s="25" t="n">
        <v>1.81</v>
      </c>
      <c r="J322" s="25"/>
      <c r="K322" s="25"/>
      <c r="L322" s="56" t="s">
        <v>80</v>
      </c>
      <c r="M322" s="57" t="n">
        <v>0.89</v>
      </c>
      <c r="N322" s="58" t="n">
        <v>93.6</v>
      </c>
      <c r="O322" s="26" t="n">
        <v>3</v>
      </c>
      <c r="P322" s="59" t="s">
        <v>97</v>
      </c>
      <c r="Q322" s="60" t="s">
        <v>303</v>
      </c>
      <c r="R322" s="60" t="s">
        <v>745</v>
      </c>
      <c r="S322" s="61" t="s">
        <v>95</v>
      </c>
    </row>
    <row r="323" customFormat="false" ht="15" hidden="false" customHeight="false" outlineLevel="0" collapsed="false">
      <c r="A323" s="20" t="s">
        <v>67</v>
      </c>
      <c r="B323" s="19" t="s">
        <v>746</v>
      </c>
      <c r="C323" s="22" t="s">
        <v>91</v>
      </c>
      <c r="D323" s="21" t="n">
        <v>31.44</v>
      </c>
      <c r="E323" s="21"/>
      <c r="F323" s="21"/>
      <c r="G323" s="21"/>
      <c r="H323" s="21"/>
      <c r="I323" s="21"/>
      <c r="J323" s="21"/>
      <c r="K323" s="21"/>
      <c r="L323" s="50" t="s">
        <v>76</v>
      </c>
      <c r="M323" s="51" t="n">
        <v>31.44</v>
      </c>
      <c r="N323" s="52"/>
      <c r="O323" s="22" t="n">
        <v>1</v>
      </c>
      <c r="P323" s="63"/>
      <c r="Q323" s="54" t="s">
        <v>93</v>
      </c>
      <c r="R323" s="54" t="s">
        <v>747</v>
      </c>
      <c r="S323" s="55" t="s">
        <v>95</v>
      </c>
    </row>
    <row r="324" customFormat="false" ht="15" hidden="false" customHeight="false" outlineLevel="0" collapsed="false">
      <c r="A324" s="24" t="s">
        <v>67</v>
      </c>
      <c r="B324" s="23" t="s">
        <v>748</v>
      </c>
      <c r="C324" s="26" t="s">
        <v>137</v>
      </c>
      <c r="D324" s="25" t="n">
        <v>262.5</v>
      </c>
      <c r="E324" s="25"/>
      <c r="F324" s="25"/>
      <c r="G324" s="25"/>
      <c r="H324" s="25" t="n">
        <v>87.98</v>
      </c>
      <c r="I324" s="49" t="n">
        <v>2.33</v>
      </c>
      <c r="J324" s="25" t="n">
        <v>38.27</v>
      </c>
      <c r="K324" s="25"/>
      <c r="L324" s="56" t="s">
        <v>81</v>
      </c>
      <c r="M324" s="57" t="n">
        <v>2.33</v>
      </c>
      <c r="N324" s="58" t="n">
        <v>99.1</v>
      </c>
      <c r="O324" s="26" t="n">
        <v>4</v>
      </c>
      <c r="P324" s="59" t="s">
        <v>138</v>
      </c>
      <c r="Q324" s="60" t="s">
        <v>169</v>
      </c>
      <c r="R324" s="60" t="s">
        <v>749</v>
      </c>
      <c r="S324" s="61" t="s">
        <v>95</v>
      </c>
    </row>
    <row r="325" customFormat="false" ht="22.35" hidden="false" customHeight="false" outlineLevel="0" collapsed="false">
      <c r="A325" s="20" t="s">
        <v>67</v>
      </c>
      <c r="B325" s="19" t="s">
        <v>750</v>
      </c>
      <c r="C325" s="22" t="s">
        <v>519</v>
      </c>
      <c r="D325" s="49" t="n">
        <v>3.45</v>
      </c>
      <c r="E325" s="21" t="n">
        <v>4.97</v>
      </c>
      <c r="F325" s="21"/>
      <c r="G325" s="21"/>
      <c r="H325" s="21" t="n">
        <v>3.49</v>
      </c>
      <c r="I325" s="21" t="n">
        <v>3.23</v>
      </c>
      <c r="J325" s="21" t="n">
        <v>7.88</v>
      </c>
      <c r="K325" s="21"/>
      <c r="L325" s="50" t="s">
        <v>76</v>
      </c>
      <c r="M325" s="51" t="n">
        <v>3.45</v>
      </c>
      <c r="N325" s="52"/>
      <c r="O325" s="22" t="n">
        <v>5</v>
      </c>
      <c r="P325" s="59" t="s">
        <v>138</v>
      </c>
      <c r="Q325" s="54" t="s">
        <v>93</v>
      </c>
      <c r="R325" s="54" t="s">
        <v>751</v>
      </c>
      <c r="S325" s="55" t="s">
        <v>95</v>
      </c>
    </row>
    <row r="326" customFormat="false" ht="15" hidden="false" customHeight="false" outlineLevel="0" collapsed="false">
      <c r="A326" s="24" t="s">
        <v>67</v>
      </c>
      <c r="B326" s="23" t="s">
        <v>752</v>
      </c>
      <c r="C326" s="26" t="s">
        <v>519</v>
      </c>
      <c r="D326" s="49" t="n">
        <v>3.98</v>
      </c>
      <c r="E326" s="25"/>
      <c r="F326" s="25"/>
      <c r="G326" s="25" t="n">
        <v>6.1</v>
      </c>
      <c r="H326" s="25" t="n">
        <v>6.84</v>
      </c>
      <c r="I326" s="25" t="n">
        <v>6.54</v>
      </c>
      <c r="J326" s="25" t="n">
        <v>6.77</v>
      </c>
      <c r="K326" s="25"/>
      <c r="L326" s="56" t="s">
        <v>76</v>
      </c>
      <c r="M326" s="57" t="n">
        <v>3.98</v>
      </c>
      <c r="N326" s="58"/>
      <c r="O326" s="26" t="n">
        <v>5</v>
      </c>
      <c r="P326" s="59" t="s">
        <v>138</v>
      </c>
      <c r="Q326" s="60" t="s">
        <v>93</v>
      </c>
      <c r="R326" s="60" t="s">
        <v>753</v>
      </c>
      <c r="S326" s="61" t="s">
        <v>95</v>
      </c>
    </row>
    <row r="327" customFormat="false" ht="22.35" hidden="false" customHeight="false" outlineLevel="0" collapsed="false">
      <c r="A327" s="20" t="s">
        <v>67</v>
      </c>
      <c r="B327" s="19" t="s">
        <v>754</v>
      </c>
      <c r="C327" s="22" t="s">
        <v>519</v>
      </c>
      <c r="D327" s="49" t="n">
        <v>11.9</v>
      </c>
      <c r="E327" s="21"/>
      <c r="F327" s="21"/>
      <c r="G327" s="21"/>
      <c r="H327" s="21" t="n">
        <v>6.78</v>
      </c>
      <c r="I327" s="21" t="n">
        <v>7.05</v>
      </c>
      <c r="J327" s="21" t="n">
        <v>8.8</v>
      </c>
      <c r="K327" s="21"/>
      <c r="L327" s="50" t="s">
        <v>76</v>
      </c>
      <c r="M327" s="51" t="n">
        <v>11.9</v>
      </c>
      <c r="N327" s="52"/>
      <c r="O327" s="22" t="n">
        <v>4</v>
      </c>
      <c r="P327" s="59" t="s">
        <v>138</v>
      </c>
      <c r="Q327" s="54" t="s">
        <v>93</v>
      </c>
      <c r="R327" s="54" t="s">
        <v>755</v>
      </c>
      <c r="S327" s="55" t="s">
        <v>95</v>
      </c>
    </row>
    <row r="328" customFormat="false" ht="15" hidden="false" customHeight="false" outlineLevel="0" collapsed="false">
      <c r="A328" s="24" t="s">
        <v>67</v>
      </c>
      <c r="B328" s="23" t="s">
        <v>756</v>
      </c>
      <c r="C328" s="26" t="s">
        <v>757</v>
      </c>
      <c r="D328" s="49" t="n">
        <v>6.5</v>
      </c>
      <c r="E328" s="25"/>
      <c r="F328" s="25"/>
      <c r="G328" s="25"/>
      <c r="H328" s="25" t="n">
        <v>13.21</v>
      </c>
      <c r="I328" s="25" t="n">
        <v>6.5</v>
      </c>
      <c r="J328" s="25" t="n">
        <v>8.36</v>
      </c>
      <c r="K328" s="25"/>
      <c r="L328" s="56" t="s">
        <v>76</v>
      </c>
      <c r="M328" s="57" t="n">
        <v>6.5</v>
      </c>
      <c r="N328" s="58"/>
      <c r="O328" s="26" t="n">
        <v>4</v>
      </c>
      <c r="P328" s="59" t="s">
        <v>138</v>
      </c>
      <c r="Q328" s="60" t="s">
        <v>93</v>
      </c>
      <c r="R328" s="60" t="s">
        <v>758</v>
      </c>
      <c r="S328" s="61" t="s">
        <v>95</v>
      </c>
    </row>
    <row r="329" customFormat="false" ht="15" hidden="false" customHeight="false" outlineLevel="0" collapsed="false">
      <c r="A329" s="20" t="s">
        <v>67</v>
      </c>
      <c r="B329" s="19" t="s">
        <v>759</v>
      </c>
      <c r="C329" s="22" t="s">
        <v>344</v>
      </c>
      <c r="D329" s="21" t="n">
        <v>70.24</v>
      </c>
      <c r="E329" s="21"/>
      <c r="F329" s="21"/>
      <c r="G329" s="21"/>
      <c r="H329" s="21"/>
      <c r="I329" s="21"/>
      <c r="J329" s="21"/>
      <c r="K329" s="21"/>
      <c r="L329" s="50" t="s">
        <v>76</v>
      </c>
      <c r="M329" s="51" t="n">
        <v>70.24</v>
      </c>
      <c r="N329" s="52"/>
      <c r="O329" s="22" t="n">
        <v>1</v>
      </c>
      <c r="P329" s="63"/>
      <c r="Q329" s="54" t="s">
        <v>93</v>
      </c>
      <c r="R329" s="54" t="s">
        <v>760</v>
      </c>
      <c r="S329" s="55" t="s">
        <v>95</v>
      </c>
    </row>
    <row r="330" customFormat="false" ht="15" hidden="false" customHeight="false" outlineLevel="0" collapsed="false">
      <c r="A330" s="24" t="s">
        <v>68</v>
      </c>
      <c r="B330" s="23" t="s">
        <v>761</v>
      </c>
      <c r="C330" s="26" t="s">
        <v>91</v>
      </c>
      <c r="D330" s="25" t="n">
        <v>12.12</v>
      </c>
      <c r="E330" s="25"/>
      <c r="F330" s="25"/>
      <c r="G330" s="25"/>
      <c r="H330" s="25" t="n">
        <v>6.13</v>
      </c>
      <c r="I330" s="49" t="n">
        <v>5.23</v>
      </c>
      <c r="J330" s="25" t="n">
        <v>15.59</v>
      </c>
      <c r="K330" s="25"/>
      <c r="L330" s="56" t="s">
        <v>81</v>
      </c>
      <c r="M330" s="57" t="n">
        <v>5.23</v>
      </c>
      <c r="N330" s="58" t="n">
        <v>66.5</v>
      </c>
      <c r="O330" s="26" t="n">
        <v>4</v>
      </c>
      <c r="P330" s="59" t="s">
        <v>97</v>
      </c>
      <c r="Q330" s="60" t="s">
        <v>119</v>
      </c>
      <c r="R330" s="60" t="s">
        <v>762</v>
      </c>
      <c r="S330" s="61" t="s">
        <v>95</v>
      </c>
    </row>
    <row r="331" customFormat="false" ht="15" hidden="false" customHeight="false" outlineLevel="0" collapsed="false">
      <c r="A331" s="20" t="s">
        <v>68</v>
      </c>
      <c r="B331" s="19" t="s">
        <v>763</v>
      </c>
      <c r="C331" s="22" t="s">
        <v>672</v>
      </c>
      <c r="D331" s="21" t="n">
        <v>49</v>
      </c>
      <c r="E331" s="21" t="n">
        <v>100.17</v>
      </c>
      <c r="F331" s="21"/>
      <c r="G331" s="21"/>
      <c r="H331" s="21" t="n">
        <v>84.95</v>
      </c>
      <c r="I331" s="49" t="n">
        <v>23.98</v>
      </c>
      <c r="J331" s="21"/>
      <c r="K331" s="21"/>
      <c r="L331" s="50" t="s">
        <v>81</v>
      </c>
      <c r="M331" s="51" t="n">
        <v>23.98</v>
      </c>
      <c r="N331" s="52" t="n">
        <v>76.1</v>
      </c>
      <c r="O331" s="22" t="n">
        <v>4</v>
      </c>
      <c r="P331" s="59" t="s">
        <v>97</v>
      </c>
      <c r="Q331" s="54" t="s">
        <v>119</v>
      </c>
      <c r="R331" s="54" t="s">
        <v>764</v>
      </c>
      <c r="S331" s="55" t="s">
        <v>95</v>
      </c>
    </row>
    <row r="332" customFormat="false" ht="22.35" hidden="false" customHeight="false" outlineLevel="0" collapsed="false">
      <c r="A332" s="24" t="s">
        <v>68</v>
      </c>
      <c r="B332" s="23" t="s">
        <v>765</v>
      </c>
      <c r="C332" s="26" t="s">
        <v>672</v>
      </c>
      <c r="D332" s="25" t="n">
        <v>2.05</v>
      </c>
      <c r="E332" s="25" t="n">
        <v>12.47</v>
      </c>
      <c r="F332" s="25"/>
      <c r="G332" s="25"/>
      <c r="H332" s="25" t="n">
        <v>19.96</v>
      </c>
      <c r="I332" s="49" t="n">
        <v>1.72</v>
      </c>
      <c r="J332" s="25" t="n">
        <v>2.73</v>
      </c>
      <c r="K332" s="25"/>
      <c r="L332" s="56" t="s">
        <v>81</v>
      </c>
      <c r="M332" s="57" t="n">
        <v>1.72</v>
      </c>
      <c r="N332" s="58" t="n">
        <v>91.4</v>
      </c>
      <c r="O332" s="26" t="n">
        <v>5</v>
      </c>
      <c r="P332" s="59" t="s">
        <v>97</v>
      </c>
      <c r="Q332" s="60" t="s">
        <v>119</v>
      </c>
      <c r="R332" s="60" t="s">
        <v>766</v>
      </c>
      <c r="S332" s="61" t="s">
        <v>95</v>
      </c>
    </row>
    <row r="333" customFormat="false" ht="22.35" hidden="false" customHeight="false" outlineLevel="0" collapsed="false">
      <c r="A333" s="20" t="s">
        <v>68</v>
      </c>
      <c r="B333" s="19" t="s">
        <v>767</v>
      </c>
      <c r="C333" s="22" t="s">
        <v>91</v>
      </c>
      <c r="D333" s="21" t="n">
        <v>10</v>
      </c>
      <c r="E333" s="21"/>
      <c r="F333" s="21"/>
      <c r="G333" s="21"/>
      <c r="H333" s="21" t="n">
        <v>12.1</v>
      </c>
      <c r="I333" s="21" t="n">
        <v>6.03</v>
      </c>
      <c r="J333" s="49" t="n">
        <v>2.24</v>
      </c>
      <c r="K333" s="21"/>
      <c r="L333" s="50" t="s">
        <v>82</v>
      </c>
      <c r="M333" s="51" t="n">
        <v>2.24</v>
      </c>
      <c r="N333" s="52" t="n">
        <v>81.5</v>
      </c>
      <c r="O333" s="22" t="n">
        <v>4</v>
      </c>
      <c r="P333" s="59" t="s">
        <v>97</v>
      </c>
      <c r="Q333" s="54" t="s">
        <v>290</v>
      </c>
      <c r="R333" s="54" t="s">
        <v>768</v>
      </c>
      <c r="S333" s="55" t="s">
        <v>95</v>
      </c>
    </row>
    <row r="334" customFormat="false" ht="22.35" hidden="false" customHeight="false" outlineLevel="0" collapsed="false">
      <c r="A334" s="24" t="s">
        <v>68</v>
      </c>
      <c r="B334" s="23" t="s">
        <v>769</v>
      </c>
      <c r="C334" s="26" t="s">
        <v>203</v>
      </c>
      <c r="D334" s="49" t="n">
        <v>8.87</v>
      </c>
      <c r="E334" s="25"/>
      <c r="F334" s="25"/>
      <c r="G334" s="25"/>
      <c r="H334" s="25" t="n">
        <v>13.02</v>
      </c>
      <c r="I334" s="25" t="n">
        <v>18.44</v>
      </c>
      <c r="J334" s="25" t="n">
        <v>149.65</v>
      </c>
      <c r="K334" s="25"/>
      <c r="L334" s="56" t="s">
        <v>76</v>
      </c>
      <c r="M334" s="57" t="n">
        <v>8.87</v>
      </c>
      <c r="N334" s="58" t="n">
        <v>51.9</v>
      </c>
      <c r="O334" s="26" t="n">
        <v>4</v>
      </c>
      <c r="P334" s="59" t="s">
        <v>138</v>
      </c>
      <c r="Q334" s="60" t="s">
        <v>93</v>
      </c>
      <c r="R334" s="60" t="s">
        <v>770</v>
      </c>
      <c r="S334" s="61" t="s">
        <v>95</v>
      </c>
    </row>
    <row r="335" customFormat="false" ht="15" hidden="false" customHeight="false" outlineLevel="0" collapsed="false">
      <c r="A335" s="20" t="s">
        <v>68</v>
      </c>
      <c r="B335" s="19" t="s">
        <v>771</v>
      </c>
      <c r="C335" s="22" t="s">
        <v>91</v>
      </c>
      <c r="D335" s="21" t="n">
        <v>10.8</v>
      </c>
      <c r="E335" s="21"/>
      <c r="F335" s="21"/>
      <c r="G335" s="21"/>
      <c r="H335" s="21" t="n">
        <v>79.47</v>
      </c>
      <c r="I335" s="49" t="n">
        <v>9.29</v>
      </c>
      <c r="J335" s="21" t="n">
        <v>18.91</v>
      </c>
      <c r="K335" s="21"/>
      <c r="L335" s="50" t="s">
        <v>81</v>
      </c>
      <c r="M335" s="51" t="n">
        <v>9.29</v>
      </c>
      <c r="N335" s="52" t="n">
        <v>88.3</v>
      </c>
      <c r="O335" s="22" t="n">
        <v>4</v>
      </c>
      <c r="P335" s="53" t="s">
        <v>92</v>
      </c>
      <c r="Q335" s="54" t="s">
        <v>119</v>
      </c>
      <c r="R335" s="54" t="s">
        <v>772</v>
      </c>
      <c r="S335" s="55" t="s">
        <v>95</v>
      </c>
    </row>
    <row r="336" customFormat="false" ht="22.35" hidden="false" customHeight="false" outlineLevel="0" collapsed="false">
      <c r="A336" s="24" t="s">
        <v>68</v>
      </c>
      <c r="B336" s="23" t="s">
        <v>773</v>
      </c>
      <c r="C336" s="26" t="s">
        <v>91</v>
      </c>
      <c r="D336" s="25" t="n">
        <v>45.56</v>
      </c>
      <c r="E336" s="25"/>
      <c r="F336" s="25"/>
      <c r="G336" s="25"/>
      <c r="H336" s="49" t="n">
        <v>38.39</v>
      </c>
      <c r="I336" s="25" t="n">
        <v>54.2</v>
      </c>
      <c r="J336" s="25" t="n">
        <v>115.5</v>
      </c>
      <c r="K336" s="25"/>
      <c r="L336" s="56" t="s">
        <v>80</v>
      </c>
      <c r="M336" s="57" t="n">
        <v>38.39</v>
      </c>
      <c r="N336" s="58" t="n">
        <v>66.8</v>
      </c>
      <c r="O336" s="26" t="n">
        <v>4</v>
      </c>
      <c r="P336" s="59" t="s">
        <v>97</v>
      </c>
      <c r="Q336" s="60" t="s">
        <v>303</v>
      </c>
      <c r="R336" s="60" t="s">
        <v>774</v>
      </c>
      <c r="S336" s="61" t="s">
        <v>95</v>
      </c>
    </row>
    <row r="337" customFormat="false" ht="22.35" hidden="false" customHeight="false" outlineLevel="0" collapsed="false">
      <c r="A337" s="20" t="s">
        <v>68</v>
      </c>
      <c r="B337" s="19" t="s">
        <v>775</v>
      </c>
      <c r="C337" s="22" t="s">
        <v>91</v>
      </c>
      <c r="D337" s="21" t="n">
        <v>3.21</v>
      </c>
      <c r="E337" s="21" t="n">
        <v>39.86</v>
      </c>
      <c r="F337" s="21"/>
      <c r="G337" s="21"/>
      <c r="H337" s="49" t="n">
        <v>2.83</v>
      </c>
      <c r="I337" s="21"/>
      <c r="J337" s="21" t="n">
        <v>6.15</v>
      </c>
      <c r="K337" s="21"/>
      <c r="L337" s="50" t="s">
        <v>80</v>
      </c>
      <c r="M337" s="51" t="n">
        <v>2.83</v>
      </c>
      <c r="N337" s="52" t="n">
        <v>92.9</v>
      </c>
      <c r="O337" s="22" t="n">
        <v>4</v>
      </c>
      <c r="P337" s="53" t="s">
        <v>92</v>
      </c>
      <c r="Q337" s="54" t="s">
        <v>303</v>
      </c>
      <c r="R337" s="54" t="s">
        <v>776</v>
      </c>
      <c r="S337" s="55" t="s">
        <v>95</v>
      </c>
    </row>
    <row r="338" customFormat="false" ht="22.35" hidden="false" customHeight="false" outlineLevel="0" collapsed="false">
      <c r="A338" s="24" t="s">
        <v>68</v>
      </c>
      <c r="B338" s="23" t="s">
        <v>777</v>
      </c>
      <c r="C338" s="26" t="s">
        <v>91</v>
      </c>
      <c r="D338" s="25" t="n">
        <v>40.37</v>
      </c>
      <c r="E338" s="25"/>
      <c r="F338" s="25"/>
      <c r="G338" s="25"/>
      <c r="H338" s="25" t="n">
        <v>26.61</v>
      </c>
      <c r="I338" s="49" t="n">
        <v>20.96</v>
      </c>
      <c r="J338" s="25" t="n">
        <v>62.9</v>
      </c>
      <c r="K338" s="25"/>
      <c r="L338" s="56" t="s">
        <v>81</v>
      </c>
      <c r="M338" s="57" t="n">
        <v>20.96</v>
      </c>
      <c r="N338" s="58" t="n">
        <v>66.7</v>
      </c>
      <c r="O338" s="26" t="n">
        <v>4</v>
      </c>
      <c r="P338" s="62" t="s">
        <v>92</v>
      </c>
      <c r="Q338" s="60" t="s">
        <v>119</v>
      </c>
      <c r="R338" s="60" t="s">
        <v>778</v>
      </c>
      <c r="S338" s="61" t="s">
        <v>95</v>
      </c>
    </row>
    <row r="339" customFormat="false" ht="22.35" hidden="false" customHeight="false" outlineLevel="0" collapsed="false">
      <c r="A339" s="20" t="s">
        <v>68</v>
      </c>
      <c r="B339" s="19" t="s">
        <v>779</v>
      </c>
      <c r="C339" s="22" t="s">
        <v>91</v>
      </c>
      <c r="D339" s="49" t="n">
        <v>7.56</v>
      </c>
      <c r="E339" s="21" t="n">
        <v>9.45</v>
      </c>
      <c r="F339" s="21"/>
      <c r="G339" s="21"/>
      <c r="H339" s="21"/>
      <c r="I339" s="21" t="n">
        <v>14.42</v>
      </c>
      <c r="J339" s="21"/>
      <c r="K339" s="21"/>
      <c r="L339" s="50" t="s">
        <v>76</v>
      </c>
      <c r="M339" s="51" t="n">
        <v>7.56</v>
      </c>
      <c r="N339" s="52" t="n">
        <v>47.6</v>
      </c>
      <c r="O339" s="22" t="n">
        <v>3</v>
      </c>
      <c r="P339" s="53" t="s">
        <v>92</v>
      </c>
      <c r="Q339" s="54" t="s">
        <v>93</v>
      </c>
      <c r="R339" s="54" t="s">
        <v>780</v>
      </c>
      <c r="S339" s="55" t="s">
        <v>95</v>
      </c>
    </row>
    <row r="340" customFormat="false" ht="22.35" hidden="false" customHeight="false" outlineLevel="0" collapsed="false">
      <c r="A340" s="24" t="s">
        <v>68</v>
      </c>
      <c r="B340" s="23" t="s">
        <v>781</v>
      </c>
      <c r="C340" s="26" t="s">
        <v>203</v>
      </c>
      <c r="D340" s="49" t="n">
        <v>2.84</v>
      </c>
      <c r="E340" s="25"/>
      <c r="F340" s="25"/>
      <c r="G340" s="25"/>
      <c r="H340" s="25" t="n">
        <v>3.21</v>
      </c>
      <c r="I340" s="25" t="n">
        <v>12.9</v>
      </c>
      <c r="J340" s="25"/>
      <c r="K340" s="25"/>
      <c r="L340" s="56" t="s">
        <v>76</v>
      </c>
      <c r="M340" s="57" t="n">
        <v>2.84</v>
      </c>
      <c r="N340" s="58" t="n">
        <v>78</v>
      </c>
      <c r="O340" s="26" t="n">
        <v>3</v>
      </c>
      <c r="P340" s="59" t="s">
        <v>138</v>
      </c>
      <c r="Q340" s="60" t="s">
        <v>93</v>
      </c>
      <c r="R340" s="60" t="s">
        <v>782</v>
      </c>
      <c r="S340" s="61" t="s">
        <v>95</v>
      </c>
    </row>
    <row r="341" customFormat="false" ht="22.35" hidden="false" customHeight="false" outlineLevel="0" collapsed="false">
      <c r="A341" s="20" t="s">
        <v>68</v>
      </c>
      <c r="B341" s="19" t="s">
        <v>783</v>
      </c>
      <c r="C341" s="22" t="s">
        <v>91</v>
      </c>
      <c r="D341" s="21" t="n">
        <v>8.79</v>
      </c>
      <c r="E341" s="21"/>
      <c r="F341" s="21"/>
      <c r="G341" s="21"/>
      <c r="H341" s="49" t="n">
        <v>4.68</v>
      </c>
      <c r="I341" s="21" t="n">
        <v>5.93</v>
      </c>
      <c r="J341" s="21" t="n">
        <v>9.52</v>
      </c>
      <c r="K341" s="21"/>
      <c r="L341" s="50" t="s">
        <v>80</v>
      </c>
      <c r="M341" s="51" t="n">
        <v>4.68</v>
      </c>
      <c r="N341" s="52" t="n">
        <v>50.8</v>
      </c>
      <c r="O341" s="22" t="n">
        <v>4</v>
      </c>
      <c r="P341" s="59" t="s">
        <v>138</v>
      </c>
      <c r="Q341" s="54" t="s">
        <v>303</v>
      </c>
      <c r="R341" s="54" t="s">
        <v>784</v>
      </c>
      <c r="S341" s="55" t="s">
        <v>95</v>
      </c>
    </row>
    <row r="342" customFormat="false" ht="15" hidden="false" customHeight="false" outlineLevel="0" collapsed="false">
      <c r="A342" s="24" t="s">
        <v>68</v>
      </c>
      <c r="B342" s="23" t="s">
        <v>785</v>
      </c>
      <c r="C342" s="26" t="s">
        <v>91</v>
      </c>
      <c r="D342" s="25" t="n">
        <v>6.63</v>
      </c>
      <c r="E342" s="25" t="n">
        <v>22.13</v>
      </c>
      <c r="F342" s="25"/>
      <c r="G342" s="25"/>
      <c r="H342" s="25" t="n">
        <v>11.3</v>
      </c>
      <c r="I342" s="49" t="n">
        <v>5.2</v>
      </c>
      <c r="J342" s="25" t="n">
        <v>6.37</v>
      </c>
      <c r="K342" s="25"/>
      <c r="L342" s="56" t="s">
        <v>81</v>
      </c>
      <c r="M342" s="57" t="n">
        <v>5.2</v>
      </c>
      <c r="N342" s="58" t="n">
        <v>76.5</v>
      </c>
      <c r="O342" s="26" t="n">
        <v>5</v>
      </c>
      <c r="P342" s="62" t="s">
        <v>92</v>
      </c>
      <c r="Q342" s="60" t="s">
        <v>169</v>
      </c>
      <c r="R342" s="60" t="s">
        <v>786</v>
      </c>
      <c r="S342" s="61" t="s">
        <v>95</v>
      </c>
    </row>
    <row r="343" customFormat="false" ht="15" hidden="false" customHeight="false" outlineLevel="0" collapsed="false">
      <c r="A343" s="20" t="s">
        <v>68</v>
      </c>
      <c r="B343" s="19" t="s">
        <v>787</v>
      </c>
      <c r="C343" s="22" t="s">
        <v>374</v>
      </c>
      <c r="D343" s="49" t="n">
        <v>5.07</v>
      </c>
      <c r="E343" s="21"/>
      <c r="F343" s="21"/>
      <c r="G343" s="21"/>
      <c r="H343" s="21" t="n">
        <v>2.98</v>
      </c>
      <c r="I343" s="21" t="n">
        <v>6.05</v>
      </c>
      <c r="J343" s="21" t="n">
        <v>6.85</v>
      </c>
      <c r="K343" s="21"/>
      <c r="L343" s="50" t="s">
        <v>76</v>
      </c>
      <c r="M343" s="51" t="n">
        <v>5.07</v>
      </c>
      <c r="N343" s="52"/>
      <c r="O343" s="22" t="n">
        <v>4</v>
      </c>
      <c r="P343" s="59" t="s">
        <v>138</v>
      </c>
      <c r="Q343" s="54" t="s">
        <v>93</v>
      </c>
      <c r="R343" s="54" t="s">
        <v>788</v>
      </c>
      <c r="S343" s="55" t="s">
        <v>95</v>
      </c>
    </row>
    <row r="344" customFormat="false" ht="15" hidden="false" customHeight="false" outlineLevel="0" collapsed="false">
      <c r="A344" s="24" t="s">
        <v>68</v>
      </c>
      <c r="B344" s="23" t="s">
        <v>789</v>
      </c>
      <c r="C344" s="26" t="s">
        <v>790</v>
      </c>
      <c r="D344" s="49" t="n">
        <v>30.95</v>
      </c>
      <c r="E344" s="25"/>
      <c r="F344" s="25"/>
      <c r="G344" s="25"/>
      <c r="H344" s="25" t="n">
        <v>44.45</v>
      </c>
      <c r="I344" s="25" t="n">
        <v>15.9</v>
      </c>
      <c r="J344" s="25" t="n">
        <v>29.2</v>
      </c>
      <c r="K344" s="25"/>
      <c r="L344" s="56" t="s">
        <v>76</v>
      </c>
      <c r="M344" s="57" t="n">
        <v>30.95</v>
      </c>
      <c r="N344" s="58"/>
      <c r="O344" s="26" t="n">
        <v>4</v>
      </c>
      <c r="P344" s="59" t="s">
        <v>138</v>
      </c>
      <c r="Q344" s="60" t="s">
        <v>93</v>
      </c>
      <c r="R344" s="60" t="s">
        <v>791</v>
      </c>
      <c r="S344" s="61" t="s">
        <v>95</v>
      </c>
    </row>
    <row r="345" customFormat="false" ht="15" hidden="false" customHeight="false" outlineLevel="0" collapsed="false">
      <c r="A345" s="20" t="s">
        <v>68</v>
      </c>
      <c r="B345" s="19" t="s">
        <v>792</v>
      </c>
      <c r="C345" s="22" t="s">
        <v>374</v>
      </c>
      <c r="D345" s="49" t="n">
        <v>23.7</v>
      </c>
      <c r="E345" s="21"/>
      <c r="F345" s="21"/>
      <c r="G345" s="21"/>
      <c r="H345" s="21" t="n">
        <v>6.6</v>
      </c>
      <c r="I345" s="21"/>
      <c r="J345" s="21"/>
      <c r="K345" s="21"/>
      <c r="L345" s="50" t="s">
        <v>76</v>
      </c>
      <c r="M345" s="51" t="n">
        <v>23.7</v>
      </c>
      <c r="N345" s="52"/>
      <c r="O345" s="22" t="n">
        <v>2</v>
      </c>
      <c r="P345" s="59" t="s">
        <v>138</v>
      </c>
      <c r="Q345" s="54" t="s">
        <v>93</v>
      </c>
      <c r="R345" s="54" t="s">
        <v>793</v>
      </c>
      <c r="S345" s="55" t="s">
        <v>95</v>
      </c>
    </row>
    <row r="346" customFormat="false" ht="22.35" hidden="false" customHeight="false" outlineLevel="0" collapsed="false">
      <c r="A346" s="24" t="s">
        <v>68</v>
      </c>
      <c r="B346" s="23" t="s">
        <v>794</v>
      </c>
      <c r="C346" s="26" t="s">
        <v>374</v>
      </c>
      <c r="D346" s="49" t="n">
        <v>20.88</v>
      </c>
      <c r="E346" s="25"/>
      <c r="F346" s="25"/>
      <c r="G346" s="25"/>
      <c r="H346" s="25" t="n">
        <v>4.57</v>
      </c>
      <c r="I346" s="25" t="n">
        <v>28</v>
      </c>
      <c r="J346" s="25" t="n">
        <v>3.5</v>
      </c>
      <c r="K346" s="25"/>
      <c r="L346" s="56" t="s">
        <v>76</v>
      </c>
      <c r="M346" s="57" t="n">
        <v>20.88</v>
      </c>
      <c r="N346" s="58" t="n">
        <v>25.4</v>
      </c>
      <c r="O346" s="26" t="n">
        <v>4</v>
      </c>
      <c r="P346" s="59" t="s">
        <v>138</v>
      </c>
      <c r="Q346" s="60" t="s">
        <v>93</v>
      </c>
      <c r="R346" s="60" t="s">
        <v>795</v>
      </c>
      <c r="S346" s="61" t="s">
        <v>95</v>
      </c>
    </row>
    <row r="347" customFormat="false" ht="22.35" hidden="false" customHeight="false" outlineLevel="0" collapsed="false">
      <c r="A347" s="20" t="s">
        <v>68</v>
      </c>
      <c r="B347" s="19" t="s">
        <v>796</v>
      </c>
      <c r="C347" s="22" t="s">
        <v>91</v>
      </c>
      <c r="D347" s="21" t="n">
        <v>34.38</v>
      </c>
      <c r="E347" s="21"/>
      <c r="F347" s="21"/>
      <c r="G347" s="21"/>
      <c r="H347" s="21"/>
      <c r="I347" s="21"/>
      <c r="J347" s="21"/>
      <c r="K347" s="21"/>
      <c r="L347" s="50" t="s">
        <v>76</v>
      </c>
      <c r="M347" s="51" t="n">
        <v>34.38</v>
      </c>
      <c r="N347" s="52"/>
      <c r="O347" s="22" t="n">
        <v>1</v>
      </c>
      <c r="P347" s="63"/>
      <c r="Q347" s="54" t="s">
        <v>93</v>
      </c>
      <c r="R347" s="54" t="s">
        <v>797</v>
      </c>
      <c r="S347" s="55" t="s">
        <v>95</v>
      </c>
    </row>
    <row r="348" customFormat="false" ht="22.35" hidden="false" customHeight="false" outlineLevel="0" collapsed="false">
      <c r="A348" s="24" t="s">
        <v>68</v>
      </c>
      <c r="B348" s="23" t="s">
        <v>798</v>
      </c>
      <c r="C348" s="26" t="s">
        <v>91</v>
      </c>
      <c r="D348" s="25" t="n">
        <v>101.95</v>
      </c>
      <c r="E348" s="25"/>
      <c r="F348" s="25"/>
      <c r="G348" s="25"/>
      <c r="H348" s="49" t="n">
        <v>24.85</v>
      </c>
      <c r="I348" s="25" t="n">
        <v>47.35</v>
      </c>
      <c r="J348" s="25" t="n">
        <v>48.87</v>
      </c>
      <c r="K348" s="25"/>
      <c r="L348" s="56" t="s">
        <v>80</v>
      </c>
      <c r="M348" s="57" t="n">
        <v>24.85</v>
      </c>
      <c r="N348" s="58" t="n">
        <v>75.6</v>
      </c>
      <c r="O348" s="26" t="n">
        <v>4</v>
      </c>
      <c r="P348" s="62" t="s">
        <v>92</v>
      </c>
      <c r="Q348" s="60" t="s">
        <v>303</v>
      </c>
      <c r="R348" s="60" t="s">
        <v>799</v>
      </c>
      <c r="S348" s="61" t="s">
        <v>95</v>
      </c>
    </row>
    <row r="349" customFormat="false" ht="15" hidden="false" customHeight="false" outlineLevel="0" collapsed="false">
      <c r="A349" s="20" t="s">
        <v>69</v>
      </c>
      <c r="B349" s="19" t="s">
        <v>800</v>
      </c>
      <c r="C349" s="22" t="s">
        <v>91</v>
      </c>
      <c r="D349" s="21" t="n">
        <v>162.98</v>
      </c>
      <c r="E349" s="21"/>
      <c r="F349" s="21"/>
      <c r="G349" s="21"/>
      <c r="H349" s="21" t="n">
        <v>716</v>
      </c>
      <c r="I349" s="49" t="n">
        <v>5.31</v>
      </c>
      <c r="J349" s="21" t="n">
        <v>629</v>
      </c>
      <c r="K349" s="21"/>
      <c r="L349" s="50" t="s">
        <v>81</v>
      </c>
      <c r="M349" s="51" t="n">
        <v>5.31</v>
      </c>
      <c r="N349" s="52" t="n">
        <v>99.3</v>
      </c>
      <c r="O349" s="22" t="n">
        <v>4</v>
      </c>
      <c r="P349" s="59" t="s">
        <v>97</v>
      </c>
      <c r="Q349" s="54" t="s">
        <v>169</v>
      </c>
      <c r="R349" s="54" t="s">
        <v>801</v>
      </c>
      <c r="S349" s="55" t="s">
        <v>95</v>
      </c>
    </row>
    <row r="350" customFormat="false" ht="15" hidden="false" customHeight="false" outlineLevel="0" collapsed="false">
      <c r="A350" s="24" t="s">
        <v>69</v>
      </c>
      <c r="B350" s="23" t="s">
        <v>802</v>
      </c>
      <c r="C350" s="26" t="s">
        <v>91</v>
      </c>
      <c r="D350" s="25" t="n">
        <v>1128.31</v>
      </c>
      <c r="E350" s="25"/>
      <c r="F350" s="25"/>
      <c r="G350" s="25"/>
      <c r="H350" s="25" t="n">
        <v>270.38</v>
      </c>
      <c r="I350" s="49" t="n">
        <v>127.37</v>
      </c>
      <c r="J350" s="25"/>
      <c r="K350" s="25"/>
      <c r="L350" s="56" t="s">
        <v>81</v>
      </c>
      <c r="M350" s="57" t="n">
        <v>127.37</v>
      </c>
      <c r="N350" s="58" t="n">
        <v>88.7</v>
      </c>
      <c r="O350" s="26" t="n">
        <v>3</v>
      </c>
      <c r="P350" s="59" t="s">
        <v>97</v>
      </c>
      <c r="Q350" s="60" t="s">
        <v>169</v>
      </c>
      <c r="R350" s="60" t="s">
        <v>803</v>
      </c>
      <c r="S350" s="61" t="s">
        <v>95</v>
      </c>
    </row>
    <row r="351" customFormat="false" ht="22.35" hidden="false" customHeight="false" outlineLevel="0" collapsed="false">
      <c r="A351" s="20" t="s">
        <v>69</v>
      </c>
      <c r="B351" s="19" t="s">
        <v>804</v>
      </c>
      <c r="C351" s="22" t="s">
        <v>91</v>
      </c>
      <c r="D351" s="21" t="n">
        <v>112.27</v>
      </c>
      <c r="E351" s="21"/>
      <c r="F351" s="21"/>
      <c r="G351" s="21"/>
      <c r="H351" s="21" t="n">
        <v>509</v>
      </c>
      <c r="I351" s="49" t="n">
        <v>5.46</v>
      </c>
      <c r="J351" s="21" t="n">
        <v>159</v>
      </c>
      <c r="K351" s="21"/>
      <c r="L351" s="50" t="s">
        <v>81</v>
      </c>
      <c r="M351" s="51" t="n">
        <v>5.46</v>
      </c>
      <c r="N351" s="52" t="n">
        <v>98.9</v>
      </c>
      <c r="O351" s="22" t="n">
        <v>4</v>
      </c>
      <c r="P351" s="59" t="s">
        <v>97</v>
      </c>
      <c r="Q351" s="54" t="s">
        <v>119</v>
      </c>
      <c r="R351" s="54" t="s">
        <v>805</v>
      </c>
      <c r="S351" s="55" t="s">
        <v>95</v>
      </c>
    </row>
    <row r="352" customFormat="false" ht="15" hidden="false" customHeight="false" outlineLevel="0" collapsed="false">
      <c r="A352" s="24" t="s">
        <v>69</v>
      </c>
      <c r="B352" s="23" t="s">
        <v>806</v>
      </c>
      <c r="C352" s="26" t="s">
        <v>91</v>
      </c>
      <c r="D352" s="25" t="n">
        <v>51.65</v>
      </c>
      <c r="E352" s="25"/>
      <c r="F352" s="25"/>
      <c r="G352" s="25"/>
      <c r="H352" s="25" t="n">
        <v>201.8</v>
      </c>
      <c r="I352" s="49" t="n">
        <v>43.4</v>
      </c>
      <c r="J352" s="25" t="n">
        <v>172</v>
      </c>
      <c r="K352" s="25"/>
      <c r="L352" s="56" t="s">
        <v>81</v>
      </c>
      <c r="M352" s="57" t="n">
        <v>43.4</v>
      </c>
      <c r="N352" s="58" t="n">
        <v>78.5</v>
      </c>
      <c r="O352" s="26" t="n">
        <v>4</v>
      </c>
      <c r="P352" s="59" t="s">
        <v>97</v>
      </c>
      <c r="Q352" s="60" t="s">
        <v>169</v>
      </c>
      <c r="R352" s="60" t="s">
        <v>807</v>
      </c>
      <c r="S352" s="61" t="s">
        <v>95</v>
      </c>
    </row>
    <row r="353" customFormat="false" ht="22.35" hidden="false" customHeight="false" outlineLevel="0" collapsed="false">
      <c r="A353" s="20" t="s">
        <v>69</v>
      </c>
      <c r="B353" s="19" t="s">
        <v>808</v>
      </c>
      <c r="C353" s="22" t="s">
        <v>91</v>
      </c>
      <c r="D353" s="21" t="n">
        <v>369.52</v>
      </c>
      <c r="E353" s="21"/>
      <c r="F353" s="21"/>
      <c r="G353" s="21"/>
      <c r="H353" s="21"/>
      <c r="I353" s="21"/>
      <c r="J353" s="21"/>
      <c r="K353" s="21"/>
      <c r="L353" s="50" t="s">
        <v>76</v>
      </c>
      <c r="M353" s="51" t="n">
        <v>369.52</v>
      </c>
      <c r="N353" s="52"/>
      <c r="O353" s="22" t="n">
        <v>1</v>
      </c>
      <c r="P353" s="63"/>
      <c r="Q353" s="54" t="s">
        <v>93</v>
      </c>
      <c r="R353" s="54" t="s">
        <v>809</v>
      </c>
      <c r="S353" s="55" t="s">
        <v>95</v>
      </c>
    </row>
    <row r="354" customFormat="false" ht="22.35" hidden="false" customHeight="false" outlineLevel="0" collapsed="false">
      <c r="A354" s="24" t="s">
        <v>69</v>
      </c>
      <c r="B354" s="23" t="s">
        <v>810</v>
      </c>
      <c r="C354" s="26" t="s">
        <v>91</v>
      </c>
      <c r="D354" s="25" t="n">
        <v>104.52</v>
      </c>
      <c r="E354" s="25"/>
      <c r="F354" s="25"/>
      <c r="G354" s="25"/>
      <c r="H354" s="49" t="n">
        <v>54.89</v>
      </c>
      <c r="I354" s="25" t="n">
        <v>55.55</v>
      </c>
      <c r="J354" s="25" t="n">
        <v>85.5</v>
      </c>
      <c r="K354" s="25"/>
      <c r="L354" s="56" t="s">
        <v>80</v>
      </c>
      <c r="M354" s="57" t="n">
        <v>54.89</v>
      </c>
      <c r="N354" s="58" t="n">
        <v>47.5</v>
      </c>
      <c r="O354" s="26" t="n">
        <v>4</v>
      </c>
      <c r="P354" s="59" t="s">
        <v>97</v>
      </c>
      <c r="Q354" s="60" t="s">
        <v>303</v>
      </c>
      <c r="R354" s="60" t="s">
        <v>811</v>
      </c>
      <c r="S354" s="61" t="s">
        <v>95</v>
      </c>
    </row>
    <row r="355" customFormat="false" ht="22.35" hidden="false" customHeight="false" outlineLevel="0" collapsed="false">
      <c r="A355" s="20" t="s">
        <v>69</v>
      </c>
      <c r="B355" s="19" t="s">
        <v>812</v>
      </c>
      <c r="C355" s="22" t="s">
        <v>91</v>
      </c>
      <c r="D355" s="21" t="n">
        <v>748.15</v>
      </c>
      <c r="E355" s="21"/>
      <c r="F355" s="21"/>
      <c r="G355" s="21"/>
      <c r="H355" s="49" t="n">
        <v>131.31</v>
      </c>
      <c r="I355" s="21" t="n">
        <v>213.14</v>
      </c>
      <c r="J355" s="21"/>
      <c r="K355" s="21"/>
      <c r="L355" s="50" t="s">
        <v>80</v>
      </c>
      <c r="M355" s="51" t="n">
        <v>131.31</v>
      </c>
      <c r="N355" s="52" t="n">
        <v>82.4</v>
      </c>
      <c r="O355" s="22" t="n">
        <v>3</v>
      </c>
      <c r="P355" s="59" t="s">
        <v>97</v>
      </c>
      <c r="Q355" s="54" t="s">
        <v>303</v>
      </c>
      <c r="R355" s="54" t="s">
        <v>813</v>
      </c>
      <c r="S355" s="55" t="s">
        <v>95</v>
      </c>
    </row>
    <row r="356" customFormat="false" ht="15" hidden="false" customHeight="false" outlineLevel="0" collapsed="false">
      <c r="A356" s="24" t="s">
        <v>69</v>
      </c>
      <c r="B356" s="23" t="s">
        <v>814</v>
      </c>
      <c r="C356" s="26" t="s">
        <v>91</v>
      </c>
      <c r="D356" s="25" t="n">
        <v>21.22</v>
      </c>
      <c r="E356" s="25" t="n">
        <v>56.11</v>
      </c>
      <c r="F356" s="25"/>
      <c r="G356" s="25"/>
      <c r="H356" s="25" t="n">
        <v>16.07</v>
      </c>
      <c r="I356" s="49" t="n">
        <v>6.98</v>
      </c>
      <c r="J356" s="25" t="n">
        <v>12</v>
      </c>
      <c r="K356" s="25"/>
      <c r="L356" s="56" t="s">
        <v>81</v>
      </c>
      <c r="M356" s="57" t="n">
        <v>6.98</v>
      </c>
      <c r="N356" s="58" t="n">
        <v>87.6</v>
      </c>
      <c r="O356" s="26" t="n">
        <v>5</v>
      </c>
      <c r="P356" s="62" t="s">
        <v>92</v>
      </c>
      <c r="Q356" s="60" t="s">
        <v>169</v>
      </c>
      <c r="R356" s="60" t="s">
        <v>815</v>
      </c>
      <c r="S356" s="61" t="s">
        <v>95</v>
      </c>
    </row>
    <row r="357" customFormat="false" ht="15" hidden="false" customHeight="false" outlineLevel="0" collapsed="false">
      <c r="A357" s="20" t="s">
        <v>69</v>
      </c>
      <c r="B357" s="19" t="s">
        <v>816</v>
      </c>
      <c r="C357" s="22" t="s">
        <v>91</v>
      </c>
      <c r="D357" s="49" t="n">
        <v>5.54</v>
      </c>
      <c r="E357" s="21"/>
      <c r="F357" s="21"/>
      <c r="G357" s="21"/>
      <c r="H357" s="21"/>
      <c r="I357" s="21" t="n">
        <v>27.48</v>
      </c>
      <c r="J357" s="21" t="n">
        <v>28.01</v>
      </c>
      <c r="K357" s="21"/>
      <c r="L357" s="50" t="s">
        <v>76</v>
      </c>
      <c r="M357" s="51" t="n">
        <v>5.54</v>
      </c>
      <c r="N357" s="52" t="n">
        <v>80.2</v>
      </c>
      <c r="O357" s="22" t="n">
        <v>3</v>
      </c>
      <c r="P357" s="53" t="s">
        <v>92</v>
      </c>
      <c r="Q357" s="54" t="s">
        <v>93</v>
      </c>
      <c r="R357" s="54" t="s">
        <v>817</v>
      </c>
      <c r="S357" s="55" t="s">
        <v>95</v>
      </c>
    </row>
    <row r="358" customFormat="false" ht="15" hidden="false" customHeight="false" outlineLevel="0" collapsed="false">
      <c r="A358" s="24" t="s">
        <v>69</v>
      </c>
      <c r="B358" s="23" t="s">
        <v>818</v>
      </c>
      <c r="C358" s="26" t="s">
        <v>91</v>
      </c>
      <c r="D358" s="25" t="n">
        <v>98.22</v>
      </c>
      <c r="E358" s="25"/>
      <c r="F358" s="25"/>
      <c r="G358" s="25"/>
      <c r="H358" s="25"/>
      <c r="I358" s="49" t="n">
        <v>47.62</v>
      </c>
      <c r="J358" s="25" t="n">
        <v>213.49</v>
      </c>
      <c r="K358" s="25"/>
      <c r="L358" s="56" t="s">
        <v>81</v>
      </c>
      <c r="M358" s="57" t="n">
        <v>47.62</v>
      </c>
      <c r="N358" s="58" t="n">
        <v>77.7</v>
      </c>
      <c r="O358" s="26" t="n">
        <v>3</v>
      </c>
      <c r="P358" s="59" t="s">
        <v>97</v>
      </c>
      <c r="Q358" s="60" t="s">
        <v>169</v>
      </c>
      <c r="R358" s="60" t="s">
        <v>819</v>
      </c>
      <c r="S358" s="61" t="s">
        <v>95</v>
      </c>
    </row>
    <row r="359" customFormat="false" ht="32.8" hidden="false" customHeight="false" outlineLevel="0" collapsed="false">
      <c r="A359" s="20" t="s">
        <v>69</v>
      </c>
      <c r="B359" s="19" t="s">
        <v>820</v>
      </c>
      <c r="C359" s="22" t="s">
        <v>91</v>
      </c>
      <c r="D359" s="21" t="n">
        <v>255.18</v>
      </c>
      <c r="E359" s="21"/>
      <c r="F359" s="21"/>
      <c r="G359" s="21"/>
      <c r="H359" s="21"/>
      <c r="I359" s="21"/>
      <c r="J359" s="49" t="n">
        <v>33.65</v>
      </c>
      <c r="K359" s="21"/>
      <c r="L359" s="50" t="s">
        <v>82</v>
      </c>
      <c r="M359" s="51" t="n">
        <v>33.65</v>
      </c>
      <c r="N359" s="52" t="n">
        <v>86.8</v>
      </c>
      <c r="O359" s="22" t="n">
        <v>2</v>
      </c>
      <c r="P359" s="59" t="s">
        <v>97</v>
      </c>
      <c r="Q359" s="54" t="s">
        <v>290</v>
      </c>
      <c r="R359" s="54" t="s">
        <v>821</v>
      </c>
      <c r="S359" s="55" t="s">
        <v>95</v>
      </c>
    </row>
    <row r="360" customFormat="false" ht="22.35" hidden="false" customHeight="false" outlineLevel="0" collapsed="false">
      <c r="A360" s="24" t="s">
        <v>69</v>
      </c>
      <c r="B360" s="23" t="s">
        <v>822</v>
      </c>
      <c r="C360" s="26" t="s">
        <v>91</v>
      </c>
      <c r="D360" s="25" t="n">
        <v>671.72</v>
      </c>
      <c r="E360" s="25"/>
      <c r="F360" s="25"/>
      <c r="G360" s="25"/>
      <c r="H360" s="25"/>
      <c r="I360" s="25"/>
      <c r="J360" s="49" t="n">
        <v>549</v>
      </c>
      <c r="K360" s="25"/>
      <c r="L360" s="56" t="s">
        <v>82</v>
      </c>
      <c r="M360" s="57" t="n">
        <v>549</v>
      </c>
      <c r="N360" s="58" t="n">
        <v>18.3</v>
      </c>
      <c r="O360" s="26" t="n">
        <v>2</v>
      </c>
      <c r="P360" s="59" t="s">
        <v>97</v>
      </c>
      <c r="Q360" s="60" t="s">
        <v>290</v>
      </c>
      <c r="R360" s="60" t="s">
        <v>823</v>
      </c>
      <c r="S360" s="61" t="s">
        <v>95</v>
      </c>
    </row>
    <row r="361" customFormat="false" ht="22.35" hidden="false" customHeight="false" outlineLevel="0" collapsed="false">
      <c r="A361" s="20" t="s">
        <v>69</v>
      </c>
      <c r="B361" s="19" t="s">
        <v>824</v>
      </c>
      <c r="C361" s="22" t="s">
        <v>91</v>
      </c>
      <c r="D361" s="21" t="n">
        <v>37.18</v>
      </c>
      <c r="E361" s="21" t="n">
        <v>139.99</v>
      </c>
      <c r="F361" s="21"/>
      <c r="G361" s="21"/>
      <c r="H361" s="21" t="n">
        <v>43.63</v>
      </c>
      <c r="I361" s="21" t="n">
        <v>42.92</v>
      </c>
      <c r="J361" s="49" t="n">
        <v>33.87</v>
      </c>
      <c r="K361" s="21"/>
      <c r="L361" s="50" t="s">
        <v>82</v>
      </c>
      <c r="M361" s="51" t="n">
        <v>33.87</v>
      </c>
      <c r="N361" s="52" t="n">
        <v>75.8</v>
      </c>
      <c r="O361" s="22" t="n">
        <v>5</v>
      </c>
      <c r="P361" s="59" t="s">
        <v>97</v>
      </c>
      <c r="Q361" s="54" t="s">
        <v>290</v>
      </c>
      <c r="R361" s="54" t="s">
        <v>825</v>
      </c>
      <c r="S361" s="55" t="s">
        <v>95</v>
      </c>
    </row>
    <row r="362" customFormat="false" ht="22.35" hidden="false" customHeight="false" outlineLevel="0" collapsed="false">
      <c r="A362" s="24" t="s">
        <v>69</v>
      </c>
      <c r="B362" s="23" t="s">
        <v>826</v>
      </c>
      <c r="C362" s="26" t="s">
        <v>827</v>
      </c>
      <c r="D362" s="25" t="n">
        <v>54.85</v>
      </c>
      <c r="E362" s="25" t="n">
        <v>102.32</v>
      </c>
      <c r="F362" s="25"/>
      <c r="G362" s="25"/>
      <c r="H362" s="49" t="n">
        <v>3.25</v>
      </c>
      <c r="I362" s="25" t="n">
        <v>36.21</v>
      </c>
      <c r="J362" s="25"/>
      <c r="K362" s="25"/>
      <c r="L362" s="56" t="s">
        <v>80</v>
      </c>
      <c r="M362" s="57" t="n">
        <v>3.25</v>
      </c>
      <c r="N362" s="58" t="n">
        <v>96.8</v>
      </c>
      <c r="O362" s="26" t="n">
        <v>4</v>
      </c>
      <c r="P362" s="59" t="s">
        <v>97</v>
      </c>
      <c r="Q362" s="60" t="s">
        <v>303</v>
      </c>
      <c r="R362" s="60" t="s">
        <v>828</v>
      </c>
      <c r="S362" s="61" t="s">
        <v>95</v>
      </c>
    </row>
    <row r="363" customFormat="false" ht="15" hidden="false" customHeight="false" outlineLevel="0" collapsed="false">
      <c r="A363" s="20" t="s">
        <v>69</v>
      </c>
      <c r="B363" s="19" t="s">
        <v>829</v>
      </c>
      <c r="C363" s="22" t="s">
        <v>91</v>
      </c>
      <c r="D363" s="21" t="n">
        <v>314.87</v>
      </c>
      <c r="E363" s="21"/>
      <c r="F363" s="21"/>
      <c r="G363" s="21"/>
      <c r="H363" s="21" t="n">
        <v>194.67</v>
      </c>
      <c r="I363" s="49" t="n">
        <v>167.2</v>
      </c>
      <c r="J363" s="21"/>
      <c r="K363" s="21"/>
      <c r="L363" s="50" t="s">
        <v>81</v>
      </c>
      <c r="M363" s="51" t="n">
        <v>167.2</v>
      </c>
      <c r="N363" s="52" t="n">
        <v>46.9</v>
      </c>
      <c r="O363" s="22" t="n">
        <v>3</v>
      </c>
      <c r="P363" s="59" t="s">
        <v>97</v>
      </c>
      <c r="Q363" s="54" t="s">
        <v>169</v>
      </c>
      <c r="R363" s="54" t="s">
        <v>830</v>
      </c>
      <c r="S363" s="55" t="s">
        <v>95</v>
      </c>
    </row>
    <row r="364" customFormat="false" ht="32.8" hidden="false" customHeight="false" outlineLevel="0" collapsed="false">
      <c r="A364" s="24" t="s">
        <v>69</v>
      </c>
      <c r="B364" s="23" t="s">
        <v>831</v>
      </c>
      <c r="C364" s="26" t="s">
        <v>91</v>
      </c>
      <c r="D364" s="25" t="n">
        <v>501.75</v>
      </c>
      <c r="E364" s="25"/>
      <c r="F364" s="25"/>
      <c r="G364" s="25"/>
      <c r="H364" s="49" t="n">
        <v>261.44</v>
      </c>
      <c r="I364" s="25"/>
      <c r="J364" s="25"/>
      <c r="K364" s="25"/>
      <c r="L364" s="56" t="s">
        <v>80</v>
      </c>
      <c r="M364" s="57" t="n">
        <v>261.44</v>
      </c>
      <c r="N364" s="58" t="n">
        <v>47.9</v>
      </c>
      <c r="O364" s="26" t="n">
        <v>2</v>
      </c>
      <c r="P364" s="62" t="s">
        <v>92</v>
      </c>
      <c r="Q364" s="60" t="s">
        <v>303</v>
      </c>
      <c r="R364" s="60" t="s">
        <v>832</v>
      </c>
      <c r="S364" s="61" t="s">
        <v>95</v>
      </c>
    </row>
    <row r="365" customFormat="false" ht="15" hidden="false" customHeight="false" outlineLevel="0" collapsed="false">
      <c r="A365" s="20" t="s">
        <v>70</v>
      </c>
      <c r="B365" s="19" t="s">
        <v>833</v>
      </c>
      <c r="C365" s="22" t="s">
        <v>91</v>
      </c>
      <c r="D365" s="49" t="n">
        <v>3.12</v>
      </c>
      <c r="E365" s="21"/>
      <c r="F365" s="21"/>
      <c r="G365" s="21"/>
      <c r="H365" s="21" t="n">
        <v>5.6</v>
      </c>
      <c r="I365" s="21" t="n">
        <v>27.27</v>
      </c>
      <c r="J365" s="21"/>
      <c r="K365" s="21"/>
      <c r="L365" s="50" t="s">
        <v>76</v>
      </c>
      <c r="M365" s="51" t="n">
        <v>3.12</v>
      </c>
      <c r="N365" s="52" t="n">
        <v>88.6</v>
      </c>
      <c r="O365" s="22" t="n">
        <v>3</v>
      </c>
      <c r="P365" s="59" t="s">
        <v>97</v>
      </c>
      <c r="Q365" s="54" t="s">
        <v>93</v>
      </c>
      <c r="R365" s="54" t="s">
        <v>834</v>
      </c>
      <c r="S365" s="55" t="s">
        <v>95</v>
      </c>
    </row>
    <row r="366" customFormat="false" ht="22.35" hidden="false" customHeight="false" outlineLevel="0" collapsed="false">
      <c r="A366" s="24" t="s">
        <v>70</v>
      </c>
      <c r="B366" s="23" t="s">
        <v>835</v>
      </c>
      <c r="C366" s="26" t="s">
        <v>91</v>
      </c>
      <c r="D366" s="25"/>
      <c r="E366" s="25"/>
      <c r="F366" s="49" t="n">
        <v>53.51</v>
      </c>
      <c r="G366" s="25"/>
      <c r="H366" s="25" t="n">
        <v>31.88</v>
      </c>
      <c r="I366" s="25"/>
      <c r="J366" s="25"/>
      <c r="K366" s="25"/>
      <c r="L366" s="56" t="s">
        <v>78</v>
      </c>
      <c r="M366" s="57" t="n">
        <v>53.51</v>
      </c>
      <c r="N366" s="58"/>
      <c r="O366" s="26" t="n">
        <v>2</v>
      </c>
      <c r="P366" s="62" t="s">
        <v>92</v>
      </c>
      <c r="Q366" s="60" t="s">
        <v>93</v>
      </c>
      <c r="R366" s="60" t="s">
        <v>836</v>
      </c>
      <c r="S366" s="61" t="s">
        <v>95</v>
      </c>
    </row>
    <row r="367" customFormat="false" ht="15" hidden="false" customHeight="false" outlineLevel="0" collapsed="false">
      <c r="A367" s="20" t="s">
        <v>70</v>
      </c>
      <c r="B367" s="19" t="s">
        <v>837</v>
      </c>
      <c r="C367" s="22" t="s">
        <v>91</v>
      </c>
      <c r="D367" s="21" t="n">
        <v>29.97</v>
      </c>
      <c r="E367" s="21"/>
      <c r="F367" s="21"/>
      <c r="G367" s="21"/>
      <c r="H367" s="21"/>
      <c r="I367" s="21"/>
      <c r="J367" s="21"/>
      <c r="K367" s="21"/>
      <c r="L367" s="50" t="s">
        <v>76</v>
      </c>
      <c r="M367" s="51" t="n">
        <v>29.97</v>
      </c>
      <c r="N367" s="52"/>
      <c r="O367" s="22" t="n">
        <v>1</v>
      </c>
      <c r="P367" s="63"/>
      <c r="Q367" s="54" t="s">
        <v>93</v>
      </c>
      <c r="R367" s="54" t="s">
        <v>838</v>
      </c>
      <c r="S367" s="55" t="s">
        <v>95</v>
      </c>
    </row>
    <row r="368" customFormat="false" ht="22.35" hidden="false" customHeight="false" outlineLevel="0" collapsed="false">
      <c r="A368" s="24" t="s">
        <v>70</v>
      </c>
      <c r="B368" s="23" t="s">
        <v>839</v>
      </c>
      <c r="C368" s="26" t="s">
        <v>91</v>
      </c>
      <c r="D368" s="25"/>
      <c r="E368" s="25"/>
      <c r="F368" s="25" t="n">
        <v>1.21</v>
      </c>
      <c r="G368" s="25"/>
      <c r="H368" s="25"/>
      <c r="I368" s="25"/>
      <c r="J368" s="25"/>
      <c r="K368" s="25"/>
      <c r="L368" s="56" t="s">
        <v>78</v>
      </c>
      <c r="M368" s="57" t="n">
        <v>1.21</v>
      </c>
      <c r="N368" s="58"/>
      <c r="O368" s="26" t="n">
        <v>1</v>
      </c>
      <c r="P368" s="64"/>
      <c r="Q368" s="60" t="s">
        <v>93</v>
      </c>
      <c r="R368" s="60" t="s">
        <v>840</v>
      </c>
      <c r="S368" s="26"/>
    </row>
    <row r="369" customFormat="false" ht="22.35" hidden="false" customHeight="false" outlineLevel="0" collapsed="false">
      <c r="A369" s="20" t="s">
        <v>70</v>
      </c>
      <c r="B369" s="19" t="s">
        <v>841</v>
      </c>
      <c r="C369" s="22" t="s">
        <v>91</v>
      </c>
      <c r="D369" s="21"/>
      <c r="E369" s="21"/>
      <c r="F369" s="21" t="n">
        <v>93.48</v>
      </c>
      <c r="G369" s="21"/>
      <c r="H369" s="21"/>
      <c r="I369" s="21"/>
      <c r="J369" s="21"/>
      <c r="K369" s="21"/>
      <c r="L369" s="50" t="s">
        <v>78</v>
      </c>
      <c r="M369" s="51" t="n">
        <v>93.48</v>
      </c>
      <c r="N369" s="52"/>
      <c r="O369" s="22" t="n">
        <v>1</v>
      </c>
      <c r="P369" s="63"/>
      <c r="Q369" s="54" t="s">
        <v>93</v>
      </c>
      <c r="R369" s="54" t="s">
        <v>842</v>
      </c>
      <c r="S369" s="55" t="s">
        <v>95</v>
      </c>
    </row>
    <row r="370" customFormat="false" ht="22.35" hidden="false" customHeight="false" outlineLevel="0" collapsed="false">
      <c r="A370" s="24" t="s">
        <v>70</v>
      </c>
      <c r="B370" s="23" t="s">
        <v>843</v>
      </c>
      <c r="C370" s="26" t="s">
        <v>91</v>
      </c>
      <c r="D370" s="49" t="n">
        <v>6.05</v>
      </c>
      <c r="E370" s="25" t="n">
        <v>135.56</v>
      </c>
      <c r="F370" s="25"/>
      <c r="G370" s="25"/>
      <c r="H370" s="25"/>
      <c r="I370" s="25"/>
      <c r="J370" s="25"/>
      <c r="K370" s="25"/>
      <c r="L370" s="56" t="s">
        <v>76</v>
      </c>
      <c r="M370" s="57" t="n">
        <v>6.05</v>
      </c>
      <c r="N370" s="58" t="n">
        <v>95.5</v>
      </c>
      <c r="O370" s="26" t="n">
        <v>2</v>
      </c>
      <c r="P370" s="62" t="s">
        <v>92</v>
      </c>
      <c r="Q370" s="60" t="s">
        <v>93</v>
      </c>
      <c r="R370" s="60" t="s">
        <v>844</v>
      </c>
      <c r="S370" s="61" t="s">
        <v>95</v>
      </c>
    </row>
    <row r="371" customFormat="false" ht="22.35" hidden="false" customHeight="false" outlineLevel="0" collapsed="false">
      <c r="A371" s="20" t="s">
        <v>70</v>
      </c>
      <c r="B371" s="19" t="s">
        <v>845</v>
      </c>
      <c r="C371" s="22" t="s">
        <v>91</v>
      </c>
      <c r="D371" s="21" t="n">
        <v>6.11</v>
      </c>
      <c r="E371" s="49" t="n">
        <v>5.66</v>
      </c>
      <c r="F371" s="21"/>
      <c r="G371" s="21"/>
      <c r="H371" s="21" t="n">
        <v>110.99</v>
      </c>
      <c r="I371" s="21"/>
      <c r="J371" s="21"/>
      <c r="K371" s="21"/>
      <c r="L371" s="50" t="s">
        <v>77</v>
      </c>
      <c r="M371" s="51" t="n">
        <v>5.66</v>
      </c>
      <c r="N371" s="52" t="n">
        <v>7.4</v>
      </c>
      <c r="O371" s="22" t="n">
        <v>3</v>
      </c>
      <c r="P371" s="59" t="s">
        <v>97</v>
      </c>
      <c r="Q371" s="54" t="s">
        <v>114</v>
      </c>
      <c r="R371" s="54" t="s">
        <v>846</v>
      </c>
      <c r="S371" s="22"/>
    </row>
    <row r="372" customFormat="false" ht="22.35" hidden="false" customHeight="false" outlineLevel="0" collapsed="false">
      <c r="A372" s="24" t="s">
        <v>70</v>
      </c>
      <c r="B372" s="23" t="s">
        <v>847</v>
      </c>
      <c r="C372" s="26" t="s">
        <v>757</v>
      </c>
      <c r="D372" s="49" t="n">
        <v>13.01</v>
      </c>
      <c r="E372" s="25"/>
      <c r="F372" s="25"/>
      <c r="G372" s="25"/>
      <c r="H372" s="25" t="n">
        <v>13.78</v>
      </c>
      <c r="I372" s="25" t="n">
        <v>14.64</v>
      </c>
      <c r="J372" s="25"/>
      <c r="K372" s="25"/>
      <c r="L372" s="56" t="s">
        <v>76</v>
      </c>
      <c r="M372" s="57" t="n">
        <v>13.01</v>
      </c>
      <c r="N372" s="58"/>
      <c r="O372" s="26" t="n">
        <v>3</v>
      </c>
      <c r="P372" s="59" t="s">
        <v>138</v>
      </c>
      <c r="Q372" s="60" t="s">
        <v>93</v>
      </c>
      <c r="R372" s="60" t="s">
        <v>848</v>
      </c>
      <c r="S372" s="61" t="s">
        <v>95</v>
      </c>
    </row>
    <row r="373" customFormat="false" ht="22.35" hidden="false" customHeight="false" outlineLevel="0" collapsed="false">
      <c r="A373" s="20" t="s">
        <v>70</v>
      </c>
      <c r="B373" s="19" t="s">
        <v>849</v>
      </c>
      <c r="C373" s="22" t="s">
        <v>519</v>
      </c>
      <c r="D373" s="49" t="n">
        <v>24.63</v>
      </c>
      <c r="E373" s="21"/>
      <c r="F373" s="21"/>
      <c r="G373" s="21"/>
      <c r="H373" s="21" t="n">
        <v>3.89</v>
      </c>
      <c r="I373" s="21" t="n">
        <v>16.5</v>
      </c>
      <c r="J373" s="21"/>
      <c r="K373" s="21"/>
      <c r="L373" s="50" t="s">
        <v>76</v>
      </c>
      <c r="M373" s="51" t="n">
        <v>24.63</v>
      </c>
      <c r="N373" s="52"/>
      <c r="O373" s="22" t="n">
        <v>3</v>
      </c>
      <c r="P373" s="59" t="s">
        <v>138</v>
      </c>
      <c r="Q373" s="54" t="s">
        <v>93</v>
      </c>
      <c r="R373" s="54" t="s">
        <v>850</v>
      </c>
      <c r="S373" s="55" t="s">
        <v>95</v>
      </c>
    </row>
    <row r="374" customFormat="false" ht="15" hidden="false" customHeight="false" outlineLevel="0" collapsed="false">
      <c r="A374" s="24" t="s">
        <v>70</v>
      </c>
      <c r="B374" s="23" t="s">
        <v>851</v>
      </c>
      <c r="C374" s="26" t="s">
        <v>757</v>
      </c>
      <c r="D374" s="25" t="n">
        <v>20.29</v>
      </c>
      <c r="E374" s="25"/>
      <c r="F374" s="25"/>
      <c r="G374" s="25"/>
      <c r="H374" s="25"/>
      <c r="I374" s="49" t="n">
        <v>13.5</v>
      </c>
      <c r="J374" s="25"/>
      <c r="K374" s="25"/>
      <c r="L374" s="56" t="s">
        <v>81</v>
      </c>
      <c r="M374" s="57" t="n">
        <v>13.5</v>
      </c>
      <c r="N374" s="58"/>
      <c r="O374" s="26" t="n">
        <v>2</v>
      </c>
      <c r="P374" s="59" t="s">
        <v>138</v>
      </c>
      <c r="Q374" s="60" t="s">
        <v>169</v>
      </c>
      <c r="R374" s="60" t="s">
        <v>852</v>
      </c>
      <c r="S374" s="61" t="s">
        <v>95</v>
      </c>
    </row>
    <row r="375" customFormat="false" ht="15" hidden="false" customHeight="false" outlineLevel="0" collapsed="false">
      <c r="A375" s="20" t="s">
        <v>70</v>
      </c>
      <c r="B375" s="19" t="s">
        <v>853</v>
      </c>
      <c r="C375" s="22" t="s">
        <v>647</v>
      </c>
      <c r="D375" s="49" t="n">
        <v>82.51</v>
      </c>
      <c r="E375" s="21"/>
      <c r="F375" s="21"/>
      <c r="G375" s="21"/>
      <c r="H375" s="21" t="n">
        <v>11.78</v>
      </c>
      <c r="I375" s="21" t="n">
        <v>16.87</v>
      </c>
      <c r="J375" s="21"/>
      <c r="K375" s="21"/>
      <c r="L375" s="50" t="s">
        <v>76</v>
      </c>
      <c r="M375" s="51" t="n">
        <v>82.51</v>
      </c>
      <c r="N375" s="52"/>
      <c r="O375" s="22" t="n">
        <v>3</v>
      </c>
      <c r="P375" s="59" t="s">
        <v>138</v>
      </c>
      <c r="Q375" s="54" t="s">
        <v>93</v>
      </c>
      <c r="R375" s="54" t="s">
        <v>854</v>
      </c>
      <c r="S375" s="55" t="s">
        <v>95</v>
      </c>
    </row>
    <row r="376" customFormat="false" ht="22.35" hidden="false" customHeight="false" outlineLevel="0" collapsed="false">
      <c r="A376" s="24" t="s">
        <v>70</v>
      </c>
      <c r="B376" s="23" t="s">
        <v>855</v>
      </c>
      <c r="C376" s="26" t="s">
        <v>91</v>
      </c>
      <c r="D376" s="25"/>
      <c r="E376" s="25"/>
      <c r="F376" s="25"/>
      <c r="G376" s="25"/>
      <c r="H376" s="25"/>
      <c r="I376" s="25"/>
      <c r="J376" s="25" t="n">
        <v>184</v>
      </c>
      <c r="K376" s="25"/>
      <c r="L376" s="56" t="s">
        <v>82</v>
      </c>
      <c r="M376" s="57" t="n">
        <v>184</v>
      </c>
      <c r="N376" s="58"/>
      <c r="O376" s="26" t="n">
        <v>1</v>
      </c>
      <c r="P376" s="64"/>
      <c r="Q376" s="60" t="s">
        <v>290</v>
      </c>
      <c r="R376" s="60" t="s">
        <v>856</v>
      </c>
      <c r="S376" s="61" t="s">
        <v>95</v>
      </c>
    </row>
    <row r="377" customFormat="false" ht="15" hidden="false" customHeight="false" outlineLevel="0" collapsed="false">
      <c r="A377" s="20" t="s">
        <v>70</v>
      </c>
      <c r="B377" s="19" t="s">
        <v>857</v>
      </c>
      <c r="C377" s="22" t="s">
        <v>91</v>
      </c>
      <c r="D377" s="21" t="n">
        <v>60.5</v>
      </c>
      <c r="E377" s="21"/>
      <c r="F377" s="21"/>
      <c r="G377" s="21"/>
      <c r="H377" s="21"/>
      <c r="I377" s="21"/>
      <c r="J377" s="21"/>
      <c r="K377" s="21"/>
      <c r="L377" s="50" t="s">
        <v>76</v>
      </c>
      <c r="M377" s="51" t="n">
        <v>60.5</v>
      </c>
      <c r="N377" s="52"/>
      <c r="O377" s="22" t="n">
        <v>1</v>
      </c>
      <c r="P377" s="63"/>
      <c r="Q377" s="54" t="s">
        <v>93</v>
      </c>
      <c r="R377" s="54" t="s">
        <v>858</v>
      </c>
      <c r="S377" s="55" t="s">
        <v>95</v>
      </c>
    </row>
    <row r="378" customFormat="false" ht="15" hidden="false" customHeight="false" outlineLevel="0" collapsed="false">
      <c r="A378" s="24" t="s">
        <v>70</v>
      </c>
      <c r="B378" s="23" t="s">
        <v>859</v>
      </c>
      <c r="C378" s="26" t="s">
        <v>860</v>
      </c>
      <c r="D378" s="49" t="n">
        <v>5.93</v>
      </c>
      <c r="E378" s="25" t="n">
        <v>10.05</v>
      </c>
      <c r="F378" s="25"/>
      <c r="G378" s="25"/>
      <c r="H378" s="25"/>
      <c r="I378" s="25" t="n">
        <v>4.84</v>
      </c>
      <c r="J378" s="25"/>
      <c r="K378" s="25"/>
      <c r="L378" s="56" t="s">
        <v>76</v>
      </c>
      <c r="M378" s="57" t="n">
        <v>5.93</v>
      </c>
      <c r="N378" s="58"/>
      <c r="O378" s="26" t="n">
        <v>3</v>
      </c>
      <c r="P378" s="59" t="s">
        <v>138</v>
      </c>
      <c r="Q378" s="60" t="s">
        <v>93</v>
      </c>
      <c r="R378" s="60" t="s">
        <v>861</v>
      </c>
      <c r="S378" s="61" t="s">
        <v>95</v>
      </c>
    </row>
    <row r="379" customFormat="false" ht="15" hidden="false" customHeight="false" outlineLevel="0" collapsed="false">
      <c r="A379" s="20" t="s">
        <v>70</v>
      </c>
      <c r="B379" s="19" t="s">
        <v>862</v>
      </c>
      <c r="C379" s="22" t="s">
        <v>91</v>
      </c>
      <c r="D379" s="49" t="n">
        <v>5.17</v>
      </c>
      <c r="E379" s="21" t="n">
        <v>11.93</v>
      </c>
      <c r="F379" s="21"/>
      <c r="G379" s="21"/>
      <c r="H379" s="21" t="n">
        <v>3.91</v>
      </c>
      <c r="I379" s="21"/>
      <c r="J379" s="21"/>
      <c r="K379" s="21"/>
      <c r="L379" s="50" t="s">
        <v>76</v>
      </c>
      <c r="M379" s="51" t="n">
        <v>5.17</v>
      </c>
      <c r="N379" s="52" t="n">
        <v>56.7</v>
      </c>
      <c r="O379" s="22" t="n">
        <v>3</v>
      </c>
      <c r="P379" s="59" t="s">
        <v>97</v>
      </c>
      <c r="Q379" s="54" t="s">
        <v>93</v>
      </c>
      <c r="R379" s="54" t="s">
        <v>863</v>
      </c>
      <c r="S379" s="55" t="s">
        <v>95</v>
      </c>
    </row>
    <row r="380" customFormat="false" ht="22.35" hidden="false" customHeight="false" outlineLevel="0" collapsed="false">
      <c r="A380" s="24" t="s">
        <v>70</v>
      </c>
      <c r="B380" s="23" t="s">
        <v>864</v>
      </c>
      <c r="C380" s="26" t="s">
        <v>91</v>
      </c>
      <c r="D380" s="49" t="n">
        <v>430.18</v>
      </c>
      <c r="E380" s="25"/>
      <c r="F380" s="25"/>
      <c r="G380" s="25"/>
      <c r="H380" s="25" t="n">
        <v>9.63</v>
      </c>
      <c r="I380" s="25"/>
      <c r="J380" s="25"/>
      <c r="K380" s="25"/>
      <c r="L380" s="56" t="s">
        <v>76</v>
      </c>
      <c r="M380" s="57" t="n">
        <v>430.18</v>
      </c>
      <c r="N380" s="58"/>
      <c r="O380" s="26" t="n">
        <v>2</v>
      </c>
      <c r="P380" s="62" t="s">
        <v>92</v>
      </c>
      <c r="Q380" s="60" t="s">
        <v>93</v>
      </c>
      <c r="R380" s="60" t="s">
        <v>865</v>
      </c>
      <c r="S380" s="61" t="s">
        <v>95</v>
      </c>
    </row>
    <row r="383" customFormat="false" ht="15" hidden="false" customHeight="false" outlineLevel="0" collapsed="false">
      <c r="A383" s="8" t="s">
        <v>866</v>
      </c>
    </row>
    <row r="384" customFormat="false" ht="15" hidden="false" customHeight="false" outlineLevel="0" collapsed="false">
      <c r="A384" s="65" t="s">
        <v>45</v>
      </c>
      <c r="B384" s="65" t="s">
        <v>867</v>
      </c>
      <c r="C384" s="65" t="s">
        <v>868</v>
      </c>
    </row>
    <row r="385" customFormat="false" ht="15" hidden="false" customHeight="false" outlineLevel="0" collapsed="false">
      <c r="A385" s="20" t="s">
        <v>55</v>
      </c>
      <c r="B385" s="66" t="s">
        <v>76</v>
      </c>
      <c r="C385" s="67" t="s">
        <v>869</v>
      </c>
    </row>
    <row r="386" customFormat="false" ht="15" hidden="false" customHeight="false" outlineLevel="0" collapsed="false">
      <c r="A386" s="20" t="s">
        <v>56</v>
      </c>
      <c r="B386" s="66" t="s">
        <v>76</v>
      </c>
      <c r="C386" s="67" t="s">
        <v>870</v>
      </c>
    </row>
    <row r="387" customFormat="false" ht="15" hidden="false" customHeight="false" outlineLevel="0" collapsed="false">
      <c r="A387" s="20" t="s">
        <v>57</v>
      </c>
      <c r="B387" s="66" t="s">
        <v>76</v>
      </c>
      <c r="C387" s="67" t="s">
        <v>871</v>
      </c>
    </row>
    <row r="388" customFormat="false" ht="15" hidden="false" customHeight="false" outlineLevel="0" collapsed="false">
      <c r="A388" s="20" t="s">
        <v>58</v>
      </c>
      <c r="B388" s="66" t="s">
        <v>76</v>
      </c>
      <c r="C388" s="67" t="s">
        <v>872</v>
      </c>
    </row>
    <row r="389" customFormat="false" ht="15" hidden="false" customHeight="false" outlineLevel="0" collapsed="false">
      <c r="A389" s="20" t="s">
        <v>59</v>
      </c>
      <c r="B389" s="66" t="s">
        <v>76</v>
      </c>
      <c r="C389" s="67" t="s">
        <v>873</v>
      </c>
    </row>
    <row r="390" customFormat="false" ht="15" hidden="false" customHeight="false" outlineLevel="0" collapsed="false">
      <c r="A390" s="20" t="s">
        <v>60</v>
      </c>
      <c r="B390" s="66" t="s">
        <v>76</v>
      </c>
      <c r="C390" s="67" t="s">
        <v>874</v>
      </c>
    </row>
    <row r="391" customFormat="false" ht="15" hidden="false" customHeight="false" outlineLevel="0" collapsed="false">
      <c r="A391" s="20" t="s">
        <v>61</v>
      </c>
      <c r="B391" s="66" t="s">
        <v>76</v>
      </c>
      <c r="C391" s="67" t="s">
        <v>875</v>
      </c>
    </row>
    <row r="392" customFormat="false" ht="15" hidden="false" customHeight="false" outlineLevel="0" collapsed="false">
      <c r="A392" s="20" t="s">
        <v>62</v>
      </c>
      <c r="B392" s="66" t="s">
        <v>81</v>
      </c>
      <c r="C392" s="67" t="s">
        <v>876</v>
      </c>
    </row>
    <row r="393" customFormat="false" ht="15" hidden="false" customHeight="false" outlineLevel="0" collapsed="false">
      <c r="A393" s="20" t="s">
        <v>63</v>
      </c>
      <c r="B393" s="66" t="s">
        <v>76</v>
      </c>
      <c r="C393" s="67" t="s">
        <v>877</v>
      </c>
    </row>
    <row r="394" customFormat="false" ht="15" hidden="false" customHeight="false" outlineLevel="0" collapsed="false">
      <c r="A394" s="20" t="s">
        <v>64</v>
      </c>
      <c r="B394" s="66" t="s">
        <v>76</v>
      </c>
      <c r="C394" s="67" t="s">
        <v>878</v>
      </c>
    </row>
    <row r="395" customFormat="false" ht="15" hidden="false" customHeight="false" outlineLevel="0" collapsed="false">
      <c r="A395" s="20" t="s">
        <v>65</v>
      </c>
      <c r="B395" s="66" t="s">
        <v>80</v>
      </c>
      <c r="C395" s="67" t="s">
        <v>879</v>
      </c>
    </row>
    <row r="396" customFormat="false" ht="15" hidden="false" customHeight="false" outlineLevel="0" collapsed="false">
      <c r="A396" s="20" t="s">
        <v>66</v>
      </c>
      <c r="B396" s="66" t="s">
        <v>80</v>
      </c>
      <c r="C396" s="67" t="s">
        <v>880</v>
      </c>
    </row>
    <row r="397" customFormat="false" ht="15" hidden="false" customHeight="false" outlineLevel="0" collapsed="false">
      <c r="A397" s="20" t="s">
        <v>67</v>
      </c>
      <c r="B397" s="66" t="s">
        <v>76</v>
      </c>
      <c r="C397" s="67" t="s">
        <v>881</v>
      </c>
    </row>
    <row r="398" customFormat="false" ht="15" hidden="false" customHeight="false" outlineLevel="0" collapsed="false">
      <c r="A398" s="20" t="s">
        <v>68</v>
      </c>
      <c r="B398" s="66" t="s">
        <v>76</v>
      </c>
      <c r="C398" s="67" t="s">
        <v>882</v>
      </c>
    </row>
    <row r="399" customFormat="false" ht="15" hidden="false" customHeight="false" outlineLevel="0" collapsed="false">
      <c r="A399" s="20" t="s">
        <v>69</v>
      </c>
      <c r="B399" s="66" t="s">
        <v>81</v>
      </c>
      <c r="C399" s="67" t="s">
        <v>883</v>
      </c>
    </row>
    <row r="400" customFormat="false" ht="15" hidden="false" customHeight="false" outlineLevel="0" collapsed="false">
      <c r="A400" s="20" t="s">
        <v>70</v>
      </c>
      <c r="B400" s="66" t="s">
        <v>76</v>
      </c>
      <c r="C400" s="67" t="s">
        <v>884</v>
      </c>
    </row>
  </sheetData>
  <autoFilter ref="A4:S380"/>
  <mergeCells count="2">
    <mergeCell ref="A1:S1"/>
    <mergeCell ref="A2:S2"/>
  </mergeCells>
  <hyperlinks>
    <hyperlink ref="S5" r:id="rId1" display="Voir la fiche"/>
    <hyperlink ref="S6" r:id="rId2" display="Voir la fiche"/>
    <hyperlink ref="S7" r:id="rId3" display="Voir la fiche"/>
    <hyperlink ref="S8" r:id="rId4" display="Voir la fiche"/>
    <hyperlink ref="S9" r:id="rId5" display="Voir la fiche"/>
    <hyperlink ref="S10" r:id="rId6" display="Voir la fiche"/>
    <hyperlink ref="S11" r:id="rId7" display="Voir la fiche"/>
    <hyperlink ref="S12" r:id="rId8" display="Voir la fiche"/>
    <hyperlink ref="S13" r:id="rId9" display="Voir la fiche"/>
    <hyperlink ref="S15" r:id="rId10" display="Voir la fiche"/>
    <hyperlink ref="S16" r:id="rId11" display="Voir la fiche"/>
    <hyperlink ref="S17" r:id="rId12" display="Voir la fiche"/>
    <hyperlink ref="S18" r:id="rId13" display="Voir la fiche"/>
    <hyperlink ref="S19" r:id="rId14" display="Voir la fiche"/>
    <hyperlink ref="S22" r:id="rId15" display="Voir la fiche"/>
    <hyperlink ref="S23" r:id="rId16" display="Voir la fiche"/>
    <hyperlink ref="S24" r:id="rId17" display="Voir la fiche"/>
    <hyperlink ref="S25" r:id="rId18" display="Voir la fiche"/>
    <hyperlink ref="S26" r:id="rId19" display="Voir la fiche"/>
    <hyperlink ref="S29" r:id="rId20" display="Voir la fiche"/>
    <hyperlink ref="S30" r:id="rId21" display="Voir la fiche"/>
    <hyperlink ref="S32" r:id="rId22" display="Voir la fiche"/>
    <hyperlink ref="S33" r:id="rId23" display="Voir la fiche"/>
    <hyperlink ref="S34" r:id="rId24" display="Voir la fiche"/>
    <hyperlink ref="S35" r:id="rId25" display="Voir la fiche"/>
    <hyperlink ref="S36" r:id="rId26" display="Voir la fiche"/>
    <hyperlink ref="S37" r:id="rId27" display="Voir la fiche"/>
    <hyperlink ref="S38" r:id="rId28" display="Voir la fiche"/>
    <hyperlink ref="S40" r:id="rId29" display="Voir la fiche"/>
    <hyperlink ref="S41" r:id="rId30" display="Voir la fiche"/>
    <hyperlink ref="S42" r:id="rId31" display="Voir la fiche"/>
    <hyperlink ref="S43" r:id="rId32" display="Voir la fiche"/>
    <hyperlink ref="S45" r:id="rId33" display="Voir la fiche"/>
    <hyperlink ref="S46" r:id="rId34" display="Voir la fiche"/>
    <hyperlink ref="S47" r:id="rId35" display="Voir la fiche"/>
    <hyperlink ref="S48" r:id="rId36" display="Voir la fiche"/>
    <hyperlink ref="S49" r:id="rId37" display="Voir la fiche"/>
    <hyperlink ref="S50" r:id="rId38" display="Voir la fiche"/>
    <hyperlink ref="S51" r:id="rId39" display="Voir la fiche"/>
    <hyperlink ref="S52" r:id="rId40" display="Voir la fiche"/>
    <hyperlink ref="S53" r:id="rId41" display="Voir la fiche"/>
    <hyperlink ref="S54" r:id="rId42" display="Voir la fiche"/>
    <hyperlink ref="S55" r:id="rId43" display="Voir la fiche"/>
    <hyperlink ref="S56" r:id="rId44" display="Voir la fiche"/>
    <hyperlink ref="S57" r:id="rId45" display="Voir la fiche"/>
    <hyperlink ref="S60" r:id="rId46" display="Voir la fiche"/>
    <hyperlink ref="S63" r:id="rId47" display="Voir la fiche"/>
    <hyperlink ref="S64" r:id="rId48" display="Voir la fiche"/>
    <hyperlink ref="S66" r:id="rId49" display="Voir la fiche"/>
    <hyperlink ref="S68" r:id="rId50" display="Voir la fiche"/>
    <hyperlink ref="S69" r:id="rId51" display="Voir la fiche"/>
    <hyperlink ref="S70" r:id="rId52" display="Voir la fiche"/>
    <hyperlink ref="S71" r:id="rId53" display="Voir la fiche"/>
    <hyperlink ref="S72" r:id="rId54" display="Voir la fiche"/>
    <hyperlink ref="S73" r:id="rId55" display="Voir la fiche"/>
    <hyperlink ref="S74" r:id="rId56" display="Voir la fiche"/>
    <hyperlink ref="S75" r:id="rId57" display="Voir la fiche"/>
    <hyperlink ref="S77" r:id="rId58" display="Voir la fiche"/>
    <hyperlink ref="S78" r:id="rId59" display="Voir la fiche"/>
    <hyperlink ref="S79" r:id="rId60" display="Voir la fiche"/>
    <hyperlink ref="S80" r:id="rId61" display="Voir la fiche"/>
    <hyperlink ref="S81" r:id="rId62" display="Voir la fiche"/>
    <hyperlink ref="S82" r:id="rId63" display="Voir la fiche"/>
    <hyperlink ref="S83" r:id="rId64" display="Voir la fiche"/>
    <hyperlink ref="S85" r:id="rId65" display="Voir la fiche"/>
    <hyperlink ref="S86" r:id="rId66" display="Voir la fiche"/>
    <hyperlink ref="S87" r:id="rId67" display="Voir la fiche"/>
    <hyperlink ref="S89" r:id="rId68" display="Voir la fiche"/>
    <hyperlink ref="S90" r:id="rId69" display="Voir la fiche"/>
    <hyperlink ref="S91" r:id="rId70" display="Voir la fiche"/>
    <hyperlink ref="S92" r:id="rId71" display="Voir la fiche"/>
    <hyperlink ref="S93" r:id="rId72" display="Voir la fiche"/>
    <hyperlink ref="S94" r:id="rId73" display="Voir la fiche"/>
    <hyperlink ref="S95" r:id="rId74" display="Voir la fiche"/>
    <hyperlink ref="S96" r:id="rId75" display="Voir la fiche"/>
    <hyperlink ref="S99" r:id="rId76" display="Voir la fiche"/>
    <hyperlink ref="S100" r:id="rId77" display="Voir la fiche"/>
    <hyperlink ref="S101" r:id="rId78" display="Voir la fiche"/>
    <hyperlink ref="S102" r:id="rId79" display="Voir la fiche"/>
    <hyperlink ref="S103" r:id="rId80" display="Voir la fiche"/>
    <hyperlink ref="S104" r:id="rId81" display="Voir la fiche"/>
    <hyperlink ref="S105" r:id="rId82" display="Voir la fiche"/>
    <hyperlink ref="S106" r:id="rId83" display="Voir la fiche"/>
    <hyperlink ref="S107" r:id="rId84" display="Voir la fiche"/>
    <hyperlink ref="S108" r:id="rId85" display="Voir la fiche"/>
    <hyperlink ref="S109" r:id="rId86" display="Voir la fiche"/>
    <hyperlink ref="S110" r:id="rId87" display="Voir la fiche"/>
    <hyperlink ref="S111" r:id="rId88" display="Voir la fiche"/>
    <hyperlink ref="S112" r:id="rId89" display="Voir la fiche"/>
    <hyperlink ref="S113" r:id="rId90" display="Voir la fiche"/>
    <hyperlink ref="S114" r:id="rId91" display="Voir la fiche"/>
    <hyperlink ref="S115" r:id="rId92" display="Voir la fiche"/>
    <hyperlink ref="S116" r:id="rId93" display="Voir la fiche"/>
    <hyperlink ref="S117" r:id="rId94" display="Voir la fiche"/>
    <hyperlink ref="S118" r:id="rId95" display="Voir la fiche"/>
    <hyperlink ref="S119" r:id="rId96" display="Voir la fiche"/>
    <hyperlink ref="S120" r:id="rId97" display="Voir la fiche"/>
    <hyperlink ref="S121" r:id="rId98" display="Voir la fiche"/>
    <hyperlink ref="S122" r:id="rId99" display="Voir la fiche"/>
    <hyperlink ref="S123" r:id="rId100" display="Voir la fiche"/>
    <hyperlink ref="S124" r:id="rId101" display="Voir la fiche"/>
    <hyperlink ref="S125" r:id="rId102" display="Voir la fiche"/>
    <hyperlink ref="S126" r:id="rId103" display="Voir la fiche"/>
    <hyperlink ref="S127" r:id="rId104" display="Voir la fiche"/>
    <hyperlink ref="S128" r:id="rId105" display="Voir la fiche"/>
    <hyperlink ref="S129" r:id="rId106" display="Voir la fiche"/>
    <hyperlink ref="S130" r:id="rId107" display="Voir la fiche"/>
    <hyperlink ref="S131" r:id="rId108" display="Voir la fiche"/>
    <hyperlink ref="S132" r:id="rId109" display="Voir la fiche"/>
    <hyperlink ref="S133" r:id="rId110" display="Voir la fiche"/>
    <hyperlink ref="S134" r:id="rId111" display="Voir la fiche"/>
    <hyperlink ref="S135" r:id="rId112" display="Voir la fiche"/>
    <hyperlink ref="S136" r:id="rId113" display="Voir la fiche"/>
    <hyperlink ref="S137" r:id="rId114" display="Voir la fiche"/>
    <hyperlink ref="S138" r:id="rId115" display="Voir la fiche"/>
    <hyperlink ref="S139" r:id="rId116" display="Voir la fiche"/>
    <hyperlink ref="S141" r:id="rId117" display="Voir la fiche"/>
    <hyperlink ref="S142" r:id="rId118" display="Voir la fiche"/>
    <hyperlink ref="S143" r:id="rId119" display="Voir la fiche"/>
    <hyperlink ref="S144" r:id="rId120" display="Voir la fiche"/>
    <hyperlink ref="S145" r:id="rId121" display="Voir la fiche"/>
    <hyperlink ref="S146" r:id="rId122" display="Voir la fiche"/>
    <hyperlink ref="S147" r:id="rId123" display="Voir la fiche"/>
    <hyperlink ref="S148" r:id="rId124" display="Voir la fiche"/>
    <hyperlink ref="S149" r:id="rId125" display="Voir la fiche"/>
    <hyperlink ref="S150" r:id="rId126" display="Voir la fiche"/>
    <hyperlink ref="S151" r:id="rId127" display="Voir la fiche"/>
    <hyperlink ref="S152" r:id="rId128" display="Voir la fiche"/>
    <hyperlink ref="S153" r:id="rId129" display="Voir la fiche"/>
    <hyperlink ref="S155" r:id="rId130" display="Voir la fiche"/>
    <hyperlink ref="S156" r:id="rId131" display="Voir la fiche"/>
    <hyperlink ref="S157" r:id="rId132" display="Voir la fiche"/>
    <hyperlink ref="S158" r:id="rId133" display="Voir la fiche"/>
    <hyperlink ref="S159" r:id="rId134" display="Voir la fiche"/>
    <hyperlink ref="S160" r:id="rId135" display="Voir la fiche"/>
    <hyperlink ref="S161" r:id="rId136" display="Voir la fiche"/>
    <hyperlink ref="S162" r:id="rId137" display="Voir la fiche"/>
    <hyperlink ref="S163" r:id="rId138" display="Voir la fiche"/>
    <hyperlink ref="S166" r:id="rId139" display="Voir la fiche"/>
    <hyperlink ref="S167" r:id="rId140" display="Voir la fiche"/>
    <hyperlink ref="S168" r:id="rId141" display="Voir la fiche"/>
    <hyperlink ref="S169" r:id="rId142" display="Voir la fiche"/>
    <hyperlink ref="S170" r:id="rId143" display="Voir la fiche"/>
    <hyperlink ref="S171" r:id="rId144" display="Voir la fiche"/>
    <hyperlink ref="S172" r:id="rId145" display="Voir la fiche"/>
    <hyperlink ref="S173" r:id="rId146" display="Voir la fiche"/>
    <hyperlink ref="S174" r:id="rId147" display="Voir la fiche"/>
    <hyperlink ref="S175" r:id="rId148" display="Voir la fiche"/>
    <hyperlink ref="S176" r:id="rId149" display="Voir la fiche"/>
    <hyperlink ref="S177" r:id="rId150" display="Voir la fiche"/>
    <hyperlink ref="S178" r:id="rId151" display="Voir la fiche"/>
    <hyperlink ref="S179" r:id="rId152" display="Voir la fiche"/>
    <hyperlink ref="S180" r:id="rId153" display="Voir la fiche"/>
    <hyperlink ref="S181" r:id="rId154" display="Voir la fiche"/>
    <hyperlink ref="S182" r:id="rId155" display="Voir la fiche"/>
    <hyperlink ref="S183" r:id="rId156" display="Voir la fiche"/>
    <hyperlink ref="S184" r:id="rId157" display="Voir la fiche"/>
    <hyperlink ref="S185" r:id="rId158" display="Voir la fiche"/>
    <hyperlink ref="S186" r:id="rId159" display="Voir la fiche"/>
    <hyperlink ref="S187" r:id="rId160" display="Voir la fiche"/>
    <hyperlink ref="S188" r:id="rId161" display="Voir la fiche"/>
    <hyperlink ref="S189" r:id="rId162" display="Voir la fiche"/>
    <hyperlink ref="S190" r:id="rId163" display="Voir la fiche"/>
    <hyperlink ref="S191" r:id="rId164" display="Voir la fiche"/>
    <hyperlink ref="S192" r:id="rId165" display="Voir la fiche"/>
    <hyperlink ref="S193" r:id="rId166" display="Voir la fiche"/>
    <hyperlink ref="S195" r:id="rId167" display="Voir la fiche"/>
    <hyperlink ref="S196" r:id="rId168" display="Voir la fiche"/>
    <hyperlink ref="S197" r:id="rId169" display="Voir la fiche"/>
    <hyperlink ref="S198" r:id="rId170" display="Voir la fiche"/>
    <hyperlink ref="S199" r:id="rId171" display="Voir la fiche"/>
    <hyperlink ref="S200" r:id="rId172" display="Voir la fiche"/>
    <hyperlink ref="S201" r:id="rId173" display="Voir la fiche"/>
    <hyperlink ref="S202" r:id="rId174" display="Voir la fiche"/>
    <hyperlink ref="S203" r:id="rId175" display="Voir la fiche"/>
    <hyperlink ref="S204" r:id="rId176" display="Voir la fiche"/>
    <hyperlink ref="S205" r:id="rId177" display="Voir la fiche"/>
    <hyperlink ref="S207" r:id="rId178" display="Voir la fiche"/>
    <hyperlink ref="S208" r:id="rId179" display="Voir la fiche"/>
    <hyperlink ref="S209" r:id="rId180" display="Voir la fiche"/>
    <hyperlink ref="S211" r:id="rId181" display="Voir la fiche"/>
    <hyperlink ref="S212" r:id="rId182" display="Voir la fiche"/>
    <hyperlink ref="S213" r:id="rId183" display="Voir la fiche"/>
    <hyperlink ref="S214" r:id="rId184" display="Voir la fiche"/>
    <hyperlink ref="S216" r:id="rId185" display="Voir la fiche"/>
    <hyperlink ref="S217" r:id="rId186" display="Voir la fiche"/>
    <hyperlink ref="S218" r:id="rId187" display="Voir la fiche"/>
    <hyperlink ref="S219" r:id="rId188" display="Voir la fiche"/>
    <hyperlink ref="S220" r:id="rId189" display="Voir la fiche"/>
    <hyperlink ref="S221" r:id="rId190" display="Voir la fiche"/>
    <hyperlink ref="S222" r:id="rId191" display="Voir la fiche"/>
    <hyperlink ref="S223" r:id="rId192" display="Voir la fiche"/>
    <hyperlink ref="S224" r:id="rId193" display="Voir la fiche"/>
    <hyperlink ref="S225" r:id="rId194" display="Voir la fiche"/>
    <hyperlink ref="S226" r:id="rId195" display="Voir la fiche"/>
    <hyperlink ref="S227" r:id="rId196" display="Voir la fiche"/>
    <hyperlink ref="S228" r:id="rId197" display="Voir la fiche"/>
    <hyperlink ref="S229" r:id="rId198" display="Voir la fiche"/>
    <hyperlink ref="S230" r:id="rId199" display="Voir la fiche"/>
    <hyperlink ref="S231" r:id="rId200" display="Voir la fiche"/>
    <hyperlink ref="S232" r:id="rId201" display="Voir la fiche"/>
    <hyperlink ref="S233" r:id="rId202" display="Voir la fiche"/>
    <hyperlink ref="S234" r:id="rId203" display="Voir la fiche"/>
    <hyperlink ref="S235" r:id="rId204" display="Voir la fiche"/>
    <hyperlink ref="S236" r:id="rId205" display="Voir la fiche"/>
    <hyperlink ref="S237" r:id="rId206" display="Voir la fiche"/>
    <hyperlink ref="S238" r:id="rId207" display="Voir la fiche"/>
    <hyperlink ref="S239" r:id="rId208" display="Voir la fiche"/>
    <hyperlink ref="S240" r:id="rId209" display="Voir la fiche"/>
    <hyperlink ref="S241" r:id="rId210" display="Voir la fiche"/>
    <hyperlink ref="S242" r:id="rId211" display="Voir la fiche"/>
    <hyperlink ref="S243" r:id="rId212" display="Voir la fiche"/>
    <hyperlink ref="S244" r:id="rId213" display="Voir la fiche"/>
    <hyperlink ref="S245" r:id="rId214" display="Voir la fiche"/>
    <hyperlink ref="S247" r:id="rId215" display="Voir la fiche"/>
    <hyperlink ref="S248" r:id="rId216" display="Voir la fiche"/>
    <hyperlink ref="S249" r:id="rId217" display="Voir la fiche"/>
    <hyperlink ref="S250" r:id="rId218" display="Voir la fiche"/>
    <hyperlink ref="S251" r:id="rId219" display="Voir la fiche"/>
    <hyperlink ref="S252" r:id="rId220" display="Voir la fiche"/>
    <hyperlink ref="S253" r:id="rId221" display="Voir la fiche"/>
    <hyperlink ref="S254" r:id="rId222" display="Voir la fiche"/>
    <hyperlink ref="S255" r:id="rId223" display="Voir la fiche"/>
    <hyperlink ref="S256" r:id="rId224" display="Voir la fiche"/>
    <hyperlink ref="S257" r:id="rId225" display="Voir la fiche"/>
    <hyperlink ref="S259" r:id="rId226" display="Voir la fiche"/>
    <hyperlink ref="S260" r:id="rId227" display="Voir la fiche"/>
    <hyperlink ref="S261" r:id="rId228" display="Voir la fiche"/>
    <hyperlink ref="S262" r:id="rId229" display="Voir la fiche"/>
    <hyperlink ref="S263" r:id="rId230" display="Voir la fiche"/>
    <hyperlink ref="S264" r:id="rId231" display="Voir la fiche"/>
    <hyperlink ref="S265" r:id="rId232" display="Voir la fiche"/>
    <hyperlink ref="S266" r:id="rId233" display="Voir la fiche"/>
    <hyperlink ref="S267" r:id="rId234" display="Voir la fiche"/>
    <hyperlink ref="S268" r:id="rId235" display="Voir la fiche"/>
    <hyperlink ref="S269" r:id="rId236" display="Voir la fiche"/>
    <hyperlink ref="S270" r:id="rId237" display="Voir la fiche"/>
    <hyperlink ref="S271" r:id="rId238" display="Voir la fiche"/>
    <hyperlink ref="S272" r:id="rId239" display="Voir la fiche"/>
    <hyperlink ref="S273" r:id="rId240" display="Voir la fiche"/>
    <hyperlink ref="S274" r:id="rId241" display="Voir la fiche"/>
    <hyperlink ref="S275" r:id="rId242" display="Voir la fiche"/>
    <hyperlink ref="S276" r:id="rId243" display="Voir la fiche"/>
    <hyperlink ref="S277" r:id="rId244" display="Voir la fiche"/>
    <hyperlink ref="S278" r:id="rId245" display="Voir la fiche"/>
    <hyperlink ref="S279" r:id="rId246" display="Voir la fiche"/>
    <hyperlink ref="S280" r:id="rId247" display="Voir la fiche"/>
    <hyperlink ref="S281" r:id="rId248" display="Voir la fiche"/>
    <hyperlink ref="S283" r:id="rId249" display="Voir la fiche"/>
    <hyperlink ref="S284" r:id="rId250" display="Voir la fiche"/>
    <hyperlink ref="S285" r:id="rId251" display="Voir la fiche"/>
    <hyperlink ref="S286" r:id="rId252" display="Voir la fiche"/>
    <hyperlink ref="S287" r:id="rId253" display="Voir la fiche"/>
    <hyperlink ref="S288" r:id="rId254" display="Voir la fiche"/>
    <hyperlink ref="S289" r:id="rId255" display="Voir la fiche"/>
    <hyperlink ref="S290" r:id="rId256" display="Voir la fiche"/>
    <hyperlink ref="S291" r:id="rId257" display="Voir la fiche"/>
    <hyperlink ref="S292" r:id="rId258" display="Voir la fiche"/>
    <hyperlink ref="S293" r:id="rId259" display="Voir la fiche"/>
    <hyperlink ref="S294" r:id="rId260" display="Voir la fiche"/>
    <hyperlink ref="S295" r:id="rId261" display="Voir la fiche"/>
    <hyperlink ref="S296" r:id="rId262" display="Voir la fiche"/>
    <hyperlink ref="S297" r:id="rId263" display="Voir la fiche"/>
    <hyperlink ref="S298" r:id="rId264" display="Voir la fiche"/>
    <hyperlink ref="S299" r:id="rId265" display="Voir la fiche"/>
    <hyperlink ref="S300" r:id="rId266" display="Voir la fiche"/>
    <hyperlink ref="S301" r:id="rId267" display="Voir la fiche"/>
    <hyperlink ref="S303" r:id="rId268" display="Voir la fiche"/>
    <hyperlink ref="S304" r:id="rId269" display="Voir la fiche"/>
    <hyperlink ref="S305" r:id="rId270" display="Voir la fiche"/>
    <hyperlink ref="S306" r:id="rId271" display="Voir la fiche"/>
    <hyperlink ref="S307" r:id="rId272" display="Voir la fiche"/>
    <hyperlink ref="S308" r:id="rId273" display="Voir la fiche"/>
    <hyperlink ref="S309" r:id="rId274" display="Voir la fiche"/>
    <hyperlink ref="S310" r:id="rId275" display="Voir la fiche"/>
    <hyperlink ref="S311" r:id="rId276" display="Voir la fiche"/>
    <hyperlink ref="S312" r:id="rId277" display="Voir la fiche"/>
    <hyperlink ref="S313" r:id="rId278" display="Voir la fiche"/>
    <hyperlink ref="S314" r:id="rId279" display="Voir la fiche"/>
    <hyperlink ref="S315" r:id="rId280" display="Voir la fiche"/>
    <hyperlink ref="S316" r:id="rId281" display="Voir la fiche"/>
    <hyperlink ref="S317" r:id="rId282" display="Voir la fiche"/>
    <hyperlink ref="S318" r:id="rId283" display="Voir la fiche"/>
    <hyperlink ref="S319" r:id="rId284" display="Voir la fiche"/>
    <hyperlink ref="S320" r:id="rId285" display="Voir la fiche"/>
    <hyperlink ref="S321" r:id="rId286" display="Voir la fiche"/>
    <hyperlink ref="S322" r:id="rId287" display="Voir la fiche"/>
    <hyperlink ref="S323" r:id="rId288" display="Voir la fiche"/>
    <hyperlink ref="S324" r:id="rId289" display="Voir la fiche"/>
    <hyperlink ref="S325" r:id="rId290" display="Voir la fiche"/>
    <hyperlink ref="S326" r:id="rId291" display="Voir la fiche"/>
    <hyperlink ref="S327" r:id="rId292" display="Voir la fiche"/>
    <hyperlink ref="S328" r:id="rId293" display="Voir la fiche"/>
    <hyperlink ref="S329" r:id="rId294" display="Voir la fiche"/>
    <hyperlink ref="S330" r:id="rId295" display="Voir la fiche"/>
    <hyperlink ref="S331" r:id="rId296" display="Voir la fiche"/>
    <hyperlink ref="S332" r:id="rId297" display="Voir la fiche"/>
    <hyperlink ref="S333" r:id="rId298" display="Voir la fiche"/>
    <hyperlink ref="S334" r:id="rId299" display="Voir la fiche"/>
    <hyperlink ref="S335" r:id="rId300" display="Voir la fiche"/>
    <hyperlink ref="S336" r:id="rId301" display="Voir la fiche"/>
    <hyperlink ref="S337" r:id="rId302" display="Voir la fiche"/>
    <hyperlink ref="S338" r:id="rId303" display="Voir la fiche"/>
    <hyperlink ref="S339" r:id="rId304" display="Voir la fiche"/>
    <hyperlink ref="S340" r:id="rId305" display="Voir la fiche"/>
    <hyperlink ref="S341" r:id="rId306" display="Voir la fiche"/>
    <hyperlink ref="S342" r:id="rId307" display="Voir la fiche"/>
    <hyperlink ref="S343" r:id="rId308" display="Voir la fiche"/>
    <hyperlink ref="S344" r:id="rId309" display="Voir la fiche"/>
    <hyperlink ref="S345" r:id="rId310" display="Voir la fiche"/>
    <hyperlink ref="S346" r:id="rId311" display="Voir la fiche"/>
    <hyperlink ref="S347" r:id="rId312" display="Voir la fiche"/>
    <hyperlink ref="S348" r:id="rId313" display="Voir la fiche"/>
    <hyperlink ref="S349" r:id="rId314" display="Voir la fiche"/>
    <hyperlink ref="S350" r:id="rId315" display="Voir la fiche"/>
    <hyperlink ref="S351" r:id="rId316" display="Voir la fiche"/>
    <hyperlink ref="S352" r:id="rId317" display="Voir la fiche"/>
    <hyperlink ref="S353" r:id="rId318" display="Voir la fiche"/>
    <hyperlink ref="S354" r:id="rId319" display="Voir la fiche"/>
    <hyperlink ref="S355" r:id="rId320" display="Voir la fiche"/>
    <hyperlink ref="S356" r:id="rId321" display="Voir la fiche"/>
    <hyperlink ref="S357" r:id="rId322" display="Voir la fiche"/>
    <hyperlink ref="S358" r:id="rId323" display="Voir la fiche"/>
    <hyperlink ref="S359" r:id="rId324" display="Voir la fiche"/>
    <hyperlink ref="S360" r:id="rId325" display="Voir la fiche"/>
    <hyperlink ref="S361" r:id="rId326" display="Voir la fiche"/>
    <hyperlink ref="S362" r:id="rId327" display="Voir la fiche"/>
    <hyperlink ref="S363" r:id="rId328" display="Voir la fiche"/>
    <hyperlink ref="S364" r:id="rId329" display="Voir la fiche"/>
    <hyperlink ref="S365" r:id="rId330" display="Voir la fiche"/>
    <hyperlink ref="S366" r:id="rId331" display="Voir la fiche"/>
    <hyperlink ref="S367" r:id="rId332" display="Voir la fiche"/>
    <hyperlink ref="S369" r:id="rId333" display="Voir la fiche"/>
    <hyperlink ref="S370" r:id="rId334" display="Voir la fiche"/>
    <hyperlink ref="S372" r:id="rId335" display="Voir la fiche"/>
    <hyperlink ref="S373" r:id="rId336" display="Voir la fiche"/>
    <hyperlink ref="S374" r:id="rId337" display="Voir la fiche"/>
    <hyperlink ref="S375" r:id="rId338" display="Voir la fiche"/>
    <hyperlink ref="S376" r:id="rId339" display="Voir la fiche"/>
    <hyperlink ref="S377" r:id="rId340" display="Voir la fiche"/>
    <hyperlink ref="S378" r:id="rId341" display="Voir la fiche"/>
    <hyperlink ref="S379" r:id="rId342" display="Voir la fiche"/>
    <hyperlink ref="S380" r:id="rId343"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34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6500"/>
    <pageSetUpPr fitToPage="true"/>
  </sheetPr>
  <dimension ref="A1:F18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3" min="3" style="0" width="22"/>
    <col collapsed="false" customWidth="true" hidden="false" outlineLevel="0" max="4" min="4" style="0" width="11"/>
    <col collapsed="false" customWidth="true" hidden="false" outlineLevel="0" max="5" min="5" style="0" width="40"/>
    <col collapsed="false" customWidth="true" hidden="false" outlineLevel="0" max="6" min="6" style="0" width="52"/>
  </cols>
  <sheetData>
    <row r="1" customFormat="false" ht="30" hidden="false" customHeight="true" outlineLevel="0" collapsed="false">
      <c r="A1" s="14" t="s">
        <v>885</v>
      </c>
      <c r="B1" s="14"/>
      <c r="C1" s="14"/>
      <c r="D1" s="14"/>
      <c r="E1" s="14"/>
      <c r="F1" s="14"/>
    </row>
    <row r="2" customFormat="false" ht="30" hidden="false" customHeight="true" outlineLevel="0" collapsed="false">
      <c r="A2" s="3" t="s">
        <v>886</v>
      </c>
      <c r="B2" s="3"/>
      <c r="C2" s="3"/>
      <c r="D2" s="3"/>
      <c r="E2" s="3"/>
      <c r="F2" s="3"/>
    </row>
    <row r="4" customFormat="false" ht="31.5" hidden="false" customHeight="true" outlineLevel="0" collapsed="false">
      <c r="A4" s="18" t="s">
        <v>45</v>
      </c>
      <c r="B4" s="18" t="s">
        <v>36</v>
      </c>
      <c r="C4" s="18" t="s">
        <v>37</v>
      </c>
      <c r="D4" s="18" t="s">
        <v>38</v>
      </c>
      <c r="E4" s="18" t="s">
        <v>887</v>
      </c>
      <c r="F4" s="18" t="s">
        <v>888</v>
      </c>
    </row>
    <row r="5" customFormat="false" ht="23.85" hidden="false" customHeight="false" outlineLevel="0" collapsed="false">
      <c r="A5" s="20" t="s">
        <v>55</v>
      </c>
      <c r="B5" s="19" t="s">
        <v>103</v>
      </c>
      <c r="C5" s="20" t="s">
        <v>76</v>
      </c>
      <c r="D5" s="21" t="n">
        <v>107.92</v>
      </c>
      <c r="E5" s="68" t="s">
        <v>889</v>
      </c>
      <c r="F5" s="19" t="s">
        <v>890</v>
      </c>
    </row>
    <row r="6" customFormat="false" ht="23.85" hidden="false" customHeight="false" outlineLevel="0" collapsed="false">
      <c r="A6" s="24" t="s">
        <v>55</v>
      </c>
      <c r="B6" s="23" t="s">
        <v>121</v>
      </c>
      <c r="C6" s="24" t="s">
        <v>76</v>
      </c>
      <c r="D6" s="25" t="n">
        <v>45.64</v>
      </c>
      <c r="E6" s="68" t="s">
        <v>889</v>
      </c>
      <c r="F6" s="23" t="s">
        <v>890</v>
      </c>
    </row>
    <row r="7" customFormat="false" ht="23.85" hidden="false" customHeight="false" outlineLevel="0" collapsed="false">
      <c r="A7" s="20" t="s">
        <v>55</v>
      </c>
      <c r="B7" s="19" t="s">
        <v>123</v>
      </c>
      <c r="C7" s="20" t="s">
        <v>76</v>
      </c>
      <c r="D7" s="21" t="n">
        <v>84.44</v>
      </c>
      <c r="E7" s="68" t="s">
        <v>889</v>
      </c>
      <c r="F7" s="19" t="s">
        <v>890</v>
      </c>
    </row>
    <row r="8" customFormat="false" ht="23.85" hidden="false" customHeight="false" outlineLevel="0" collapsed="false">
      <c r="A8" s="24" t="s">
        <v>55</v>
      </c>
      <c r="B8" s="23" t="s">
        <v>132</v>
      </c>
      <c r="C8" s="24" t="s">
        <v>76</v>
      </c>
      <c r="D8" s="25" t="n">
        <v>28.36</v>
      </c>
      <c r="E8" s="68" t="s">
        <v>889</v>
      </c>
      <c r="F8" s="23" t="s">
        <v>890</v>
      </c>
    </row>
    <row r="9" customFormat="false" ht="23.85" hidden="false" customHeight="false" outlineLevel="0" collapsed="false">
      <c r="A9" s="20" t="s">
        <v>55</v>
      </c>
      <c r="B9" s="19" t="s">
        <v>136</v>
      </c>
      <c r="C9" s="20" t="s">
        <v>76</v>
      </c>
      <c r="D9" s="21" t="n">
        <v>17.82</v>
      </c>
      <c r="E9" s="68" t="s">
        <v>889</v>
      </c>
      <c r="F9" s="19" t="s">
        <v>890</v>
      </c>
    </row>
    <row r="10" customFormat="false" ht="23.85" hidden="false" customHeight="false" outlineLevel="0" collapsed="false">
      <c r="A10" s="24" t="s">
        <v>55</v>
      </c>
      <c r="B10" s="23" t="s">
        <v>140</v>
      </c>
      <c r="C10" s="24" t="s">
        <v>76</v>
      </c>
      <c r="D10" s="25" t="n">
        <v>27.43</v>
      </c>
      <c r="E10" s="68" t="s">
        <v>889</v>
      </c>
      <c r="F10" s="23" t="s">
        <v>890</v>
      </c>
    </row>
    <row r="11" customFormat="false" ht="23.85" hidden="false" customHeight="false" outlineLevel="0" collapsed="false">
      <c r="A11" s="20" t="s">
        <v>55</v>
      </c>
      <c r="B11" s="19" t="s">
        <v>142</v>
      </c>
      <c r="C11" s="20" t="s">
        <v>78</v>
      </c>
      <c r="D11" s="21" t="n">
        <v>8.24</v>
      </c>
      <c r="E11" s="68" t="s">
        <v>889</v>
      </c>
      <c r="F11" s="19" t="s">
        <v>890</v>
      </c>
    </row>
    <row r="12" customFormat="false" ht="23.85" hidden="false" customHeight="false" outlineLevel="0" collapsed="false">
      <c r="A12" s="24" t="s">
        <v>55</v>
      </c>
      <c r="B12" s="23" t="s">
        <v>144</v>
      </c>
      <c r="C12" s="24" t="s">
        <v>78</v>
      </c>
      <c r="D12" s="25" t="n">
        <v>25</v>
      </c>
      <c r="E12" s="68" t="s">
        <v>889</v>
      </c>
      <c r="F12" s="23" t="s">
        <v>890</v>
      </c>
    </row>
    <row r="13" customFormat="false" ht="23.85" hidden="false" customHeight="false" outlineLevel="0" collapsed="false">
      <c r="A13" s="20" t="s">
        <v>55</v>
      </c>
      <c r="B13" s="19" t="s">
        <v>155</v>
      </c>
      <c r="C13" s="20" t="s">
        <v>76</v>
      </c>
      <c r="D13" s="21" t="n">
        <v>63.11</v>
      </c>
      <c r="E13" s="68" t="s">
        <v>889</v>
      </c>
      <c r="F13" s="19" t="s">
        <v>890</v>
      </c>
    </row>
    <row r="14" customFormat="false" ht="23.85" hidden="false" customHeight="false" outlineLevel="0" collapsed="false">
      <c r="A14" s="24" t="s">
        <v>55</v>
      </c>
      <c r="B14" s="23" t="s">
        <v>157</v>
      </c>
      <c r="C14" s="24" t="s">
        <v>76</v>
      </c>
      <c r="D14" s="25" t="n">
        <v>1.86</v>
      </c>
      <c r="E14" s="68" t="s">
        <v>889</v>
      </c>
      <c r="F14" s="23" t="s">
        <v>890</v>
      </c>
    </row>
    <row r="15" customFormat="false" ht="23.85" hidden="false" customHeight="false" outlineLevel="0" collapsed="false">
      <c r="A15" s="20" t="s">
        <v>55</v>
      </c>
      <c r="B15" s="19" t="s">
        <v>159</v>
      </c>
      <c r="C15" s="20" t="s">
        <v>76</v>
      </c>
      <c r="D15" s="21" t="n">
        <v>22.11</v>
      </c>
      <c r="E15" s="68" t="s">
        <v>889</v>
      </c>
      <c r="F15" s="19" t="s">
        <v>890</v>
      </c>
    </row>
    <row r="16" customFormat="false" ht="23.85" hidden="false" customHeight="false" outlineLevel="0" collapsed="false">
      <c r="A16" s="24" t="s">
        <v>55</v>
      </c>
      <c r="B16" s="23" t="s">
        <v>161</v>
      </c>
      <c r="C16" s="24" t="s">
        <v>76</v>
      </c>
      <c r="D16" s="25" t="n">
        <v>22.11</v>
      </c>
      <c r="E16" s="68" t="s">
        <v>889</v>
      </c>
      <c r="F16" s="23" t="s">
        <v>890</v>
      </c>
    </row>
    <row r="17" customFormat="false" ht="23.85" hidden="false" customHeight="false" outlineLevel="0" collapsed="false">
      <c r="A17" s="20" t="s">
        <v>55</v>
      </c>
      <c r="B17" s="19" t="s">
        <v>164</v>
      </c>
      <c r="C17" s="20" t="s">
        <v>76</v>
      </c>
      <c r="D17" s="21" t="n">
        <v>24.86</v>
      </c>
      <c r="E17" s="68" t="s">
        <v>889</v>
      </c>
      <c r="F17" s="19" t="s">
        <v>890</v>
      </c>
    </row>
    <row r="18" customFormat="false" ht="23.85" hidden="false" customHeight="false" outlineLevel="0" collapsed="false">
      <c r="A18" s="24" t="s">
        <v>55</v>
      </c>
      <c r="B18" s="23" t="s">
        <v>166</v>
      </c>
      <c r="C18" s="24" t="s">
        <v>78</v>
      </c>
      <c r="D18" s="25" t="n">
        <v>0.39</v>
      </c>
      <c r="E18" s="68" t="s">
        <v>889</v>
      </c>
      <c r="F18" s="23" t="s">
        <v>890</v>
      </c>
    </row>
    <row r="19" customFormat="false" ht="23.85" hidden="false" customHeight="false" outlineLevel="0" collapsed="false">
      <c r="A19" s="20" t="s">
        <v>55</v>
      </c>
      <c r="B19" s="19" t="s">
        <v>168</v>
      </c>
      <c r="C19" s="20" t="s">
        <v>81</v>
      </c>
      <c r="D19" s="21" t="n">
        <v>5.18</v>
      </c>
      <c r="E19" s="68" t="s">
        <v>889</v>
      </c>
      <c r="F19" s="19" t="s">
        <v>890</v>
      </c>
    </row>
    <row r="20" customFormat="false" ht="23.85" hidden="false" customHeight="false" outlineLevel="0" collapsed="false">
      <c r="A20" s="24" t="s">
        <v>55</v>
      </c>
      <c r="B20" s="23" t="s">
        <v>171</v>
      </c>
      <c r="C20" s="24" t="s">
        <v>76</v>
      </c>
      <c r="D20" s="25" t="n">
        <v>11.2</v>
      </c>
      <c r="E20" s="68" t="s">
        <v>891</v>
      </c>
      <c r="F20" s="23" t="s">
        <v>892</v>
      </c>
    </row>
    <row r="21" customFormat="false" ht="23.85" hidden="false" customHeight="false" outlineLevel="0" collapsed="false">
      <c r="A21" s="20" t="s">
        <v>55</v>
      </c>
      <c r="B21" s="19" t="s">
        <v>173</v>
      </c>
      <c r="C21" s="20" t="s">
        <v>76</v>
      </c>
      <c r="D21" s="21" t="n">
        <v>46.21</v>
      </c>
      <c r="E21" s="68" t="s">
        <v>891</v>
      </c>
      <c r="F21" s="19" t="s">
        <v>892</v>
      </c>
    </row>
    <row r="22" customFormat="false" ht="23.85" hidden="false" customHeight="false" outlineLevel="0" collapsed="false">
      <c r="A22" s="24" t="s">
        <v>55</v>
      </c>
      <c r="B22" s="23" t="s">
        <v>179</v>
      </c>
      <c r="C22" s="24" t="s">
        <v>76</v>
      </c>
      <c r="D22" s="25" t="n">
        <v>75</v>
      </c>
      <c r="E22" s="68" t="s">
        <v>889</v>
      </c>
      <c r="F22" s="23" t="s">
        <v>890</v>
      </c>
    </row>
    <row r="23" customFormat="false" ht="23.85" hidden="false" customHeight="false" outlineLevel="0" collapsed="false">
      <c r="A23" s="20" t="s">
        <v>55</v>
      </c>
      <c r="B23" s="19" t="s">
        <v>185</v>
      </c>
      <c r="C23" s="20" t="s">
        <v>76</v>
      </c>
      <c r="D23" s="21" t="n">
        <v>5.55</v>
      </c>
      <c r="E23" s="68" t="s">
        <v>889</v>
      </c>
      <c r="F23" s="19" t="s">
        <v>890</v>
      </c>
    </row>
    <row r="24" customFormat="false" ht="23.85" hidden="false" customHeight="false" outlineLevel="0" collapsed="false">
      <c r="A24" s="24" t="s">
        <v>55</v>
      </c>
      <c r="B24" s="23" t="s">
        <v>192</v>
      </c>
      <c r="C24" s="24" t="s">
        <v>76</v>
      </c>
      <c r="D24" s="25" t="n">
        <v>0.89</v>
      </c>
      <c r="E24" s="68" t="s">
        <v>889</v>
      </c>
      <c r="F24" s="23" t="s">
        <v>890</v>
      </c>
    </row>
    <row r="25" customFormat="false" ht="23.85" hidden="false" customHeight="false" outlineLevel="0" collapsed="false">
      <c r="A25" s="20" t="s">
        <v>55</v>
      </c>
      <c r="B25" s="19" t="s">
        <v>893</v>
      </c>
      <c r="C25" s="20" t="s">
        <v>894</v>
      </c>
      <c r="D25" s="21"/>
      <c r="E25" s="69" t="s">
        <v>895</v>
      </c>
      <c r="F25" s="19" t="s">
        <v>896</v>
      </c>
    </row>
    <row r="26" customFormat="false" ht="23.85" hidden="false" customHeight="false" outlineLevel="0" collapsed="false">
      <c r="A26" s="24" t="s">
        <v>55</v>
      </c>
      <c r="B26" s="23" t="s">
        <v>196</v>
      </c>
      <c r="C26" s="24" t="s">
        <v>76</v>
      </c>
      <c r="D26" s="25" t="n">
        <v>10.74</v>
      </c>
      <c r="E26" s="68" t="s">
        <v>889</v>
      </c>
      <c r="F26" s="23" t="s">
        <v>890</v>
      </c>
    </row>
    <row r="27" customFormat="false" ht="23.85" hidden="false" customHeight="false" outlineLevel="0" collapsed="false">
      <c r="A27" s="20" t="s">
        <v>55</v>
      </c>
      <c r="B27" s="19" t="s">
        <v>198</v>
      </c>
      <c r="C27" s="20" t="s">
        <v>76</v>
      </c>
      <c r="D27" s="21" t="n">
        <v>8.17</v>
      </c>
      <c r="E27" s="68" t="s">
        <v>889</v>
      </c>
      <c r="F27" s="19" t="s">
        <v>890</v>
      </c>
    </row>
    <row r="28" customFormat="false" ht="23.85" hidden="false" customHeight="false" outlineLevel="0" collapsed="false">
      <c r="A28" s="24" t="s">
        <v>55</v>
      </c>
      <c r="B28" s="23" t="s">
        <v>897</v>
      </c>
      <c r="C28" s="24" t="s">
        <v>894</v>
      </c>
      <c r="D28" s="25"/>
      <c r="E28" s="69" t="s">
        <v>895</v>
      </c>
      <c r="F28" s="23" t="s">
        <v>896</v>
      </c>
    </row>
    <row r="29" customFormat="false" ht="23.85" hidden="false" customHeight="false" outlineLevel="0" collapsed="false">
      <c r="A29" s="20" t="s">
        <v>55</v>
      </c>
      <c r="B29" s="19" t="s">
        <v>202</v>
      </c>
      <c r="C29" s="20" t="s">
        <v>76</v>
      </c>
      <c r="D29" s="21" t="n">
        <v>27.54</v>
      </c>
      <c r="E29" s="68" t="s">
        <v>889</v>
      </c>
      <c r="F29" s="19" t="s">
        <v>890</v>
      </c>
    </row>
    <row r="30" customFormat="false" ht="23.85" hidden="false" customHeight="false" outlineLevel="0" collapsed="false">
      <c r="A30" s="24" t="s">
        <v>56</v>
      </c>
      <c r="B30" s="23" t="s">
        <v>898</v>
      </c>
      <c r="C30" s="24" t="s">
        <v>894</v>
      </c>
      <c r="D30" s="25"/>
      <c r="E30" s="69" t="s">
        <v>895</v>
      </c>
      <c r="F30" s="23" t="s">
        <v>896</v>
      </c>
    </row>
    <row r="31" customFormat="false" ht="23.85" hidden="false" customHeight="false" outlineLevel="0" collapsed="false">
      <c r="A31" s="20" t="s">
        <v>56</v>
      </c>
      <c r="B31" s="19" t="s">
        <v>205</v>
      </c>
      <c r="C31" s="20" t="s">
        <v>76</v>
      </c>
      <c r="D31" s="21" t="n">
        <v>152.8</v>
      </c>
      <c r="E31" s="68" t="s">
        <v>889</v>
      </c>
      <c r="F31" s="19" t="s">
        <v>890</v>
      </c>
    </row>
    <row r="32" customFormat="false" ht="23.85" hidden="false" customHeight="false" outlineLevel="0" collapsed="false">
      <c r="A32" s="24" t="s">
        <v>56</v>
      </c>
      <c r="B32" s="23" t="s">
        <v>207</v>
      </c>
      <c r="C32" s="24" t="s">
        <v>78</v>
      </c>
      <c r="D32" s="25" t="n">
        <v>78.64</v>
      </c>
      <c r="E32" s="68" t="s">
        <v>889</v>
      </c>
      <c r="F32" s="23" t="s">
        <v>890</v>
      </c>
    </row>
    <row r="33" customFormat="false" ht="23.85" hidden="false" customHeight="false" outlineLevel="0" collapsed="false">
      <c r="A33" s="20" t="s">
        <v>56</v>
      </c>
      <c r="B33" s="19" t="s">
        <v>217</v>
      </c>
      <c r="C33" s="20" t="s">
        <v>76</v>
      </c>
      <c r="D33" s="21" t="n">
        <v>164.7</v>
      </c>
      <c r="E33" s="68" t="s">
        <v>889</v>
      </c>
      <c r="F33" s="19" t="s">
        <v>890</v>
      </c>
    </row>
    <row r="34" customFormat="false" ht="23.85" hidden="false" customHeight="false" outlineLevel="0" collapsed="false">
      <c r="A34" s="24" t="s">
        <v>56</v>
      </c>
      <c r="B34" s="23" t="s">
        <v>899</v>
      </c>
      <c r="C34" s="24" t="s">
        <v>894</v>
      </c>
      <c r="D34" s="25"/>
      <c r="E34" s="69" t="s">
        <v>895</v>
      </c>
      <c r="F34" s="23" t="s">
        <v>896</v>
      </c>
    </row>
    <row r="35" customFormat="false" ht="23.85" hidden="false" customHeight="false" outlineLevel="0" collapsed="false">
      <c r="A35" s="20" t="s">
        <v>56</v>
      </c>
      <c r="B35" s="19" t="s">
        <v>219</v>
      </c>
      <c r="C35" s="20" t="s">
        <v>76</v>
      </c>
      <c r="D35" s="21" t="n">
        <v>224.6</v>
      </c>
      <c r="E35" s="68" t="s">
        <v>889</v>
      </c>
      <c r="F35" s="19" t="s">
        <v>890</v>
      </c>
    </row>
    <row r="36" customFormat="false" ht="23.85" hidden="false" customHeight="false" outlineLevel="0" collapsed="false">
      <c r="A36" s="24" t="s">
        <v>56</v>
      </c>
      <c r="B36" s="23" t="s">
        <v>227</v>
      </c>
      <c r="C36" s="24" t="s">
        <v>76</v>
      </c>
      <c r="D36" s="25" t="n">
        <v>509.9</v>
      </c>
      <c r="E36" s="68" t="s">
        <v>889</v>
      </c>
      <c r="F36" s="23" t="s">
        <v>890</v>
      </c>
    </row>
    <row r="37" customFormat="false" ht="23.85" hidden="false" customHeight="false" outlineLevel="0" collapsed="false">
      <c r="A37" s="20" t="s">
        <v>56</v>
      </c>
      <c r="B37" s="19" t="s">
        <v>231</v>
      </c>
      <c r="C37" s="20" t="s">
        <v>76</v>
      </c>
      <c r="D37" s="21" t="n">
        <v>54</v>
      </c>
      <c r="E37" s="68" t="s">
        <v>889</v>
      </c>
      <c r="F37" s="19" t="s">
        <v>890</v>
      </c>
    </row>
    <row r="38" customFormat="false" ht="23.85" hidden="false" customHeight="false" outlineLevel="0" collapsed="false">
      <c r="A38" s="24" t="s">
        <v>56</v>
      </c>
      <c r="B38" s="23" t="s">
        <v>233</v>
      </c>
      <c r="C38" s="24" t="s">
        <v>76</v>
      </c>
      <c r="D38" s="25" t="n">
        <v>2.2</v>
      </c>
      <c r="E38" s="68" t="s">
        <v>889</v>
      </c>
      <c r="F38" s="23" t="s">
        <v>890</v>
      </c>
    </row>
    <row r="39" customFormat="false" ht="23.85" hidden="false" customHeight="false" outlineLevel="0" collapsed="false">
      <c r="A39" s="20" t="s">
        <v>56</v>
      </c>
      <c r="B39" s="19" t="s">
        <v>235</v>
      </c>
      <c r="C39" s="20" t="s">
        <v>76</v>
      </c>
      <c r="D39" s="21" t="n">
        <v>472.58</v>
      </c>
      <c r="E39" s="68" t="s">
        <v>889</v>
      </c>
      <c r="F39" s="19" t="s">
        <v>890</v>
      </c>
    </row>
    <row r="40" customFormat="false" ht="23.85" hidden="false" customHeight="false" outlineLevel="0" collapsed="false">
      <c r="A40" s="24" t="s">
        <v>56</v>
      </c>
      <c r="B40" s="23" t="s">
        <v>237</v>
      </c>
      <c r="C40" s="24" t="s">
        <v>76</v>
      </c>
      <c r="D40" s="25" t="n">
        <v>21.13</v>
      </c>
      <c r="E40" s="68" t="s">
        <v>889</v>
      </c>
      <c r="F40" s="23" t="s">
        <v>890</v>
      </c>
    </row>
    <row r="41" customFormat="false" ht="23.85" hidden="false" customHeight="false" outlineLevel="0" collapsed="false">
      <c r="A41" s="20" t="s">
        <v>56</v>
      </c>
      <c r="B41" s="19" t="s">
        <v>239</v>
      </c>
      <c r="C41" s="20" t="s">
        <v>76</v>
      </c>
      <c r="D41" s="21" t="n">
        <v>8.91</v>
      </c>
      <c r="E41" s="68" t="s">
        <v>889</v>
      </c>
      <c r="F41" s="19" t="s">
        <v>890</v>
      </c>
    </row>
    <row r="42" customFormat="false" ht="23.85" hidden="false" customHeight="false" outlineLevel="0" collapsed="false">
      <c r="A42" s="24" t="s">
        <v>56</v>
      </c>
      <c r="B42" s="23" t="s">
        <v>241</v>
      </c>
      <c r="C42" s="24" t="s">
        <v>76</v>
      </c>
      <c r="D42" s="25" t="n">
        <v>137.91</v>
      </c>
      <c r="E42" s="68" t="s">
        <v>889</v>
      </c>
      <c r="F42" s="23" t="s">
        <v>890</v>
      </c>
    </row>
    <row r="43" customFormat="false" ht="23.85" hidden="false" customHeight="false" outlineLevel="0" collapsed="false">
      <c r="A43" s="20" t="s">
        <v>56</v>
      </c>
      <c r="B43" s="19" t="s">
        <v>245</v>
      </c>
      <c r="C43" s="20" t="s">
        <v>76</v>
      </c>
      <c r="D43" s="21" t="n">
        <v>2.96</v>
      </c>
      <c r="E43" s="68" t="s">
        <v>889</v>
      </c>
      <c r="F43" s="19" t="s">
        <v>890</v>
      </c>
    </row>
    <row r="44" customFormat="false" ht="32.8" hidden="false" customHeight="false" outlineLevel="0" collapsed="false">
      <c r="A44" s="24" t="s">
        <v>56</v>
      </c>
      <c r="B44" s="23" t="s">
        <v>251</v>
      </c>
      <c r="C44" s="24" t="s">
        <v>78</v>
      </c>
      <c r="D44" s="25" t="n">
        <v>2488.05</v>
      </c>
      <c r="E44" s="68" t="s">
        <v>900</v>
      </c>
      <c r="F44" s="23" t="s">
        <v>901</v>
      </c>
    </row>
    <row r="45" customFormat="false" ht="23.85" hidden="false" customHeight="false" outlineLevel="0" collapsed="false">
      <c r="A45" s="20" t="s">
        <v>57</v>
      </c>
      <c r="B45" s="19" t="s">
        <v>257</v>
      </c>
      <c r="C45" s="20" t="s">
        <v>76</v>
      </c>
      <c r="D45" s="21" t="n">
        <v>27.39</v>
      </c>
      <c r="E45" s="68" t="s">
        <v>889</v>
      </c>
      <c r="F45" s="19" t="s">
        <v>890</v>
      </c>
    </row>
    <row r="46" customFormat="false" ht="23.85" hidden="false" customHeight="false" outlineLevel="0" collapsed="false">
      <c r="A46" s="24" t="s">
        <v>57</v>
      </c>
      <c r="B46" s="23" t="s">
        <v>261</v>
      </c>
      <c r="C46" s="24" t="s">
        <v>76</v>
      </c>
      <c r="D46" s="25" t="n">
        <v>20.6</v>
      </c>
      <c r="E46" s="68" t="s">
        <v>889</v>
      </c>
      <c r="F46" s="23" t="s">
        <v>890</v>
      </c>
    </row>
    <row r="47" customFormat="false" ht="23.85" hidden="false" customHeight="false" outlineLevel="0" collapsed="false">
      <c r="A47" s="20" t="s">
        <v>57</v>
      </c>
      <c r="B47" s="19" t="s">
        <v>265</v>
      </c>
      <c r="C47" s="20" t="s">
        <v>81</v>
      </c>
      <c r="D47" s="21" t="n">
        <v>23.4</v>
      </c>
      <c r="E47" s="68" t="s">
        <v>889</v>
      </c>
      <c r="F47" s="19" t="s">
        <v>890</v>
      </c>
    </row>
    <row r="48" customFormat="false" ht="23.85" hidden="false" customHeight="false" outlineLevel="0" collapsed="false">
      <c r="A48" s="24" t="s">
        <v>57</v>
      </c>
      <c r="B48" s="23" t="s">
        <v>273</v>
      </c>
      <c r="C48" s="24" t="s">
        <v>76</v>
      </c>
      <c r="D48" s="25" t="n">
        <v>2.58</v>
      </c>
      <c r="E48" s="68" t="s">
        <v>891</v>
      </c>
      <c r="F48" s="23" t="s">
        <v>892</v>
      </c>
    </row>
    <row r="49" customFormat="false" ht="23.85" hidden="false" customHeight="false" outlineLevel="0" collapsed="false">
      <c r="A49" s="20" t="s">
        <v>57</v>
      </c>
      <c r="B49" s="19" t="s">
        <v>275</v>
      </c>
      <c r="C49" s="20" t="s">
        <v>76</v>
      </c>
      <c r="D49" s="21" t="n">
        <v>38.38</v>
      </c>
      <c r="E49" s="68" t="s">
        <v>889</v>
      </c>
      <c r="F49" s="19" t="s">
        <v>890</v>
      </c>
    </row>
    <row r="50" customFormat="false" ht="23.85" hidden="false" customHeight="false" outlineLevel="0" collapsed="false">
      <c r="A50" s="24" t="s">
        <v>57</v>
      </c>
      <c r="B50" s="23" t="s">
        <v>287</v>
      </c>
      <c r="C50" s="24" t="s">
        <v>78</v>
      </c>
      <c r="D50" s="25" t="n">
        <v>120.61</v>
      </c>
      <c r="E50" s="68" t="s">
        <v>889</v>
      </c>
      <c r="F50" s="23" t="s">
        <v>890</v>
      </c>
    </row>
    <row r="51" customFormat="false" ht="23.85" hidden="false" customHeight="false" outlineLevel="0" collapsed="false">
      <c r="A51" s="20" t="s">
        <v>57</v>
      </c>
      <c r="B51" s="19" t="s">
        <v>289</v>
      </c>
      <c r="C51" s="20" t="s">
        <v>82</v>
      </c>
      <c r="D51" s="21" t="n">
        <v>13.77</v>
      </c>
      <c r="E51" s="68" t="s">
        <v>902</v>
      </c>
      <c r="F51" s="19" t="s">
        <v>903</v>
      </c>
    </row>
    <row r="52" customFormat="false" ht="23.85" hidden="false" customHeight="false" outlineLevel="0" collapsed="false">
      <c r="A52" s="24" t="s">
        <v>58</v>
      </c>
      <c r="B52" s="23" t="s">
        <v>292</v>
      </c>
      <c r="C52" s="24" t="s">
        <v>76</v>
      </c>
      <c r="D52" s="25" t="n">
        <v>1.59</v>
      </c>
      <c r="E52" s="68" t="s">
        <v>889</v>
      </c>
      <c r="F52" s="23" t="s">
        <v>890</v>
      </c>
    </row>
    <row r="53" customFormat="false" ht="23.85" hidden="false" customHeight="false" outlineLevel="0" collapsed="false">
      <c r="A53" s="20" t="s">
        <v>58</v>
      </c>
      <c r="B53" s="19" t="s">
        <v>300</v>
      </c>
      <c r="C53" s="20" t="s">
        <v>76</v>
      </c>
      <c r="D53" s="21" t="n">
        <v>1.48</v>
      </c>
      <c r="E53" s="68" t="s">
        <v>889</v>
      </c>
      <c r="F53" s="19" t="s">
        <v>890</v>
      </c>
    </row>
    <row r="54" customFormat="false" ht="23.85" hidden="false" customHeight="false" outlineLevel="0" collapsed="false">
      <c r="A54" s="24" t="s">
        <v>58</v>
      </c>
      <c r="B54" s="23" t="s">
        <v>904</v>
      </c>
      <c r="C54" s="24" t="s">
        <v>894</v>
      </c>
      <c r="D54" s="25"/>
      <c r="E54" s="69" t="s">
        <v>895</v>
      </c>
      <c r="F54" s="23" t="s">
        <v>896</v>
      </c>
    </row>
    <row r="55" customFormat="false" ht="23.85" hidden="false" customHeight="false" outlineLevel="0" collapsed="false">
      <c r="A55" s="20" t="s">
        <v>58</v>
      </c>
      <c r="B55" s="19" t="s">
        <v>305</v>
      </c>
      <c r="C55" s="20" t="s">
        <v>76</v>
      </c>
      <c r="D55" s="21" t="n">
        <v>8.55</v>
      </c>
      <c r="E55" s="68" t="s">
        <v>889</v>
      </c>
      <c r="F55" s="19" t="s">
        <v>890</v>
      </c>
    </row>
    <row r="56" customFormat="false" ht="23.85" hidden="false" customHeight="false" outlineLevel="0" collapsed="false">
      <c r="A56" s="24" t="s">
        <v>58</v>
      </c>
      <c r="B56" s="23" t="s">
        <v>309</v>
      </c>
      <c r="C56" s="24" t="s">
        <v>76</v>
      </c>
      <c r="D56" s="25" t="n">
        <v>1.73</v>
      </c>
      <c r="E56" s="68" t="s">
        <v>889</v>
      </c>
      <c r="F56" s="23" t="s">
        <v>890</v>
      </c>
    </row>
    <row r="57" customFormat="false" ht="23.85" hidden="false" customHeight="false" outlineLevel="0" collapsed="false">
      <c r="A57" s="20" t="s">
        <v>58</v>
      </c>
      <c r="B57" s="19" t="s">
        <v>310</v>
      </c>
      <c r="C57" s="20" t="s">
        <v>76</v>
      </c>
      <c r="D57" s="21" t="n">
        <v>2.75</v>
      </c>
      <c r="E57" s="68" t="s">
        <v>889</v>
      </c>
      <c r="F57" s="19" t="s">
        <v>890</v>
      </c>
    </row>
    <row r="58" customFormat="false" ht="23.85" hidden="false" customHeight="false" outlineLevel="0" collapsed="false">
      <c r="A58" s="24" t="s">
        <v>58</v>
      </c>
      <c r="B58" s="23" t="s">
        <v>312</v>
      </c>
      <c r="C58" s="24" t="s">
        <v>79</v>
      </c>
      <c r="D58" s="25" t="n">
        <v>11.14</v>
      </c>
      <c r="E58" s="68" t="s">
        <v>889</v>
      </c>
      <c r="F58" s="23" t="s">
        <v>890</v>
      </c>
    </row>
    <row r="59" customFormat="false" ht="23.85" hidden="false" customHeight="false" outlineLevel="0" collapsed="false">
      <c r="A59" s="20" t="s">
        <v>58</v>
      </c>
      <c r="B59" s="19" t="s">
        <v>335</v>
      </c>
      <c r="C59" s="20" t="s">
        <v>76</v>
      </c>
      <c r="D59" s="21" t="n">
        <v>19.45</v>
      </c>
      <c r="E59" s="68" t="s">
        <v>889</v>
      </c>
      <c r="F59" s="19" t="s">
        <v>890</v>
      </c>
    </row>
    <row r="60" customFormat="false" ht="23.85" hidden="false" customHeight="false" outlineLevel="0" collapsed="false">
      <c r="A60" s="24" t="s">
        <v>58</v>
      </c>
      <c r="B60" s="23" t="s">
        <v>359</v>
      </c>
      <c r="C60" s="24" t="s">
        <v>80</v>
      </c>
      <c r="D60" s="25" t="n">
        <v>21.62</v>
      </c>
      <c r="E60" s="68" t="s">
        <v>891</v>
      </c>
      <c r="F60" s="23" t="s">
        <v>892</v>
      </c>
    </row>
    <row r="61" customFormat="false" ht="23.85" hidden="false" customHeight="false" outlineLevel="0" collapsed="false">
      <c r="A61" s="20" t="s">
        <v>58</v>
      </c>
      <c r="B61" s="19" t="s">
        <v>376</v>
      </c>
      <c r="C61" s="20" t="s">
        <v>79</v>
      </c>
      <c r="D61" s="21" t="n">
        <v>11.09</v>
      </c>
      <c r="E61" s="68" t="s">
        <v>889</v>
      </c>
      <c r="F61" s="19" t="s">
        <v>890</v>
      </c>
    </row>
    <row r="62" customFormat="false" ht="23.85" hidden="false" customHeight="false" outlineLevel="0" collapsed="false">
      <c r="A62" s="24" t="s">
        <v>58</v>
      </c>
      <c r="B62" s="23" t="s">
        <v>378</v>
      </c>
      <c r="C62" s="24" t="s">
        <v>76</v>
      </c>
      <c r="D62" s="25" t="n">
        <v>25.02</v>
      </c>
      <c r="E62" s="68" t="s">
        <v>889</v>
      </c>
      <c r="F62" s="23" t="s">
        <v>890</v>
      </c>
    </row>
    <row r="63" customFormat="false" ht="23.85" hidden="false" customHeight="false" outlineLevel="0" collapsed="false">
      <c r="A63" s="20" t="s">
        <v>58</v>
      </c>
      <c r="B63" s="19" t="s">
        <v>380</v>
      </c>
      <c r="C63" s="20" t="s">
        <v>80</v>
      </c>
      <c r="D63" s="21" t="n">
        <v>5.76</v>
      </c>
      <c r="E63" s="68" t="s">
        <v>891</v>
      </c>
      <c r="F63" s="19" t="s">
        <v>892</v>
      </c>
    </row>
    <row r="64" customFormat="false" ht="23.85" hidden="false" customHeight="false" outlineLevel="0" collapsed="false">
      <c r="A64" s="24" t="s">
        <v>59</v>
      </c>
      <c r="B64" s="23" t="s">
        <v>386</v>
      </c>
      <c r="C64" s="24" t="s">
        <v>78</v>
      </c>
      <c r="D64" s="25" t="n">
        <v>150.5</v>
      </c>
      <c r="E64" s="68" t="s">
        <v>889</v>
      </c>
      <c r="F64" s="23" t="s">
        <v>890</v>
      </c>
    </row>
    <row r="65" customFormat="false" ht="23.85" hidden="false" customHeight="false" outlineLevel="0" collapsed="false">
      <c r="A65" s="20" t="s">
        <v>59</v>
      </c>
      <c r="B65" s="19" t="s">
        <v>390</v>
      </c>
      <c r="C65" s="20" t="s">
        <v>76</v>
      </c>
      <c r="D65" s="21" t="n">
        <v>365.33</v>
      </c>
      <c r="E65" s="68" t="s">
        <v>889</v>
      </c>
      <c r="F65" s="19" t="s">
        <v>890</v>
      </c>
    </row>
    <row r="66" customFormat="false" ht="23.85" hidden="false" customHeight="false" outlineLevel="0" collapsed="false">
      <c r="A66" s="24" t="s">
        <v>59</v>
      </c>
      <c r="B66" s="23" t="s">
        <v>402</v>
      </c>
      <c r="C66" s="24" t="s">
        <v>80</v>
      </c>
      <c r="D66" s="25" t="n">
        <v>30.87</v>
      </c>
      <c r="E66" s="68" t="s">
        <v>889</v>
      </c>
      <c r="F66" s="23" t="s">
        <v>890</v>
      </c>
    </row>
    <row r="67" customFormat="false" ht="23.85" hidden="false" customHeight="false" outlineLevel="0" collapsed="false">
      <c r="A67" s="20" t="s">
        <v>59</v>
      </c>
      <c r="B67" s="19" t="s">
        <v>905</v>
      </c>
      <c r="C67" s="20" t="s">
        <v>894</v>
      </c>
      <c r="D67" s="21"/>
      <c r="E67" s="69" t="s">
        <v>895</v>
      </c>
      <c r="F67" s="19" t="s">
        <v>896</v>
      </c>
    </row>
    <row r="68" customFormat="false" ht="23.85" hidden="false" customHeight="false" outlineLevel="0" collapsed="false">
      <c r="A68" s="24" t="s">
        <v>59</v>
      </c>
      <c r="B68" s="23" t="s">
        <v>404</v>
      </c>
      <c r="C68" s="24" t="s">
        <v>78</v>
      </c>
      <c r="D68" s="25" t="n">
        <v>1046.81</v>
      </c>
      <c r="E68" s="68" t="s">
        <v>889</v>
      </c>
      <c r="F68" s="23" t="s">
        <v>890</v>
      </c>
    </row>
    <row r="69" customFormat="false" ht="23.85" hidden="false" customHeight="false" outlineLevel="0" collapsed="false">
      <c r="A69" s="20" t="s">
        <v>59</v>
      </c>
      <c r="B69" s="19" t="s">
        <v>414</v>
      </c>
      <c r="C69" s="20" t="s">
        <v>76</v>
      </c>
      <c r="D69" s="21" t="n">
        <v>4.75</v>
      </c>
      <c r="E69" s="68" t="s">
        <v>891</v>
      </c>
      <c r="F69" s="19" t="s">
        <v>892</v>
      </c>
    </row>
    <row r="70" customFormat="false" ht="23.85" hidden="false" customHeight="false" outlineLevel="0" collapsed="false">
      <c r="A70" s="24" t="s">
        <v>59</v>
      </c>
      <c r="B70" s="23" t="s">
        <v>420</v>
      </c>
      <c r="C70" s="24" t="s">
        <v>81</v>
      </c>
      <c r="D70" s="25" t="n">
        <v>33.31</v>
      </c>
      <c r="E70" s="68" t="s">
        <v>889</v>
      </c>
      <c r="F70" s="23" t="s">
        <v>890</v>
      </c>
    </row>
    <row r="71" customFormat="false" ht="23.85" hidden="false" customHeight="false" outlineLevel="0" collapsed="false">
      <c r="A71" s="20" t="s">
        <v>59</v>
      </c>
      <c r="B71" s="19" t="s">
        <v>422</v>
      </c>
      <c r="C71" s="20" t="s">
        <v>76</v>
      </c>
      <c r="D71" s="21" t="n">
        <v>596.37</v>
      </c>
      <c r="E71" s="68" t="s">
        <v>889</v>
      </c>
      <c r="F71" s="19" t="s">
        <v>890</v>
      </c>
    </row>
    <row r="72" customFormat="false" ht="23.85" hidden="false" customHeight="false" outlineLevel="0" collapsed="false">
      <c r="A72" s="24" t="s">
        <v>59</v>
      </c>
      <c r="B72" s="23" t="s">
        <v>906</v>
      </c>
      <c r="C72" s="24" t="s">
        <v>894</v>
      </c>
      <c r="D72" s="25"/>
      <c r="E72" s="69" t="s">
        <v>895</v>
      </c>
      <c r="F72" s="23" t="s">
        <v>896</v>
      </c>
    </row>
    <row r="73" customFormat="false" ht="23.85" hidden="false" customHeight="false" outlineLevel="0" collapsed="false">
      <c r="A73" s="20" t="s">
        <v>59</v>
      </c>
      <c r="B73" s="19" t="s">
        <v>434</v>
      </c>
      <c r="C73" s="20" t="s">
        <v>76</v>
      </c>
      <c r="D73" s="21" t="n">
        <v>8.8</v>
      </c>
      <c r="E73" s="68" t="s">
        <v>889</v>
      </c>
      <c r="F73" s="19" t="s">
        <v>890</v>
      </c>
    </row>
    <row r="74" customFormat="false" ht="23.85" hidden="false" customHeight="false" outlineLevel="0" collapsed="false">
      <c r="A74" s="24" t="s">
        <v>60</v>
      </c>
      <c r="B74" s="23" t="s">
        <v>436</v>
      </c>
      <c r="C74" s="24" t="s">
        <v>82</v>
      </c>
      <c r="D74" s="25" t="n">
        <v>4.57</v>
      </c>
      <c r="E74" s="68" t="s">
        <v>889</v>
      </c>
      <c r="F74" s="23" t="s">
        <v>890</v>
      </c>
    </row>
    <row r="75" customFormat="false" ht="23.85" hidden="false" customHeight="false" outlineLevel="0" collapsed="false">
      <c r="A75" s="20" t="s">
        <v>60</v>
      </c>
      <c r="B75" s="19" t="s">
        <v>438</v>
      </c>
      <c r="C75" s="20" t="s">
        <v>81</v>
      </c>
      <c r="D75" s="21" t="n">
        <v>33.45</v>
      </c>
      <c r="E75" s="68" t="s">
        <v>889</v>
      </c>
      <c r="F75" s="19" t="s">
        <v>890</v>
      </c>
    </row>
    <row r="76" customFormat="false" ht="23.85" hidden="false" customHeight="false" outlineLevel="0" collapsed="false">
      <c r="A76" s="24" t="s">
        <v>60</v>
      </c>
      <c r="B76" s="23" t="s">
        <v>445</v>
      </c>
      <c r="C76" s="24" t="s">
        <v>82</v>
      </c>
      <c r="D76" s="25" t="n">
        <v>221.62</v>
      </c>
      <c r="E76" s="68" t="s">
        <v>889</v>
      </c>
      <c r="F76" s="23" t="s">
        <v>890</v>
      </c>
    </row>
    <row r="77" customFormat="false" ht="23.85" hidden="false" customHeight="false" outlineLevel="0" collapsed="false">
      <c r="A77" s="20" t="s">
        <v>60</v>
      </c>
      <c r="B77" s="19" t="s">
        <v>907</v>
      </c>
      <c r="C77" s="20" t="s">
        <v>894</v>
      </c>
      <c r="D77" s="21"/>
      <c r="E77" s="69" t="s">
        <v>895</v>
      </c>
      <c r="F77" s="19" t="s">
        <v>896</v>
      </c>
    </row>
    <row r="78" customFormat="false" ht="23.85" hidden="false" customHeight="false" outlineLevel="0" collapsed="false">
      <c r="A78" s="24" t="s">
        <v>60</v>
      </c>
      <c r="B78" s="23" t="s">
        <v>447</v>
      </c>
      <c r="C78" s="24" t="s">
        <v>81</v>
      </c>
      <c r="D78" s="25" t="n">
        <v>15.82</v>
      </c>
      <c r="E78" s="68" t="s">
        <v>889</v>
      </c>
      <c r="F78" s="23" t="s">
        <v>890</v>
      </c>
    </row>
    <row r="79" customFormat="false" ht="23.85" hidden="false" customHeight="false" outlineLevel="0" collapsed="false">
      <c r="A79" s="20" t="s">
        <v>60</v>
      </c>
      <c r="B79" s="19" t="s">
        <v>449</v>
      </c>
      <c r="C79" s="20" t="s">
        <v>80</v>
      </c>
      <c r="D79" s="21" t="n">
        <v>34.39</v>
      </c>
      <c r="E79" s="68" t="s">
        <v>889</v>
      </c>
      <c r="F79" s="19" t="s">
        <v>890</v>
      </c>
    </row>
    <row r="80" customFormat="false" ht="23.85" hidden="false" customHeight="false" outlineLevel="0" collapsed="false">
      <c r="A80" s="24" t="s">
        <v>60</v>
      </c>
      <c r="B80" s="23" t="s">
        <v>451</v>
      </c>
      <c r="C80" s="24" t="s">
        <v>80</v>
      </c>
      <c r="D80" s="25" t="n">
        <v>34.39</v>
      </c>
      <c r="E80" s="68" t="s">
        <v>889</v>
      </c>
      <c r="F80" s="23" t="s">
        <v>890</v>
      </c>
    </row>
    <row r="81" customFormat="false" ht="23.85" hidden="false" customHeight="false" outlineLevel="0" collapsed="false">
      <c r="A81" s="20" t="s">
        <v>60</v>
      </c>
      <c r="B81" s="19" t="s">
        <v>458</v>
      </c>
      <c r="C81" s="20" t="s">
        <v>80</v>
      </c>
      <c r="D81" s="21" t="n">
        <v>2.65</v>
      </c>
      <c r="E81" s="68" t="s">
        <v>889</v>
      </c>
      <c r="F81" s="19" t="s">
        <v>890</v>
      </c>
    </row>
    <row r="82" customFormat="false" ht="23.85" hidden="false" customHeight="false" outlineLevel="0" collapsed="false">
      <c r="A82" s="24" t="s">
        <v>60</v>
      </c>
      <c r="B82" s="23" t="s">
        <v>464</v>
      </c>
      <c r="C82" s="24" t="s">
        <v>80</v>
      </c>
      <c r="D82" s="25" t="n">
        <v>9.69</v>
      </c>
      <c r="E82" s="68" t="s">
        <v>889</v>
      </c>
      <c r="F82" s="23" t="s">
        <v>890</v>
      </c>
    </row>
    <row r="83" customFormat="false" ht="23.85" hidden="false" customHeight="false" outlineLevel="0" collapsed="false">
      <c r="A83" s="20" t="s">
        <v>60</v>
      </c>
      <c r="B83" s="19" t="s">
        <v>466</v>
      </c>
      <c r="C83" s="20" t="s">
        <v>81</v>
      </c>
      <c r="D83" s="21" t="n">
        <v>12.39</v>
      </c>
      <c r="E83" s="68" t="s">
        <v>889</v>
      </c>
      <c r="F83" s="19" t="s">
        <v>890</v>
      </c>
    </row>
    <row r="84" customFormat="false" ht="23.85" hidden="false" customHeight="false" outlineLevel="0" collapsed="false">
      <c r="A84" s="24" t="s">
        <v>60</v>
      </c>
      <c r="B84" s="23" t="s">
        <v>470</v>
      </c>
      <c r="C84" s="24" t="s">
        <v>76</v>
      </c>
      <c r="D84" s="25" t="n">
        <v>22.09</v>
      </c>
      <c r="E84" s="68" t="s">
        <v>889</v>
      </c>
      <c r="F84" s="23" t="s">
        <v>890</v>
      </c>
    </row>
    <row r="85" customFormat="false" ht="23.85" hidden="false" customHeight="false" outlineLevel="0" collapsed="false">
      <c r="A85" s="20" t="s">
        <v>60</v>
      </c>
      <c r="B85" s="19" t="s">
        <v>472</v>
      </c>
      <c r="C85" s="20" t="s">
        <v>80</v>
      </c>
      <c r="D85" s="21" t="n">
        <v>1.76</v>
      </c>
      <c r="E85" s="68" t="s">
        <v>891</v>
      </c>
      <c r="F85" s="19" t="s">
        <v>892</v>
      </c>
    </row>
    <row r="86" customFormat="false" ht="23.85" hidden="false" customHeight="false" outlineLevel="0" collapsed="false">
      <c r="A86" s="24" t="s">
        <v>60</v>
      </c>
      <c r="B86" s="23" t="s">
        <v>474</v>
      </c>
      <c r="C86" s="24" t="s">
        <v>76</v>
      </c>
      <c r="D86" s="25" t="n">
        <v>20.29</v>
      </c>
      <c r="E86" s="68" t="s">
        <v>889</v>
      </c>
      <c r="F86" s="23" t="s">
        <v>890</v>
      </c>
    </row>
    <row r="87" customFormat="false" ht="23.85" hidden="false" customHeight="false" outlineLevel="0" collapsed="false">
      <c r="A87" s="20" t="s">
        <v>60</v>
      </c>
      <c r="B87" s="19" t="s">
        <v>476</v>
      </c>
      <c r="C87" s="20" t="s">
        <v>80</v>
      </c>
      <c r="D87" s="21" t="n">
        <v>1.56</v>
      </c>
      <c r="E87" s="68" t="s">
        <v>889</v>
      </c>
      <c r="F87" s="19" t="s">
        <v>890</v>
      </c>
    </row>
    <row r="88" customFormat="false" ht="23.85" hidden="false" customHeight="false" outlineLevel="0" collapsed="false">
      <c r="A88" s="24" t="s">
        <v>60</v>
      </c>
      <c r="B88" s="23" t="s">
        <v>908</v>
      </c>
      <c r="C88" s="24" t="s">
        <v>894</v>
      </c>
      <c r="D88" s="25"/>
      <c r="E88" s="69" t="s">
        <v>895</v>
      </c>
      <c r="F88" s="23" t="s">
        <v>896</v>
      </c>
    </row>
    <row r="89" customFormat="false" ht="23.85" hidden="false" customHeight="false" outlineLevel="0" collapsed="false">
      <c r="A89" s="20" t="s">
        <v>60</v>
      </c>
      <c r="B89" s="19" t="s">
        <v>488</v>
      </c>
      <c r="C89" s="20" t="s">
        <v>76</v>
      </c>
      <c r="D89" s="21" t="n">
        <v>14.98</v>
      </c>
      <c r="E89" s="68" t="s">
        <v>889</v>
      </c>
      <c r="F89" s="19" t="s">
        <v>890</v>
      </c>
    </row>
    <row r="90" customFormat="false" ht="23.85" hidden="false" customHeight="false" outlineLevel="0" collapsed="false">
      <c r="A90" s="24" t="s">
        <v>60</v>
      </c>
      <c r="B90" s="23" t="s">
        <v>909</v>
      </c>
      <c r="C90" s="24" t="s">
        <v>894</v>
      </c>
      <c r="D90" s="25"/>
      <c r="E90" s="69" t="s">
        <v>895</v>
      </c>
      <c r="F90" s="23" t="s">
        <v>896</v>
      </c>
    </row>
    <row r="91" customFormat="false" ht="23.85" hidden="false" customHeight="false" outlineLevel="0" collapsed="false">
      <c r="A91" s="20" t="s">
        <v>60</v>
      </c>
      <c r="B91" s="19" t="s">
        <v>490</v>
      </c>
      <c r="C91" s="20" t="s">
        <v>76</v>
      </c>
      <c r="D91" s="21" t="n">
        <v>79.4</v>
      </c>
      <c r="E91" s="68" t="s">
        <v>889</v>
      </c>
      <c r="F91" s="19" t="s">
        <v>890</v>
      </c>
    </row>
    <row r="92" customFormat="false" ht="23.85" hidden="false" customHeight="false" outlineLevel="0" collapsed="false">
      <c r="A92" s="24" t="s">
        <v>60</v>
      </c>
      <c r="B92" s="23" t="s">
        <v>492</v>
      </c>
      <c r="C92" s="24" t="s">
        <v>76</v>
      </c>
      <c r="D92" s="25" t="n">
        <v>8.64</v>
      </c>
      <c r="E92" s="68" t="s">
        <v>889</v>
      </c>
      <c r="F92" s="23" t="s">
        <v>890</v>
      </c>
    </row>
    <row r="93" customFormat="false" ht="23.85" hidden="false" customHeight="false" outlineLevel="0" collapsed="false">
      <c r="A93" s="20" t="s">
        <v>60</v>
      </c>
      <c r="B93" s="19" t="s">
        <v>499</v>
      </c>
      <c r="C93" s="20" t="s">
        <v>76</v>
      </c>
      <c r="D93" s="21" t="n">
        <v>52.41</v>
      </c>
      <c r="E93" s="68" t="s">
        <v>889</v>
      </c>
      <c r="F93" s="19" t="s">
        <v>890</v>
      </c>
    </row>
    <row r="94" customFormat="false" ht="23.85" hidden="false" customHeight="false" outlineLevel="0" collapsed="false">
      <c r="A94" s="24" t="s">
        <v>61</v>
      </c>
      <c r="B94" s="23" t="s">
        <v>502</v>
      </c>
      <c r="C94" s="24" t="s">
        <v>76</v>
      </c>
      <c r="D94" s="25" t="n">
        <v>4.7</v>
      </c>
      <c r="E94" s="68" t="s">
        <v>889</v>
      </c>
      <c r="F94" s="23" t="s">
        <v>890</v>
      </c>
    </row>
    <row r="95" customFormat="false" ht="23.85" hidden="false" customHeight="false" outlineLevel="0" collapsed="false">
      <c r="A95" s="20" t="s">
        <v>61</v>
      </c>
      <c r="B95" s="19" t="s">
        <v>910</v>
      </c>
      <c r="C95" s="20" t="s">
        <v>894</v>
      </c>
      <c r="D95" s="21"/>
      <c r="E95" s="69" t="s">
        <v>895</v>
      </c>
      <c r="F95" s="19" t="s">
        <v>896</v>
      </c>
    </row>
    <row r="96" customFormat="false" ht="23.85" hidden="false" customHeight="false" outlineLevel="0" collapsed="false">
      <c r="A96" s="24" t="s">
        <v>61</v>
      </c>
      <c r="B96" s="23" t="s">
        <v>911</v>
      </c>
      <c r="C96" s="24" t="s">
        <v>894</v>
      </c>
      <c r="D96" s="25"/>
      <c r="E96" s="69" t="s">
        <v>895</v>
      </c>
      <c r="F96" s="23" t="s">
        <v>896</v>
      </c>
    </row>
    <row r="97" customFormat="false" ht="23.85" hidden="false" customHeight="false" outlineLevel="0" collapsed="false">
      <c r="A97" s="20" t="s">
        <v>61</v>
      </c>
      <c r="B97" s="19" t="s">
        <v>506</v>
      </c>
      <c r="C97" s="20" t="s">
        <v>76</v>
      </c>
      <c r="D97" s="21" t="n">
        <v>4.7</v>
      </c>
      <c r="E97" s="68" t="s">
        <v>889</v>
      </c>
      <c r="F97" s="19" t="s">
        <v>890</v>
      </c>
    </row>
    <row r="98" customFormat="false" ht="23.85" hidden="false" customHeight="false" outlineLevel="0" collapsed="false">
      <c r="A98" s="24" t="s">
        <v>61</v>
      </c>
      <c r="B98" s="23" t="s">
        <v>511</v>
      </c>
      <c r="C98" s="24" t="s">
        <v>76</v>
      </c>
      <c r="D98" s="25" t="n">
        <v>3.93</v>
      </c>
      <c r="E98" s="68" t="s">
        <v>889</v>
      </c>
      <c r="F98" s="23" t="s">
        <v>890</v>
      </c>
    </row>
    <row r="99" customFormat="false" ht="23.85" hidden="false" customHeight="false" outlineLevel="0" collapsed="false">
      <c r="A99" s="20" t="s">
        <v>61</v>
      </c>
      <c r="B99" s="19" t="s">
        <v>513</v>
      </c>
      <c r="C99" s="20" t="s">
        <v>76</v>
      </c>
      <c r="D99" s="21" t="n">
        <v>472.58</v>
      </c>
      <c r="E99" s="68" t="s">
        <v>889</v>
      </c>
      <c r="F99" s="19" t="s">
        <v>890</v>
      </c>
    </row>
    <row r="100" customFormat="false" ht="23.85" hidden="false" customHeight="false" outlineLevel="0" collapsed="false">
      <c r="A100" s="24" t="s">
        <v>61</v>
      </c>
      <c r="B100" s="23" t="s">
        <v>516</v>
      </c>
      <c r="C100" s="24" t="s">
        <v>82</v>
      </c>
      <c r="D100" s="25" t="n">
        <v>104.44</v>
      </c>
      <c r="E100" s="68" t="s">
        <v>889</v>
      </c>
      <c r="F100" s="23" t="s">
        <v>890</v>
      </c>
    </row>
    <row r="101" customFormat="false" ht="23.85" hidden="false" customHeight="false" outlineLevel="0" collapsed="false">
      <c r="A101" s="20" t="s">
        <v>61</v>
      </c>
      <c r="B101" s="19" t="s">
        <v>912</v>
      </c>
      <c r="C101" s="20" t="s">
        <v>894</v>
      </c>
      <c r="D101" s="21"/>
      <c r="E101" s="69" t="s">
        <v>895</v>
      </c>
      <c r="F101" s="19" t="s">
        <v>896</v>
      </c>
    </row>
    <row r="102" customFormat="false" ht="23.85" hidden="false" customHeight="false" outlineLevel="0" collapsed="false">
      <c r="A102" s="24" t="s">
        <v>61</v>
      </c>
      <c r="B102" s="23" t="s">
        <v>913</v>
      </c>
      <c r="C102" s="24" t="s">
        <v>894</v>
      </c>
      <c r="D102" s="25"/>
      <c r="E102" s="69" t="s">
        <v>895</v>
      </c>
      <c r="F102" s="23" t="s">
        <v>896</v>
      </c>
    </row>
    <row r="103" customFormat="false" ht="23.85" hidden="false" customHeight="false" outlineLevel="0" collapsed="false">
      <c r="A103" s="20" t="s">
        <v>61</v>
      </c>
      <c r="B103" s="19" t="s">
        <v>914</v>
      </c>
      <c r="C103" s="20" t="s">
        <v>894</v>
      </c>
      <c r="D103" s="21"/>
      <c r="E103" s="69" t="s">
        <v>895</v>
      </c>
      <c r="F103" s="19" t="s">
        <v>896</v>
      </c>
    </row>
    <row r="104" customFormat="false" ht="23.85" hidden="false" customHeight="false" outlineLevel="0" collapsed="false">
      <c r="A104" s="24" t="s">
        <v>62</v>
      </c>
      <c r="B104" s="23" t="s">
        <v>536</v>
      </c>
      <c r="C104" s="24" t="s">
        <v>81</v>
      </c>
      <c r="D104" s="25" t="n">
        <v>2.68</v>
      </c>
      <c r="E104" s="68" t="s">
        <v>889</v>
      </c>
      <c r="F104" s="23" t="s">
        <v>890</v>
      </c>
    </row>
    <row r="105" customFormat="false" ht="23.85" hidden="false" customHeight="false" outlineLevel="0" collapsed="false">
      <c r="A105" s="20" t="s">
        <v>62</v>
      </c>
      <c r="B105" s="19" t="s">
        <v>540</v>
      </c>
      <c r="C105" s="20" t="s">
        <v>76</v>
      </c>
      <c r="D105" s="21" t="n">
        <v>8.08</v>
      </c>
      <c r="E105" s="68" t="s">
        <v>891</v>
      </c>
      <c r="F105" s="19" t="s">
        <v>892</v>
      </c>
    </row>
    <row r="106" customFormat="false" ht="23.85" hidden="false" customHeight="false" outlineLevel="0" collapsed="false">
      <c r="A106" s="24" t="s">
        <v>62</v>
      </c>
      <c r="B106" s="23" t="s">
        <v>552</v>
      </c>
      <c r="C106" s="24" t="s">
        <v>76</v>
      </c>
      <c r="D106" s="25" t="n">
        <v>10.82</v>
      </c>
      <c r="E106" s="68" t="s">
        <v>889</v>
      </c>
      <c r="F106" s="23" t="s">
        <v>890</v>
      </c>
    </row>
    <row r="107" customFormat="false" ht="23.85" hidden="false" customHeight="false" outlineLevel="0" collapsed="false">
      <c r="A107" s="20" t="s">
        <v>62</v>
      </c>
      <c r="B107" s="19" t="s">
        <v>555</v>
      </c>
      <c r="C107" s="20" t="s">
        <v>76</v>
      </c>
      <c r="D107" s="21" t="n">
        <v>5.76</v>
      </c>
      <c r="E107" s="68" t="s">
        <v>889</v>
      </c>
      <c r="F107" s="19" t="s">
        <v>890</v>
      </c>
    </row>
    <row r="108" customFormat="false" ht="23.85" hidden="false" customHeight="false" outlineLevel="0" collapsed="false">
      <c r="A108" s="24" t="s">
        <v>62</v>
      </c>
      <c r="B108" s="23" t="s">
        <v>560</v>
      </c>
      <c r="C108" s="24" t="s">
        <v>76</v>
      </c>
      <c r="D108" s="25" t="n">
        <v>10.66</v>
      </c>
      <c r="E108" s="68" t="s">
        <v>889</v>
      </c>
      <c r="F108" s="23" t="s">
        <v>890</v>
      </c>
    </row>
    <row r="109" customFormat="false" ht="23.85" hidden="false" customHeight="false" outlineLevel="0" collapsed="false">
      <c r="A109" s="20" t="s">
        <v>62</v>
      </c>
      <c r="B109" s="19" t="s">
        <v>568</v>
      </c>
      <c r="C109" s="20" t="s">
        <v>76</v>
      </c>
      <c r="D109" s="21" t="n">
        <v>18.88</v>
      </c>
      <c r="E109" s="68" t="s">
        <v>889</v>
      </c>
      <c r="F109" s="19" t="s">
        <v>890</v>
      </c>
    </row>
    <row r="110" customFormat="false" ht="23.85" hidden="false" customHeight="false" outlineLevel="0" collapsed="false">
      <c r="A110" s="24" t="s">
        <v>63</v>
      </c>
      <c r="B110" s="23" t="s">
        <v>579</v>
      </c>
      <c r="C110" s="24" t="s">
        <v>76</v>
      </c>
      <c r="D110" s="25" t="n">
        <v>34.23</v>
      </c>
      <c r="E110" s="68" t="s">
        <v>889</v>
      </c>
      <c r="F110" s="23" t="s">
        <v>890</v>
      </c>
    </row>
    <row r="111" customFormat="false" ht="23.85" hidden="false" customHeight="false" outlineLevel="0" collapsed="false">
      <c r="A111" s="20" t="s">
        <v>63</v>
      </c>
      <c r="B111" s="19" t="s">
        <v>581</v>
      </c>
      <c r="C111" s="20" t="s">
        <v>76</v>
      </c>
      <c r="D111" s="21" t="n">
        <v>12.94</v>
      </c>
      <c r="E111" s="68" t="s">
        <v>889</v>
      </c>
      <c r="F111" s="19" t="s">
        <v>890</v>
      </c>
    </row>
    <row r="112" customFormat="false" ht="23.85" hidden="false" customHeight="false" outlineLevel="0" collapsed="false">
      <c r="A112" s="24" t="s">
        <v>63</v>
      </c>
      <c r="B112" s="23" t="s">
        <v>585</v>
      </c>
      <c r="C112" s="24" t="s">
        <v>79</v>
      </c>
      <c r="D112" s="25" t="n">
        <v>27.07</v>
      </c>
      <c r="E112" s="68" t="s">
        <v>889</v>
      </c>
      <c r="F112" s="23" t="s">
        <v>890</v>
      </c>
    </row>
    <row r="113" customFormat="false" ht="23.85" hidden="false" customHeight="false" outlineLevel="0" collapsed="false">
      <c r="A113" s="20" t="s">
        <v>63</v>
      </c>
      <c r="B113" s="19" t="s">
        <v>587</v>
      </c>
      <c r="C113" s="20" t="s">
        <v>80</v>
      </c>
      <c r="D113" s="21" t="n">
        <v>79.41</v>
      </c>
      <c r="E113" s="68" t="s">
        <v>889</v>
      </c>
      <c r="F113" s="19" t="s">
        <v>890</v>
      </c>
    </row>
    <row r="114" customFormat="false" ht="23.85" hidden="false" customHeight="false" outlineLevel="0" collapsed="false">
      <c r="A114" s="24" t="s">
        <v>63</v>
      </c>
      <c r="B114" s="23" t="s">
        <v>589</v>
      </c>
      <c r="C114" s="24" t="s">
        <v>79</v>
      </c>
      <c r="D114" s="25" t="n">
        <v>26.4</v>
      </c>
      <c r="E114" s="68" t="s">
        <v>889</v>
      </c>
      <c r="F114" s="23" t="s">
        <v>890</v>
      </c>
    </row>
    <row r="115" customFormat="false" ht="23.85" hidden="false" customHeight="false" outlineLevel="0" collapsed="false">
      <c r="A115" s="20" t="s">
        <v>63</v>
      </c>
      <c r="B115" s="19" t="s">
        <v>593</v>
      </c>
      <c r="C115" s="20" t="s">
        <v>80</v>
      </c>
      <c r="D115" s="21" t="n">
        <v>2.59</v>
      </c>
      <c r="E115" s="68" t="s">
        <v>889</v>
      </c>
      <c r="F115" s="19" t="s">
        <v>890</v>
      </c>
    </row>
    <row r="116" customFormat="false" ht="23.85" hidden="false" customHeight="false" outlineLevel="0" collapsed="false">
      <c r="A116" s="24" t="s">
        <v>63</v>
      </c>
      <c r="B116" s="23" t="s">
        <v>595</v>
      </c>
      <c r="C116" s="24" t="s">
        <v>81</v>
      </c>
      <c r="D116" s="25" t="n">
        <v>13.6</v>
      </c>
      <c r="E116" s="68" t="s">
        <v>889</v>
      </c>
      <c r="F116" s="23" t="s">
        <v>890</v>
      </c>
    </row>
    <row r="117" customFormat="false" ht="23.85" hidden="false" customHeight="false" outlineLevel="0" collapsed="false">
      <c r="A117" s="20" t="s">
        <v>63</v>
      </c>
      <c r="B117" s="19" t="s">
        <v>605</v>
      </c>
      <c r="C117" s="20" t="s">
        <v>81</v>
      </c>
      <c r="D117" s="21" t="n">
        <v>13.34</v>
      </c>
      <c r="E117" s="68" t="s">
        <v>889</v>
      </c>
      <c r="F117" s="19" t="s">
        <v>890</v>
      </c>
    </row>
    <row r="118" customFormat="false" ht="23.85" hidden="false" customHeight="false" outlineLevel="0" collapsed="false">
      <c r="A118" s="24" t="s">
        <v>63</v>
      </c>
      <c r="B118" s="23" t="s">
        <v>609</v>
      </c>
      <c r="C118" s="24" t="s">
        <v>80</v>
      </c>
      <c r="D118" s="25" t="n">
        <v>4.83</v>
      </c>
      <c r="E118" s="68" t="s">
        <v>891</v>
      </c>
      <c r="F118" s="23" t="s">
        <v>892</v>
      </c>
    </row>
    <row r="119" customFormat="false" ht="23.85" hidden="false" customHeight="false" outlineLevel="0" collapsed="false">
      <c r="A119" s="20" t="s">
        <v>63</v>
      </c>
      <c r="B119" s="19" t="s">
        <v>611</v>
      </c>
      <c r="C119" s="20" t="s">
        <v>80</v>
      </c>
      <c r="D119" s="21" t="n">
        <v>5.86</v>
      </c>
      <c r="E119" s="68" t="s">
        <v>889</v>
      </c>
      <c r="F119" s="19" t="s">
        <v>890</v>
      </c>
    </row>
    <row r="120" customFormat="false" ht="23.85" hidden="false" customHeight="false" outlineLevel="0" collapsed="false">
      <c r="A120" s="24" t="s">
        <v>63</v>
      </c>
      <c r="B120" s="23" t="s">
        <v>617</v>
      </c>
      <c r="C120" s="24" t="s">
        <v>76</v>
      </c>
      <c r="D120" s="25" t="n">
        <v>6.34</v>
      </c>
      <c r="E120" s="68" t="s">
        <v>889</v>
      </c>
      <c r="F120" s="23" t="s">
        <v>890</v>
      </c>
    </row>
    <row r="121" customFormat="false" ht="23.85" hidden="false" customHeight="false" outlineLevel="0" collapsed="false">
      <c r="A121" s="20" t="s">
        <v>64</v>
      </c>
      <c r="B121" s="19" t="s">
        <v>621</v>
      </c>
      <c r="C121" s="20" t="s">
        <v>80</v>
      </c>
      <c r="D121" s="21" t="n">
        <v>24.13</v>
      </c>
      <c r="E121" s="68" t="s">
        <v>889</v>
      </c>
      <c r="F121" s="19" t="s">
        <v>890</v>
      </c>
    </row>
    <row r="122" customFormat="false" ht="23.85" hidden="false" customHeight="false" outlineLevel="0" collapsed="false">
      <c r="A122" s="24" t="s">
        <v>64</v>
      </c>
      <c r="B122" s="23" t="s">
        <v>623</v>
      </c>
      <c r="C122" s="24" t="s">
        <v>80</v>
      </c>
      <c r="D122" s="25" t="n">
        <v>8.1</v>
      </c>
      <c r="E122" s="68" t="s">
        <v>889</v>
      </c>
      <c r="F122" s="23" t="s">
        <v>890</v>
      </c>
    </row>
    <row r="123" customFormat="false" ht="23.85" hidden="false" customHeight="false" outlineLevel="0" collapsed="false">
      <c r="A123" s="20" t="s">
        <v>64</v>
      </c>
      <c r="B123" s="19" t="s">
        <v>625</v>
      </c>
      <c r="C123" s="20" t="s">
        <v>79</v>
      </c>
      <c r="D123" s="21" t="n">
        <v>15.3</v>
      </c>
      <c r="E123" s="68" t="s">
        <v>889</v>
      </c>
      <c r="F123" s="19" t="s">
        <v>890</v>
      </c>
    </row>
    <row r="124" customFormat="false" ht="23.85" hidden="false" customHeight="false" outlineLevel="0" collapsed="false">
      <c r="A124" s="24" t="s">
        <v>64</v>
      </c>
      <c r="B124" s="23" t="s">
        <v>629</v>
      </c>
      <c r="C124" s="24" t="s">
        <v>76</v>
      </c>
      <c r="D124" s="25" t="n">
        <v>3.24</v>
      </c>
      <c r="E124" s="68" t="s">
        <v>889</v>
      </c>
      <c r="F124" s="23" t="s">
        <v>890</v>
      </c>
    </row>
    <row r="125" customFormat="false" ht="23.85" hidden="false" customHeight="false" outlineLevel="0" collapsed="false">
      <c r="A125" s="20" t="s">
        <v>64</v>
      </c>
      <c r="B125" s="19" t="s">
        <v>915</v>
      </c>
      <c r="C125" s="20" t="s">
        <v>894</v>
      </c>
      <c r="D125" s="21"/>
      <c r="E125" s="69" t="s">
        <v>895</v>
      </c>
      <c r="F125" s="19" t="s">
        <v>896</v>
      </c>
    </row>
    <row r="126" customFormat="false" ht="23.85" hidden="false" customHeight="false" outlineLevel="0" collapsed="false">
      <c r="A126" s="24" t="s">
        <v>64</v>
      </c>
      <c r="B126" s="23" t="s">
        <v>916</v>
      </c>
      <c r="C126" s="24" t="s">
        <v>894</v>
      </c>
      <c r="D126" s="25"/>
      <c r="E126" s="69" t="s">
        <v>895</v>
      </c>
      <c r="F126" s="23" t="s">
        <v>896</v>
      </c>
    </row>
    <row r="127" customFormat="false" ht="23.85" hidden="false" customHeight="false" outlineLevel="0" collapsed="false">
      <c r="A127" s="20" t="s">
        <v>64</v>
      </c>
      <c r="B127" s="19" t="s">
        <v>917</v>
      </c>
      <c r="C127" s="20" t="s">
        <v>894</v>
      </c>
      <c r="D127" s="21"/>
      <c r="E127" s="69" t="s">
        <v>895</v>
      </c>
      <c r="F127" s="19" t="s">
        <v>896</v>
      </c>
    </row>
    <row r="128" customFormat="false" ht="23.85" hidden="false" customHeight="false" outlineLevel="0" collapsed="false">
      <c r="A128" s="24" t="s">
        <v>64</v>
      </c>
      <c r="B128" s="23" t="s">
        <v>640</v>
      </c>
      <c r="C128" s="24" t="s">
        <v>76</v>
      </c>
      <c r="D128" s="25" t="n">
        <v>4.38</v>
      </c>
      <c r="E128" s="68" t="s">
        <v>889</v>
      </c>
      <c r="F128" s="23" t="s">
        <v>890</v>
      </c>
    </row>
    <row r="129" customFormat="false" ht="23.85" hidden="false" customHeight="false" outlineLevel="0" collapsed="false">
      <c r="A129" s="20" t="s">
        <v>64</v>
      </c>
      <c r="B129" s="19" t="s">
        <v>646</v>
      </c>
      <c r="C129" s="20" t="s">
        <v>76</v>
      </c>
      <c r="D129" s="21" t="n">
        <v>23.05</v>
      </c>
      <c r="E129" s="68" t="s">
        <v>889</v>
      </c>
      <c r="F129" s="19" t="s">
        <v>890</v>
      </c>
    </row>
    <row r="130" customFormat="false" ht="23.85" hidden="false" customHeight="false" outlineLevel="0" collapsed="false">
      <c r="A130" s="24" t="s">
        <v>65</v>
      </c>
      <c r="B130" s="23" t="s">
        <v>651</v>
      </c>
      <c r="C130" s="24" t="s">
        <v>81</v>
      </c>
      <c r="D130" s="25" t="n">
        <v>98.43</v>
      </c>
      <c r="E130" s="68" t="s">
        <v>889</v>
      </c>
      <c r="F130" s="23" t="s">
        <v>890</v>
      </c>
    </row>
    <row r="131" customFormat="false" ht="23.85" hidden="false" customHeight="false" outlineLevel="0" collapsed="false">
      <c r="A131" s="20" t="s">
        <v>65</v>
      </c>
      <c r="B131" s="19" t="s">
        <v>655</v>
      </c>
      <c r="C131" s="20" t="s">
        <v>76</v>
      </c>
      <c r="D131" s="21" t="n">
        <v>2.21</v>
      </c>
      <c r="E131" s="68" t="s">
        <v>889</v>
      </c>
      <c r="F131" s="19" t="s">
        <v>890</v>
      </c>
    </row>
    <row r="132" customFormat="false" ht="23.85" hidden="false" customHeight="false" outlineLevel="0" collapsed="false">
      <c r="A132" s="24" t="s">
        <v>65</v>
      </c>
      <c r="B132" s="23" t="s">
        <v>657</v>
      </c>
      <c r="C132" s="24" t="s">
        <v>80</v>
      </c>
      <c r="D132" s="25" t="n">
        <v>1.46</v>
      </c>
      <c r="E132" s="68" t="s">
        <v>889</v>
      </c>
      <c r="F132" s="23" t="s">
        <v>890</v>
      </c>
    </row>
    <row r="133" customFormat="false" ht="23.85" hidden="false" customHeight="false" outlineLevel="0" collapsed="false">
      <c r="A133" s="20" t="s">
        <v>65</v>
      </c>
      <c r="B133" s="19" t="s">
        <v>663</v>
      </c>
      <c r="C133" s="20" t="s">
        <v>79</v>
      </c>
      <c r="D133" s="21" t="n">
        <v>34.4</v>
      </c>
      <c r="E133" s="68" t="s">
        <v>889</v>
      </c>
      <c r="F133" s="19" t="s">
        <v>890</v>
      </c>
    </row>
    <row r="134" customFormat="false" ht="23.85" hidden="false" customHeight="false" outlineLevel="0" collapsed="false">
      <c r="A134" s="24" t="s">
        <v>65</v>
      </c>
      <c r="B134" s="23" t="s">
        <v>667</v>
      </c>
      <c r="C134" s="24" t="s">
        <v>80</v>
      </c>
      <c r="D134" s="25" t="n">
        <v>3.76</v>
      </c>
      <c r="E134" s="68" t="s">
        <v>889</v>
      </c>
      <c r="F134" s="23" t="s">
        <v>890</v>
      </c>
    </row>
    <row r="135" customFormat="false" ht="23.85" hidden="false" customHeight="false" outlineLevel="0" collapsed="false">
      <c r="A135" s="20" t="s">
        <v>65</v>
      </c>
      <c r="B135" s="19" t="s">
        <v>671</v>
      </c>
      <c r="C135" s="20" t="s">
        <v>76</v>
      </c>
      <c r="D135" s="21" t="n">
        <v>3.14</v>
      </c>
      <c r="E135" s="68" t="s">
        <v>889</v>
      </c>
      <c r="F135" s="19" t="s">
        <v>890</v>
      </c>
    </row>
    <row r="136" customFormat="false" ht="23.85" hidden="false" customHeight="false" outlineLevel="0" collapsed="false">
      <c r="A136" s="24" t="s">
        <v>65</v>
      </c>
      <c r="B136" s="23" t="s">
        <v>674</v>
      </c>
      <c r="C136" s="24" t="s">
        <v>76</v>
      </c>
      <c r="D136" s="25" t="n">
        <v>27.57</v>
      </c>
      <c r="E136" s="68" t="s">
        <v>889</v>
      </c>
      <c r="F136" s="23" t="s">
        <v>890</v>
      </c>
    </row>
    <row r="137" customFormat="false" ht="23.85" hidden="false" customHeight="false" outlineLevel="0" collapsed="false">
      <c r="A137" s="20" t="s">
        <v>66</v>
      </c>
      <c r="B137" s="19" t="s">
        <v>682</v>
      </c>
      <c r="C137" s="20" t="s">
        <v>76</v>
      </c>
      <c r="D137" s="21" t="n">
        <v>6.1</v>
      </c>
      <c r="E137" s="68" t="s">
        <v>889</v>
      </c>
      <c r="F137" s="19" t="s">
        <v>890</v>
      </c>
    </row>
    <row r="138" customFormat="false" ht="23.85" hidden="false" customHeight="false" outlineLevel="0" collapsed="false">
      <c r="A138" s="24" t="s">
        <v>66</v>
      </c>
      <c r="B138" s="23" t="s">
        <v>918</v>
      </c>
      <c r="C138" s="24" t="s">
        <v>894</v>
      </c>
      <c r="D138" s="25"/>
      <c r="E138" s="69" t="s">
        <v>895</v>
      </c>
      <c r="F138" s="23" t="s">
        <v>896</v>
      </c>
    </row>
    <row r="139" customFormat="false" ht="23.85" hidden="false" customHeight="false" outlineLevel="0" collapsed="false">
      <c r="A139" s="20" t="s">
        <v>66</v>
      </c>
      <c r="B139" s="19" t="s">
        <v>693</v>
      </c>
      <c r="C139" s="20" t="s">
        <v>80</v>
      </c>
      <c r="D139" s="21" t="n">
        <v>3.97</v>
      </c>
      <c r="E139" s="68" t="s">
        <v>889</v>
      </c>
      <c r="F139" s="19" t="s">
        <v>890</v>
      </c>
    </row>
    <row r="140" customFormat="false" ht="23.85" hidden="false" customHeight="false" outlineLevel="0" collapsed="false">
      <c r="A140" s="24" t="s">
        <v>66</v>
      </c>
      <c r="B140" s="23" t="s">
        <v>697</v>
      </c>
      <c r="C140" s="24" t="s">
        <v>76</v>
      </c>
      <c r="D140" s="25" t="n">
        <v>15.76</v>
      </c>
      <c r="E140" s="68" t="s">
        <v>889</v>
      </c>
      <c r="F140" s="23" t="s">
        <v>890</v>
      </c>
    </row>
    <row r="141" customFormat="false" ht="23.85" hidden="false" customHeight="false" outlineLevel="0" collapsed="false">
      <c r="A141" s="20" t="s">
        <v>66</v>
      </c>
      <c r="B141" s="19" t="s">
        <v>703</v>
      </c>
      <c r="C141" s="20" t="s">
        <v>79</v>
      </c>
      <c r="D141" s="21" t="n">
        <v>3.08</v>
      </c>
      <c r="E141" s="68" t="s">
        <v>889</v>
      </c>
      <c r="F141" s="19" t="s">
        <v>890</v>
      </c>
    </row>
    <row r="142" customFormat="false" ht="23.85" hidden="false" customHeight="false" outlineLevel="0" collapsed="false">
      <c r="A142" s="24" t="s">
        <v>66</v>
      </c>
      <c r="B142" s="23" t="s">
        <v>707</v>
      </c>
      <c r="C142" s="24" t="s">
        <v>79</v>
      </c>
      <c r="D142" s="25" t="n">
        <v>0.74</v>
      </c>
      <c r="E142" s="68" t="s">
        <v>889</v>
      </c>
      <c r="F142" s="23" t="s">
        <v>890</v>
      </c>
    </row>
    <row r="143" customFormat="false" ht="23.85" hidden="false" customHeight="false" outlineLevel="0" collapsed="false">
      <c r="A143" s="20" t="s">
        <v>66</v>
      </c>
      <c r="B143" s="19" t="s">
        <v>712</v>
      </c>
      <c r="C143" s="20" t="s">
        <v>80</v>
      </c>
      <c r="D143" s="21" t="n">
        <v>0.77</v>
      </c>
      <c r="E143" s="68" t="s">
        <v>889</v>
      </c>
      <c r="F143" s="19" t="s">
        <v>890</v>
      </c>
    </row>
    <row r="144" customFormat="false" ht="23.85" hidden="false" customHeight="false" outlineLevel="0" collapsed="false">
      <c r="A144" s="24" t="s">
        <v>67</v>
      </c>
      <c r="B144" s="23" t="s">
        <v>722</v>
      </c>
      <c r="C144" s="24" t="s">
        <v>76</v>
      </c>
      <c r="D144" s="25" t="n">
        <v>9.58</v>
      </c>
      <c r="E144" s="68" t="s">
        <v>889</v>
      </c>
      <c r="F144" s="23" t="s">
        <v>890</v>
      </c>
    </row>
    <row r="145" customFormat="false" ht="23.85" hidden="false" customHeight="false" outlineLevel="0" collapsed="false">
      <c r="A145" s="20" t="s">
        <v>67</v>
      </c>
      <c r="B145" s="19" t="s">
        <v>726</v>
      </c>
      <c r="C145" s="20" t="s">
        <v>76</v>
      </c>
      <c r="D145" s="21" t="n">
        <v>18.9</v>
      </c>
      <c r="E145" s="68" t="s">
        <v>889</v>
      </c>
      <c r="F145" s="19" t="s">
        <v>890</v>
      </c>
    </row>
    <row r="146" customFormat="false" ht="23.85" hidden="false" customHeight="false" outlineLevel="0" collapsed="false">
      <c r="A146" s="24" t="s">
        <v>67</v>
      </c>
      <c r="B146" s="23" t="s">
        <v>728</v>
      </c>
      <c r="C146" s="24" t="s">
        <v>81</v>
      </c>
      <c r="D146" s="25" t="n">
        <v>0.42</v>
      </c>
      <c r="E146" s="68" t="s">
        <v>889</v>
      </c>
      <c r="F146" s="23" t="s">
        <v>890</v>
      </c>
    </row>
    <row r="147" customFormat="false" ht="23.85" hidden="false" customHeight="false" outlineLevel="0" collapsed="false">
      <c r="A147" s="20" t="s">
        <v>67</v>
      </c>
      <c r="B147" s="19" t="s">
        <v>734</v>
      </c>
      <c r="C147" s="20" t="s">
        <v>76</v>
      </c>
      <c r="D147" s="21" t="n">
        <v>67.69</v>
      </c>
      <c r="E147" s="68" t="s">
        <v>891</v>
      </c>
      <c r="F147" s="19" t="s">
        <v>892</v>
      </c>
    </row>
    <row r="148" customFormat="false" ht="23.85" hidden="false" customHeight="false" outlineLevel="0" collapsed="false">
      <c r="A148" s="24" t="s">
        <v>67</v>
      </c>
      <c r="B148" s="23" t="s">
        <v>736</v>
      </c>
      <c r="C148" s="24" t="s">
        <v>76</v>
      </c>
      <c r="D148" s="25" t="n">
        <v>5.3</v>
      </c>
      <c r="E148" s="68" t="s">
        <v>891</v>
      </c>
      <c r="F148" s="23" t="s">
        <v>892</v>
      </c>
    </row>
    <row r="149" customFormat="false" ht="23.85" hidden="false" customHeight="false" outlineLevel="0" collapsed="false">
      <c r="A149" s="20" t="s">
        <v>67</v>
      </c>
      <c r="B149" s="19" t="s">
        <v>738</v>
      </c>
      <c r="C149" s="20" t="s">
        <v>76</v>
      </c>
      <c r="D149" s="21" t="n">
        <v>29.55</v>
      </c>
      <c r="E149" s="68" t="s">
        <v>889</v>
      </c>
      <c r="F149" s="19" t="s">
        <v>890</v>
      </c>
    </row>
    <row r="150" customFormat="false" ht="23.85" hidden="false" customHeight="false" outlineLevel="0" collapsed="false">
      <c r="A150" s="24" t="s">
        <v>67</v>
      </c>
      <c r="B150" s="23" t="s">
        <v>746</v>
      </c>
      <c r="C150" s="24" t="s">
        <v>76</v>
      </c>
      <c r="D150" s="25" t="n">
        <v>31.44</v>
      </c>
      <c r="E150" s="68" t="s">
        <v>889</v>
      </c>
      <c r="F150" s="23" t="s">
        <v>890</v>
      </c>
    </row>
    <row r="151" customFormat="false" ht="23.85" hidden="false" customHeight="false" outlineLevel="0" collapsed="false">
      <c r="A151" s="20" t="s">
        <v>67</v>
      </c>
      <c r="B151" s="19" t="s">
        <v>748</v>
      </c>
      <c r="C151" s="20" t="s">
        <v>81</v>
      </c>
      <c r="D151" s="21" t="n">
        <v>2.33</v>
      </c>
      <c r="E151" s="68" t="s">
        <v>889</v>
      </c>
      <c r="F151" s="19" t="s">
        <v>890</v>
      </c>
    </row>
    <row r="152" customFormat="false" ht="23.85" hidden="false" customHeight="false" outlineLevel="0" collapsed="false">
      <c r="A152" s="24" t="s">
        <v>67</v>
      </c>
      <c r="B152" s="23" t="s">
        <v>759</v>
      </c>
      <c r="C152" s="24" t="s">
        <v>76</v>
      </c>
      <c r="D152" s="25" t="n">
        <v>70.24</v>
      </c>
      <c r="E152" s="68" t="s">
        <v>889</v>
      </c>
      <c r="F152" s="23" t="s">
        <v>890</v>
      </c>
    </row>
    <row r="153" customFormat="false" ht="23.85" hidden="false" customHeight="false" outlineLevel="0" collapsed="false">
      <c r="A153" s="20" t="s">
        <v>68</v>
      </c>
      <c r="B153" s="19" t="s">
        <v>767</v>
      </c>
      <c r="C153" s="20" t="s">
        <v>82</v>
      </c>
      <c r="D153" s="21" t="n">
        <v>2.24</v>
      </c>
      <c r="E153" s="68" t="s">
        <v>889</v>
      </c>
      <c r="F153" s="19" t="s">
        <v>890</v>
      </c>
    </row>
    <row r="154" customFormat="false" ht="23.85" hidden="false" customHeight="false" outlineLevel="0" collapsed="false">
      <c r="A154" s="24" t="s">
        <v>68</v>
      </c>
      <c r="B154" s="23" t="s">
        <v>773</v>
      </c>
      <c r="C154" s="24" t="s">
        <v>80</v>
      </c>
      <c r="D154" s="25" t="n">
        <v>38.39</v>
      </c>
      <c r="E154" s="68" t="s">
        <v>889</v>
      </c>
      <c r="F154" s="23" t="s">
        <v>890</v>
      </c>
    </row>
    <row r="155" customFormat="false" ht="23.85" hidden="false" customHeight="false" outlineLevel="0" collapsed="false">
      <c r="A155" s="20" t="s">
        <v>68</v>
      </c>
      <c r="B155" s="19" t="s">
        <v>779</v>
      </c>
      <c r="C155" s="20" t="s">
        <v>76</v>
      </c>
      <c r="D155" s="21" t="n">
        <v>7.56</v>
      </c>
      <c r="E155" s="68" t="s">
        <v>889</v>
      </c>
      <c r="F155" s="19" t="s">
        <v>890</v>
      </c>
    </row>
    <row r="156" customFormat="false" ht="23.85" hidden="false" customHeight="false" outlineLevel="0" collapsed="false">
      <c r="A156" s="24" t="s">
        <v>68</v>
      </c>
      <c r="B156" s="23" t="s">
        <v>783</v>
      </c>
      <c r="C156" s="24" t="s">
        <v>80</v>
      </c>
      <c r="D156" s="25" t="n">
        <v>4.68</v>
      </c>
      <c r="E156" s="68" t="s">
        <v>891</v>
      </c>
      <c r="F156" s="23" t="s">
        <v>892</v>
      </c>
    </row>
    <row r="157" customFormat="false" ht="23.85" hidden="false" customHeight="false" outlineLevel="0" collapsed="false">
      <c r="A157" s="20" t="s">
        <v>68</v>
      </c>
      <c r="B157" s="19" t="s">
        <v>787</v>
      </c>
      <c r="C157" s="20" t="s">
        <v>76</v>
      </c>
      <c r="D157" s="21" t="n">
        <v>5.07</v>
      </c>
      <c r="E157" s="68" t="s">
        <v>889</v>
      </c>
      <c r="F157" s="19" t="s">
        <v>890</v>
      </c>
    </row>
    <row r="158" customFormat="false" ht="23.85" hidden="false" customHeight="false" outlineLevel="0" collapsed="false">
      <c r="A158" s="24" t="s">
        <v>68</v>
      </c>
      <c r="B158" s="23" t="s">
        <v>789</v>
      </c>
      <c r="C158" s="24" t="s">
        <v>76</v>
      </c>
      <c r="D158" s="25" t="n">
        <v>30.95</v>
      </c>
      <c r="E158" s="68" t="s">
        <v>889</v>
      </c>
      <c r="F158" s="23" t="s">
        <v>890</v>
      </c>
    </row>
    <row r="159" customFormat="false" ht="23.85" hidden="false" customHeight="false" outlineLevel="0" collapsed="false">
      <c r="A159" s="20" t="s">
        <v>69</v>
      </c>
      <c r="B159" s="19" t="s">
        <v>816</v>
      </c>
      <c r="C159" s="20" t="s">
        <v>76</v>
      </c>
      <c r="D159" s="21" t="n">
        <v>5.54</v>
      </c>
      <c r="E159" s="68" t="s">
        <v>889</v>
      </c>
      <c r="F159" s="19" t="s">
        <v>890</v>
      </c>
    </row>
    <row r="160" customFormat="false" ht="23.85" hidden="false" customHeight="false" outlineLevel="0" collapsed="false">
      <c r="A160" s="24" t="s">
        <v>69</v>
      </c>
      <c r="B160" s="23" t="s">
        <v>818</v>
      </c>
      <c r="C160" s="24" t="s">
        <v>81</v>
      </c>
      <c r="D160" s="25" t="n">
        <v>47.62</v>
      </c>
      <c r="E160" s="68" t="s">
        <v>889</v>
      </c>
      <c r="F160" s="23" t="s">
        <v>890</v>
      </c>
    </row>
    <row r="161" customFormat="false" ht="23.85" hidden="false" customHeight="false" outlineLevel="0" collapsed="false">
      <c r="A161" s="20" t="s">
        <v>69</v>
      </c>
      <c r="B161" s="19" t="s">
        <v>826</v>
      </c>
      <c r="C161" s="20" t="s">
        <v>80</v>
      </c>
      <c r="D161" s="21" t="n">
        <v>3.25</v>
      </c>
      <c r="E161" s="68" t="s">
        <v>889</v>
      </c>
      <c r="F161" s="19" t="s">
        <v>890</v>
      </c>
    </row>
    <row r="162" customFormat="false" ht="23.85" hidden="false" customHeight="false" outlineLevel="0" collapsed="false">
      <c r="A162" s="24" t="s">
        <v>70</v>
      </c>
      <c r="B162" s="23" t="s">
        <v>833</v>
      </c>
      <c r="C162" s="24" t="s">
        <v>76</v>
      </c>
      <c r="D162" s="25" t="n">
        <v>3.12</v>
      </c>
      <c r="E162" s="68" t="s">
        <v>889</v>
      </c>
      <c r="F162" s="23" t="s">
        <v>890</v>
      </c>
    </row>
    <row r="163" customFormat="false" ht="23.85" hidden="false" customHeight="false" outlineLevel="0" collapsed="false">
      <c r="A163" s="20" t="s">
        <v>70</v>
      </c>
      <c r="B163" s="19" t="s">
        <v>835</v>
      </c>
      <c r="C163" s="20" t="s">
        <v>78</v>
      </c>
      <c r="D163" s="21" t="n">
        <v>53.51</v>
      </c>
      <c r="E163" s="68" t="s">
        <v>889</v>
      </c>
      <c r="F163" s="19" t="s">
        <v>890</v>
      </c>
    </row>
    <row r="164" customFormat="false" ht="23.85" hidden="false" customHeight="false" outlineLevel="0" collapsed="false">
      <c r="A164" s="24" t="s">
        <v>70</v>
      </c>
      <c r="B164" s="23" t="s">
        <v>837</v>
      </c>
      <c r="C164" s="24" t="s">
        <v>76</v>
      </c>
      <c r="D164" s="25" t="n">
        <v>29.97</v>
      </c>
      <c r="E164" s="68" t="s">
        <v>889</v>
      </c>
      <c r="F164" s="23" t="s">
        <v>890</v>
      </c>
    </row>
    <row r="165" customFormat="false" ht="23.85" hidden="false" customHeight="false" outlineLevel="0" collapsed="false">
      <c r="A165" s="20" t="s">
        <v>70</v>
      </c>
      <c r="B165" s="19" t="s">
        <v>841</v>
      </c>
      <c r="C165" s="20" t="s">
        <v>78</v>
      </c>
      <c r="D165" s="21" t="n">
        <v>93.48</v>
      </c>
      <c r="E165" s="68" t="s">
        <v>889</v>
      </c>
      <c r="F165" s="19" t="s">
        <v>890</v>
      </c>
    </row>
    <row r="166" customFormat="false" ht="23.85" hidden="false" customHeight="false" outlineLevel="0" collapsed="false">
      <c r="A166" s="24" t="s">
        <v>70</v>
      </c>
      <c r="B166" s="23" t="s">
        <v>919</v>
      </c>
      <c r="C166" s="24" t="s">
        <v>894</v>
      </c>
      <c r="D166" s="25"/>
      <c r="E166" s="69" t="s">
        <v>895</v>
      </c>
      <c r="F166" s="23" t="s">
        <v>896</v>
      </c>
    </row>
    <row r="167" customFormat="false" ht="23.85" hidden="false" customHeight="false" outlineLevel="0" collapsed="false">
      <c r="A167" s="20" t="s">
        <v>70</v>
      </c>
      <c r="B167" s="19" t="s">
        <v>851</v>
      </c>
      <c r="C167" s="20" t="s">
        <v>81</v>
      </c>
      <c r="D167" s="21" t="n">
        <v>13.5</v>
      </c>
      <c r="E167" s="68" t="s">
        <v>889</v>
      </c>
      <c r="F167" s="19" t="s">
        <v>890</v>
      </c>
    </row>
    <row r="168" customFormat="false" ht="23.85" hidden="false" customHeight="false" outlineLevel="0" collapsed="false">
      <c r="A168" s="24" t="s">
        <v>70</v>
      </c>
      <c r="B168" s="23" t="s">
        <v>853</v>
      </c>
      <c r="C168" s="24" t="s">
        <v>76</v>
      </c>
      <c r="D168" s="25" t="n">
        <v>82.51</v>
      </c>
      <c r="E168" s="68" t="s">
        <v>889</v>
      </c>
      <c r="F168" s="23" t="s">
        <v>890</v>
      </c>
    </row>
    <row r="169" customFormat="false" ht="23.85" hidden="false" customHeight="false" outlineLevel="0" collapsed="false">
      <c r="A169" s="20" t="s">
        <v>70</v>
      </c>
      <c r="B169" s="19" t="s">
        <v>855</v>
      </c>
      <c r="C169" s="20" t="s">
        <v>82</v>
      </c>
      <c r="D169" s="21" t="n">
        <v>184</v>
      </c>
      <c r="E169" s="68" t="s">
        <v>889</v>
      </c>
      <c r="F169" s="19" t="s">
        <v>890</v>
      </c>
    </row>
    <row r="170" customFormat="false" ht="23.85" hidden="false" customHeight="false" outlineLevel="0" collapsed="false">
      <c r="A170" s="24" t="s">
        <v>70</v>
      </c>
      <c r="B170" s="23" t="s">
        <v>857</v>
      </c>
      <c r="C170" s="24" t="s">
        <v>76</v>
      </c>
      <c r="D170" s="25" t="n">
        <v>60.5</v>
      </c>
      <c r="E170" s="68" t="s">
        <v>889</v>
      </c>
      <c r="F170" s="23" t="s">
        <v>890</v>
      </c>
    </row>
    <row r="171" customFormat="false" ht="23.85" hidden="false" customHeight="false" outlineLevel="0" collapsed="false">
      <c r="A171" s="20" t="s">
        <v>70</v>
      </c>
      <c r="B171" s="19" t="s">
        <v>864</v>
      </c>
      <c r="C171" s="20" t="s">
        <v>76</v>
      </c>
      <c r="D171" s="21" t="n">
        <v>430.18</v>
      </c>
      <c r="E171" s="68" t="s">
        <v>889</v>
      </c>
      <c r="F171" s="19" t="s">
        <v>890</v>
      </c>
    </row>
    <row r="172" customFormat="false" ht="23.85" hidden="false" customHeight="false" outlineLevel="0" collapsed="false">
      <c r="A172" s="24" t="s">
        <v>70</v>
      </c>
      <c r="B172" s="23" t="s">
        <v>920</v>
      </c>
      <c r="C172" s="24" t="s">
        <v>894</v>
      </c>
      <c r="D172" s="25"/>
      <c r="E172" s="69" t="s">
        <v>895</v>
      </c>
      <c r="F172" s="23" t="s">
        <v>896</v>
      </c>
    </row>
    <row r="175" customFormat="false" ht="15" hidden="false" customHeight="false" outlineLevel="0" collapsed="false">
      <c r="A175" s="8" t="s">
        <v>921</v>
      </c>
    </row>
    <row r="176" customFormat="false" ht="15" hidden="false" customHeight="false" outlineLevel="0" collapsed="false">
      <c r="A176" s="70" t="s">
        <v>922</v>
      </c>
      <c r="C176" s="71" t="n">
        <v>0</v>
      </c>
    </row>
    <row r="177" customFormat="false" ht="15" hidden="false" customHeight="false" outlineLevel="0" collapsed="false">
      <c r="A177" s="70" t="s">
        <v>923</v>
      </c>
      <c r="C177" s="71" t="n">
        <v>12</v>
      </c>
    </row>
    <row r="178" customFormat="false" ht="15" hidden="false" customHeight="false" outlineLevel="0" collapsed="false">
      <c r="A178" s="70" t="s">
        <v>924</v>
      </c>
      <c r="C178" s="71" t="n">
        <v>1</v>
      </c>
    </row>
    <row r="179" customFormat="false" ht="15" hidden="false" customHeight="false" outlineLevel="0" collapsed="false">
      <c r="A179" s="70" t="s">
        <v>925</v>
      </c>
      <c r="C179" s="71" t="n">
        <v>1</v>
      </c>
    </row>
    <row r="180" customFormat="false" ht="15" hidden="false" customHeight="false" outlineLevel="0" collapsed="false">
      <c r="A180" s="70" t="s">
        <v>889</v>
      </c>
      <c r="C180" s="71" t="n">
        <v>133</v>
      </c>
    </row>
    <row r="181" customFormat="false" ht="15" hidden="false" customHeight="false" outlineLevel="0" collapsed="false">
      <c r="A181" s="70" t="s">
        <v>926</v>
      </c>
      <c r="C181" s="71" t="n">
        <v>21</v>
      </c>
    </row>
  </sheetData>
  <autoFilter ref="A4:F172"/>
  <mergeCells count="2">
    <mergeCell ref="A1:F1"/>
    <mergeCell ref="A2:F2"/>
  </mergeCell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684"/>
    <pageSetUpPr fitToPage="true"/>
  </sheetPr>
  <dimension ref="A1:T115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20"/>
    <col collapsed="false" customWidth="true" hidden="false" outlineLevel="0" max="4" min="4" style="0" width="38"/>
    <col collapsed="false" customWidth="true" hidden="false" outlineLevel="0" max="5" min="5" style="0" width="12"/>
    <col collapsed="false" customWidth="true" hidden="false" outlineLevel="0" max="6" min="6" style="0" width="24"/>
    <col collapsed="false" customWidth="true" hidden="false" outlineLevel="0" max="7" min="7" style="0" width="20"/>
    <col collapsed="false" customWidth="true" hidden="false" outlineLevel="0" max="9" min="8" style="0" width="12"/>
    <col collapsed="false" customWidth="true" hidden="false" outlineLevel="0" max="10" min="10" style="0" width="9"/>
    <col collapsed="false" customWidth="true" hidden="false" outlineLevel="0" max="11" min="11" style="0" width="52"/>
    <col collapsed="false" customWidth="true" hidden="false" outlineLevel="0" max="13" min="12" style="0" width="16"/>
    <col collapsed="false" customWidth="true" hidden="false" outlineLevel="0" max="14" min="14" style="0" width="14"/>
    <col collapsed="false" customWidth="true" hidden="false" outlineLevel="0" max="15" min="15" style="0" width="16"/>
    <col collapsed="false" customWidth="true" hidden="false" outlineLevel="0" max="16" min="16" style="0" width="32"/>
    <col collapsed="false" customWidth="true" hidden="false" outlineLevel="0" max="17" min="17" style="0" width="22"/>
    <col collapsed="false" customWidth="true" hidden="false" outlineLevel="0" max="18" min="18" style="0" width="16"/>
    <col collapsed="false" customWidth="true" hidden="true" outlineLevel="0" max="20" min="19" style="0" width="13"/>
  </cols>
  <sheetData>
    <row r="1" customFormat="false" ht="36" hidden="false" customHeight="true" outlineLevel="0" collapsed="false">
      <c r="A1" s="72" t="s">
        <v>927</v>
      </c>
      <c r="B1" s="72" t="s">
        <v>45</v>
      </c>
      <c r="C1" s="72" t="s">
        <v>928</v>
      </c>
      <c r="D1" s="72" t="s">
        <v>36</v>
      </c>
      <c r="E1" s="72" t="s">
        <v>929</v>
      </c>
      <c r="F1" s="72" t="s">
        <v>37</v>
      </c>
      <c r="G1" s="72" t="s">
        <v>39</v>
      </c>
      <c r="H1" s="72" t="s">
        <v>38</v>
      </c>
      <c r="I1" s="72" t="s">
        <v>930</v>
      </c>
      <c r="J1" s="72" t="s">
        <v>931</v>
      </c>
      <c r="K1" s="72" t="s">
        <v>40</v>
      </c>
      <c r="L1" s="72" t="s">
        <v>932</v>
      </c>
      <c r="M1" s="72" t="s">
        <v>933</v>
      </c>
      <c r="N1" s="72" t="s">
        <v>42</v>
      </c>
      <c r="O1" s="72" t="s">
        <v>934</v>
      </c>
      <c r="P1" s="72" t="s">
        <v>43</v>
      </c>
      <c r="Q1" s="72" t="s">
        <v>44</v>
      </c>
      <c r="R1" s="72" t="s">
        <v>89</v>
      </c>
      <c r="S1" s="72" t="s">
        <v>935</v>
      </c>
      <c r="T1" s="72" t="s">
        <v>936</v>
      </c>
    </row>
    <row r="2" customFormat="false" ht="23.85" hidden="false" customHeight="false" outlineLevel="0" collapsed="false">
      <c r="A2" s="24" t="s">
        <v>937</v>
      </c>
      <c r="B2" s="24" t="s">
        <v>55</v>
      </c>
      <c r="C2" s="24" t="s">
        <v>938</v>
      </c>
      <c r="D2" s="23" t="s">
        <v>90</v>
      </c>
      <c r="E2" s="26" t="s">
        <v>91</v>
      </c>
      <c r="F2" s="24" t="s">
        <v>76</v>
      </c>
      <c r="G2" s="24" t="s">
        <v>939</v>
      </c>
      <c r="H2" s="25" t="n">
        <v>8.46</v>
      </c>
      <c r="I2" s="25"/>
      <c r="J2" s="58"/>
      <c r="K2" s="23" t="s">
        <v>94</v>
      </c>
      <c r="L2" s="24" t="s">
        <v>940</v>
      </c>
      <c r="M2" s="24" t="s">
        <v>941</v>
      </c>
      <c r="N2" s="26" t="s">
        <v>91</v>
      </c>
      <c r="O2" s="24"/>
      <c r="P2" s="24" t="s">
        <v>93</v>
      </c>
      <c r="Q2" s="24" t="s">
        <v>942</v>
      </c>
      <c r="R2" s="73" t="s">
        <v>95</v>
      </c>
      <c r="S2" s="0" t="n">
        <f aca="false">IF(Recherche!$B$4="",0,IF(ISNUMBER(SEARCH(Recherche!$B$4,D2))+ISNUMBER(SEARCH(Recherche!$B$4,K2))&gt;0,1,0))</f>
        <v>1</v>
      </c>
      <c r="T2" s="0" t="n">
        <f aca="false">IF(S2=1,SUM($S$2:S2),"")</f>
        <v>1</v>
      </c>
    </row>
    <row r="3" customFormat="false" ht="23.85" hidden="false" customHeight="false" outlineLevel="0" collapsed="false">
      <c r="A3" s="20" t="s">
        <v>937</v>
      </c>
      <c r="B3" s="20" t="s">
        <v>55</v>
      </c>
      <c r="C3" s="20" t="s">
        <v>938</v>
      </c>
      <c r="D3" s="19" t="s">
        <v>90</v>
      </c>
      <c r="E3" s="22" t="s">
        <v>91</v>
      </c>
      <c r="F3" s="74" t="s">
        <v>78</v>
      </c>
      <c r="G3" s="74" t="s">
        <v>943</v>
      </c>
      <c r="H3" s="75" t="n">
        <v>8.78</v>
      </c>
      <c r="I3" s="21"/>
      <c r="J3" s="52"/>
      <c r="K3" s="19" t="s">
        <v>944</v>
      </c>
      <c r="L3" s="20"/>
      <c r="M3" s="20" t="s">
        <v>945</v>
      </c>
      <c r="N3" s="22"/>
      <c r="O3" s="20"/>
      <c r="P3" s="20" t="s">
        <v>93</v>
      </c>
      <c r="Q3" s="20" t="s">
        <v>946</v>
      </c>
      <c r="R3" s="76" t="s">
        <v>95</v>
      </c>
      <c r="S3" s="0" t="n">
        <f aca="false">IF(Recherche!$B$4="",0,IF(ISNUMBER(SEARCH(Recherche!$B$4,D3))+ISNUMBER(SEARCH(Recherche!$B$4,K3))&gt;0,1,0))</f>
        <v>1</v>
      </c>
      <c r="T3" s="0" t="n">
        <f aca="false">IF(S3=1,SUM($S$2:S3),"")</f>
        <v>2</v>
      </c>
    </row>
    <row r="4" customFormat="false" ht="23.85" hidden="false" customHeight="false" outlineLevel="0" collapsed="false">
      <c r="A4" s="24" t="s">
        <v>947</v>
      </c>
      <c r="B4" s="24" t="s">
        <v>55</v>
      </c>
      <c r="C4" s="24" t="s">
        <v>938</v>
      </c>
      <c r="D4" s="23" t="s">
        <v>96</v>
      </c>
      <c r="E4" s="26" t="s">
        <v>91</v>
      </c>
      <c r="F4" s="74" t="s">
        <v>78</v>
      </c>
      <c r="G4" s="74" t="s">
        <v>943</v>
      </c>
      <c r="H4" s="75" t="n">
        <v>6.89</v>
      </c>
      <c r="I4" s="25"/>
      <c r="J4" s="58"/>
      <c r="K4" s="23" t="s">
        <v>98</v>
      </c>
      <c r="L4" s="24"/>
      <c r="M4" s="24" t="s">
        <v>948</v>
      </c>
      <c r="N4" s="26" t="s">
        <v>91</v>
      </c>
      <c r="O4" s="24" t="s">
        <v>949</v>
      </c>
      <c r="P4" s="24" t="s">
        <v>93</v>
      </c>
      <c r="Q4" s="24" t="s">
        <v>946</v>
      </c>
      <c r="R4" s="73" t="s">
        <v>95</v>
      </c>
      <c r="S4" s="0" t="n">
        <f aca="false">IF(Recherche!$B$4="",0,IF(ISNUMBER(SEARCH(Recherche!$B$4,D4))+ISNUMBER(SEARCH(Recherche!$B$4,K4))&gt;0,1,0))</f>
        <v>1</v>
      </c>
      <c r="T4" s="0" t="n">
        <f aca="false">IF(S4=1,SUM($S$2:S4),"")</f>
        <v>3</v>
      </c>
    </row>
    <row r="5" customFormat="false" ht="15" hidden="false" customHeight="false" outlineLevel="0" collapsed="false">
      <c r="A5" s="20" t="s">
        <v>947</v>
      </c>
      <c r="B5" s="20" t="s">
        <v>55</v>
      </c>
      <c r="C5" s="20" t="s">
        <v>938</v>
      </c>
      <c r="D5" s="19" t="s">
        <v>96</v>
      </c>
      <c r="E5" s="22" t="s">
        <v>91</v>
      </c>
      <c r="F5" s="20" t="s">
        <v>76</v>
      </c>
      <c r="G5" s="20" t="s">
        <v>939</v>
      </c>
      <c r="H5" s="21" t="n">
        <v>8.09</v>
      </c>
      <c r="I5" s="21"/>
      <c r="J5" s="52"/>
      <c r="K5" s="19" t="s">
        <v>950</v>
      </c>
      <c r="L5" s="20" t="s">
        <v>940</v>
      </c>
      <c r="M5" s="20" t="s">
        <v>951</v>
      </c>
      <c r="N5" s="22" t="s">
        <v>91</v>
      </c>
      <c r="O5" s="20"/>
      <c r="P5" s="20" t="s">
        <v>93</v>
      </c>
      <c r="Q5" s="20" t="s">
        <v>942</v>
      </c>
      <c r="R5" s="76" t="s">
        <v>95</v>
      </c>
      <c r="S5" s="0" t="n">
        <f aca="false">IF(Recherche!$B$4="",0,IF(ISNUMBER(SEARCH(Recherche!$B$4,D5))+ISNUMBER(SEARCH(Recherche!$B$4,K5))&gt;0,1,0))</f>
        <v>1</v>
      </c>
      <c r="T5" s="0" t="n">
        <f aca="false">IF(S5=1,SUM($S$2:S5),"")</f>
        <v>4</v>
      </c>
    </row>
    <row r="6" customFormat="false" ht="15" hidden="false" customHeight="false" outlineLevel="0" collapsed="false">
      <c r="A6" s="24" t="s">
        <v>952</v>
      </c>
      <c r="B6" s="24" t="s">
        <v>55</v>
      </c>
      <c r="C6" s="24" t="s">
        <v>938</v>
      </c>
      <c r="D6" s="23" t="s">
        <v>99</v>
      </c>
      <c r="E6" s="26" t="s">
        <v>91</v>
      </c>
      <c r="F6" s="24" t="s">
        <v>76</v>
      </c>
      <c r="G6" s="24" t="s">
        <v>939</v>
      </c>
      <c r="H6" s="25" t="n">
        <v>5.9</v>
      </c>
      <c r="I6" s="25"/>
      <c r="J6" s="58"/>
      <c r="K6" s="23" t="s">
        <v>100</v>
      </c>
      <c r="L6" s="24" t="s">
        <v>940</v>
      </c>
      <c r="M6" s="24" t="s">
        <v>953</v>
      </c>
      <c r="N6" s="26" t="s">
        <v>91</v>
      </c>
      <c r="O6" s="24"/>
      <c r="P6" s="24" t="s">
        <v>93</v>
      </c>
      <c r="Q6" s="24" t="s">
        <v>942</v>
      </c>
      <c r="R6" s="73" t="s">
        <v>95</v>
      </c>
      <c r="S6" s="0" t="n">
        <f aca="false">IF(Recherche!$B$4="",0,IF(ISNUMBER(SEARCH(Recherche!$B$4,D6))+ISNUMBER(SEARCH(Recherche!$B$4,K6))&gt;0,1,0))</f>
        <v>1</v>
      </c>
      <c r="T6" s="0" t="n">
        <f aca="false">IF(S6=1,SUM($S$2:S6),"")</f>
        <v>5</v>
      </c>
    </row>
    <row r="7" customFormat="false" ht="23.85" hidden="false" customHeight="false" outlineLevel="0" collapsed="false">
      <c r="A7" s="20" t="s">
        <v>952</v>
      </c>
      <c r="B7" s="20" t="s">
        <v>55</v>
      </c>
      <c r="C7" s="20" t="s">
        <v>938</v>
      </c>
      <c r="D7" s="19" t="s">
        <v>99</v>
      </c>
      <c r="E7" s="22" t="s">
        <v>91</v>
      </c>
      <c r="F7" s="74" t="s">
        <v>78</v>
      </c>
      <c r="G7" s="74" t="s">
        <v>943</v>
      </c>
      <c r="H7" s="75" t="n">
        <v>6.82</v>
      </c>
      <c r="I7" s="21"/>
      <c r="J7" s="52"/>
      <c r="K7" s="19" t="s">
        <v>954</v>
      </c>
      <c r="L7" s="20"/>
      <c r="M7" s="20" t="s">
        <v>955</v>
      </c>
      <c r="N7" s="22"/>
      <c r="O7" s="20"/>
      <c r="P7" s="20" t="s">
        <v>93</v>
      </c>
      <c r="Q7" s="20" t="s">
        <v>946</v>
      </c>
      <c r="R7" s="76" t="s">
        <v>95</v>
      </c>
      <c r="S7" s="0" t="n">
        <f aca="false">IF(Recherche!$B$4="",0,IF(ISNUMBER(SEARCH(Recherche!$B$4,D7))+ISNUMBER(SEARCH(Recherche!$B$4,K7))&gt;0,1,0))</f>
        <v>1</v>
      </c>
      <c r="T7" s="0" t="n">
        <f aca="false">IF(S7=1,SUM($S$2:S7),"")</f>
        <v>6</v>
      </c>
    </row>
    <row r="8" customFormat="false" ht="15" hidden="false" customHeight="false" outlineLevel="0" collapsed="false">
      <c r="A8" s="24" t="s">
        <v>956</v>
      </c>
      <c r="B8" s="24" t="s">
        <v>55</v>
      </c>
      <c r="C8" s="24" t="s">
        <v>938</v>
      </c>
      <c r="D8" s="23" t="s">
        <v>101</v>
      </c>
      <c r="E8" s="26" t="s">
        <v>91</v>
      </c>
      <c r="F8" s="24" t="s">
        <v>76</v>
      </c>
      <c r="G8" s="24" t="s">
        <v>939</v>
      </c>
      <c r="H8" s="25" t="n">
        <v>10.61</v>
      </c>
      <c r="I8" s="25"/>
      <c r="J8" s="58"/>
      <c r="K8" s="23" t="s">
        <v>102</v>
      </c>
      <c r="L8" s="24" t="s">
        <v>940</v>
      </c>
      <c r="M8" s="24" t="s">
        <v>957</v>
      </c>
      <c r="N8" s="26" t="s">
        <v>91</v>
      </c>
      <c r="O8" s="24"/>
      <c r="P8" s="24" t="s">
        <v>93</v>
      </c>
      <c r="Q8" s="24" t="s">
        <v>942</v>
      </c>
      <c r="R8" s="73" t="s">
        <v>95</v>
      </c>
      <c r="S8" s="0" t="n">
        <f aca="false">IF(Recherche!$B$4="",0,IF(ISNUMBER(SEARCH(Recherche!$B$4,D8))+ISNUMBER(SEARCH(Recherche!$B$4,K8))&gt;0,1,0))</f>
        <v>1</v>
      </c>
      <c r="T8" s="0" t="n">
        <f aca="false">IF(S8=1,SUM($S$2:S8),"")</f>
        <v>7</v>
      </c>
    </row>
    <row r="9" customFormat="false" ht="23.85" hidden="false" customHeight="false" outlineLevel="0" collapsed="false">
      <c r="A9" s="20" t="s">
        <v>956</v>
      </c>
      <c r="B9" s="20" t="s">
        <v>55</v>
      </c>
      <c r="C9" s="20" t="s">
        <v>938</v>
      </c>
      <c r="D9" s="19" t="s">
        <v>101</v>
      </c>
      <c r="E9" s="22" t="s">
        <v>91</v>
      </c>
      <c r="F9" s="74" t="s">
        <v>78</v>
      </c>
      <c r="G9" s="74" t="s">
        <v>943</v>
      </c>
      <c r="H9" s="75" t="n">
        <v>13.1</v>
      </c>
      <c r="I9" s="21"/>
      <c r="J9" s="52"/>
      <c r="K9" s="19" t="s">
        <v>958</v>
      </c>
      <c r="L9" s="20"/>
      <c r="M9" s="20" t="s">
        <v>959</v>
      </c>
      <c r="N9" s="22"/>
      <c r="O9" s="20"/>
      <c r="P9" s="20" t="s">
        <v>93</v>
      </c>
      <c r="Q9" s="20" t="s">
        <v>946</v>
      </c>
      <c r="R9" s="76" t="s">
        <v>95</v>
      </c>
      <c r="S9" s="0" t="n">
        <f aca="false">IF(Recherche!$B$4="",0,IF(ISNUMBER(SEARCH(Recherche!$B$4,D9))+ISNUMBER(SEARCH(Recherche!$B$4,K9))&gt;0,1,0))</f>
        <v>1</v>
      </c>
      <c r="T9" s="0" t="n">
        <f aca="false">IF(S9=1,SUM($S$2:S9),"")</f>
        <v>8</v>
      </c>
    </row>
    <row r="10" customFormat="false" ht="23.85" hidden="false" customHeight="false" outlineLevel="0" collapsed="false">
      <c r="A10" s="24" t="s">
        <v>960</v>
      </c>
      <c r="B10" s="24" t="s">
        <v>55</v>
      </c>
      <c r="C10" s="24" t="s">
        <v>938</v>
      </c>
      <c r="D10" s="23" t="s">
        <v>103</v>
      </c>
      <c r="E10" s="26" t="s">
        <v>91</v>
      </c>
      <c r="F10" s="24" t="s">
        <v>76</v>
      </c>
      <c r="G10" s="24" t="s">
        <v>939</v>
      </c>
      <c r="H10" s="25" t="n">
        <v>107.92</v>
      </c>
      <c r="I10" s="25"/>
      <c r="J10" s="58"/>
      <c r="K10" s="23" t="s">
        <v>104</v>
      </c>
      <c r="L10" s="24" t="s">
        <v>961</v>
      </c>
      <c r="M10" s="24" t="s">
        <v>962</v>
      </c>
      <c r="N10" s="26" t="s">
        <v>91</v>
      </c>
      <c r="O10" s="24"/>
      <c r="P10" s="24" t="s">
        <v>93</v>
      </c>
      <c r="Q10" s="24" t="s">
        <v>963</v>
      </c>
      <c r="R10" s="73" t="s">
        <v>95</v>
      </c>
      <c r="S10" s="0" t="n">
        <f aca="false">IF(Recherche!$B$4="",0,IF(ISNUMBER(SEARCH(Recherche!$B$4,D10))+ISNUMBER(SEARCH(Recherche!$B$4,K10))&gt;0,1,0))</f>
        <v>1</v>
      </c>
      <c r="T10" s="0" t="n">
        <f aca="false">IF(S10=1,SUM($S$2:S10),"")</f>
        <v>9</v>
      </c>
    </row>
    <row r="11" customFormat="false" ht="23.85" hidden="false" customHeight="false" outlineLevel="0" collapsed="false">
      <c r="A11" s="20" t="s">
        <v>964</v>
      </c>
      <c r="B11" s="20" t="s">
        <v>55</v>
      </c>
      <c r="C11" s="20" t="s">
        <v>938</v>
      </c>
      <c r="D11" s="19" t="s">
        <v>105</v>
      </c>
      <c r="E11" s="22" t="s">
        <v>91</v>
      </c>
      <c r="F11" s="74" t="s">
        <v>78</v>
      </c>
      <c r="G11" s="74" t="s">
        <v>943</v>
      </c>
      <c r="H11" s="75" t="n">
        <v>47.05</v>
      </c>
      <c r="I11" s="21"/>
      <c r="J11" s="52"/>
      <c r="K11" s="19" t="s">
        <v>106</v>
      </c>
      <c r="L11" s="20"/>
      <c r="M11" s="20" t="s">
        <v>965</v>
      </c>
      <c r="N11" s="22" t="s">
        <v>91</v>
      </c>
      <c r="O11" s="20" t="s">
        <v>949</v>
      </c>
      <c r="P11" s="20" t="s">
        <v>93</v>
      </c>
      <c r="Q11" s="20" t="s">
        <v>946</v>
      </c>
      <c r="R11" s="76" t="s">
        <v>95</v>
      </c>
      <c r="S11" s="0" t="n">
        <f aca="false">IF(Recherche!$B$4="",0,IF(ISNUMBER(SEARCH(Recherche!$B$4,D11))+ISNUMBER(SEARCH(Recherche!$B$4,K11))&gt;0,1,0))</f>
        <v>0</v>
      </c>
      <c r="T11" s="0" t="str">
        <f aca="false">IF(S11=1,SUM($S$2:S11),"")</f>
        <v/>
      </c>
    </row>
    <row r="12" customFormat="false" ht="23.85" hidden="false" customHeight="false" outlineLevel="0" collapsed="false">
      <c r="A12" s="24" t="s">
        <v>964</v>
      </c>
      <c r="B12" s="24" t="s">
        <v>55</v>
      </c>
      <c r="C12" s="24" t="s">
        <v>938</v>
      </c>
      <c r="D12" s="23" t="s">
        <v>105</v>
      </c>
      <c r="E12" s="26" t="s">
        <v>91</v>
      </c>
      <c r="F12" s="24" t="s">
        <v>80</v>
      </c>
      <c r="G12" s="24" t="s">
        <v>939</v>
      </c>
      <c r="H12" s="25" t="n">
        <v>50.85</v>
      </c>
      <c r="I12" s="25"/>
      <c r="J12" s="58"/>
      <c r="K12" s="23" t="s">
        <v>966</v>
      </c>
      <c r="L12" s="24"/>
      <c r="M12" s="24" t="s">
        <v>967</v>
      </c>
      <c r="N12" s="26" t="s">
        <v>91</v>
      </c>
      <c r="O12" s="24"/>
      <c r="P12" s="24" t="s">
        <v>303</v>
      </c>
      <c r="Q12" s="24" t="s">
        <v>942</v>
      </c>
      <c r="R12" s="73" t="s">
        <v>95</v>
      </c>
      <c r="S12" s="0" t="n">
        <f aca="false">IF(Recherche!$B$4="",0,IF(ISNUMBER(SEARCH(Recherche!$B$4,D12))+ISNUMBER(SEARCH(Recherche!$B$4,K12))&gt;0,1,0))</f>
        <v>0</v>
      </c>
      <c r="T12" s="0" t="str">
        <f aca="false">IF(S12=1,SUM($S$2:S12),"")</f>
        <v/>
      </c>
    </row>
    <row r="13" customFormat="false" ht="23.85" hidden="false" customHeight="false" outlineLevel="0" collapsed="false">
      <c r="A13" s="20" t="s">
        <v>964</v>
      </c>
      <c r="B13" s="20" t="s">
        <v>55</v>
      </c>
      <c r="C13" s="20" t="s">
        <v>938</v>
      </c>
      <c r="D13" s="19" t="s">
        <v>105</v>
      </c>
      <c r="E13" s="22" t="s">
        <v>91</v>
      </c>
      <c r="F13" s="20" t="s">
        <v>76</v>
      </c>
      <c r="G13" s="20" t="s">
        <v>939</v>
      </c>
      <c r="H13" s="21" t="n">
        <v>58</v>
      </c>
      <c r="I13" s="21"/>
      <c r="J13" s="52"/>
      <c r="K13" s="19" t="s">
        <v>968</v>
      </c>
      <c r="L13" s="20" t="s">
        <v>969</v>
      </c>
      <c r="M13" s="20" t="s">
        <v>970</v>
      </c>
      <c r="N13" s="22" t="s">
        <v>91</v>
      </c>
      <c r="O13" s="20"/>
      <c r="P13" s="20" t="s">
        <v>93</v>
      </c>
      <c r="Q13" s="20" t="s">
        <v>942</v>
      </c>
      <c r="R13" s="76" t="s">
        <v>95</v>
      </c>
      <c r="S13" s="0" t="n">
        <f aca="false">IF(Recherche!$B$4="",0,IF(ISNUMBER(SEARCH(Recherche!$B$4,D13))+ISNUMBER(SEARCH(Recherche!$B$4,K13))&gt;0,1,0))</f>
        <v>0</v>
      </c>
      <c r="T13" s="0" t="str">
        <f aca="false">IF(S13=1,SUM($S$2:S13),"")</f>
        <v/>
      </c>
    </row>
    <row r="14" customFormat="false" ht="23.85" hidden="false" customHeight="false" outlineLevel="0" collapsed="false">
      <c r="A14" s="24" t="s">
        <v>971</v>
      </c>
      <c r="B14" s="24" t="s">
        <v>55</v>
      </c>
      <c r="C14" s="24" t="s">
        <v>938</v>
      </c>
      <c r="D14" s="23" t="s">
        <v>107</v>
      </c>
      <c r="E14" s="26" t="s">
        <v>91</v>
      </c>
      <c r="F14" s="24" t="s">
        <v>80</v>
      </c>
      <c r="G14" s="24" t="s">
        <v>939</v>
      </c>
      <c r="H14" s="25" t="n">
        <v>121.52</v>
      </c>
      <c r="I14" s="25"/>
      <c r="J14" s="58"/>
      <c r="K14" s="23" t="s">
        <v>972</v>
      </c>
      <c r="L14" s="24"/>
      <c r="M14" s="24" t="s">
        <v>973</v>
      </c>
      <c r="N14" s="26" t="s">
        <v>91</v>
      </c>
      <c r="O14" s="24"/>
      <c r="P14" s="24" t="s">
        <v>303</v>
      </c>
      <c r="Q14" s="24" t="s">
        <v>942</v>
      </c>
      <c r="R14" s="73" t="s">
        <v>95</v>
      </c>
      <c r="S14" s="0" t="n">
        <f aca="false">IF(Recherche!$B$4="",0,IF(ISNUMBER(SEARCH(Recherche!$B$4,D14))+ISNUMBER(SEARCH(Recherche!$B$4,K14))&gt;0,1,0))</f>
        <v>0</v>
      </c>
      <c r="T14" s="0" t="str">
        <f aca="false">IF(S14=1,SUM($S$2:S14),"")</f>
        <v/>
      </c>
    </row>
    <row r="15" customFormat="false" ht="23.85" hidden="false" customHeight="false" outlineLevel="0" collapsed="false">
      <c r="A15" s="20" t="s">
        <v>971</v>
      </c>
      <c r="B15" s="20" t="s">
        <v>55</v>
      </c>
      <c r="C15" s="20" t="s">
        <v>938</v>
      </c>
      <c r="D15" s="19" t="s">
        <v>107</v>
      </c>
      <c r="E15" s="22" t="s">
        <v>91</v>
      </c>
      <c r="F15" s="20" t="s">
        <v>76</v>
      </c>
      <c r="G15" s="20" t="s">
        <v>939</v>
      </c>
      <c r="H15" s="21" t="n">
        <v>277.14</v>
      </c>
      <c r="I15" s="21"/>
      <c r="J15" s="52"/>
      <c r="K15" s="19" t="s">
        <v>108</v>
      </c>
      <c r="L15" s="20" t="s">
        <v>969</v>
      </c>
      <c r="M15" s="20" t="s">
        <v>974</v>
      </c>
      <c r="N15" s="22" t="s">
        <v>91</v>
      </c>
      <c r="O15" s="20"/>
      <c r="P15" s="20" t="s">
        <v>93</v>
      </c>
      <c r="Q15" s="20" t="s">
        <v>942</v>
      </c>
      <c r="R15" s="76" t="s">
        <v>95</v>
      </c>
      <c r="S15" s="0" t="n">
        <f aca="false">IF(Recherche!$B$4="",0,IF(ISNUMBER(SEARCH(Recherche!$B$4,D15))+ISNUMBER(SEARCH(Recherche!$B$4,K15))&gt;0,1,0))</f>
        <v>0</v>
      </c>
      <c r="T15" s="0" t="str">
        <f aca="false">IF(S15=1,SUM($S$2:S15),"")</f>
        <v/>
      </c>
    </row>
    <row r="16" customFormat="false" ht="23.85" hidden="false" customHeight="false" outlineLevel="0" collapsed="false">
      <c r="A16" s="24" t="s">
        <v>975</v>
      </c>
      <c r="B16" s="24" t="s">
        <v>55</v>
      </c>
      <c r="C16" s="24" t="s">
        <v>938</v>
      </c>
      <c r="D16" s="23" t="s">
        <v>109</v>
      </c>
      <c r="E16" s="26" t="s">
        <v>91</v>
      </c>
      <c r="F16" s="74" t="s">
        <v>78</v>
      </c>
      <c r="G16" s="74" t="s">
        <v>943</v>
      </c>
      <c r="H16" s="75" t="n">
        <v>135.9</v>
      </c>
      <c r="I16" s="25"/>
      <c r="J16" s="58"/>
      <c r="K16" s="23" t="s">
        <v>110</v>
      </c>
      <c r="L16" s="24"/>
      <c r="M16" s="24" t="s">
        <v>976</v>
      </c>
      <c r="N16" s="26" t="s">
        <v>91</v>
      </c>
      <c r="O16" s="24" t="s">
        <v>949</v>
      </c>
      <c r="P16" s="24" t="s">
        <v>93</v>
      </c>
      <c r="Q16" s="24" t="s">
        <v>946</v>
      </c>
      <c r="R16" s="73" t="s">
        <v>95</v>
      </c>
      <c r="S16" s="0" t="n">
        <f aca="false">IF(Recherche!$B$4="",0,IF(ISNUMBER(SEARCH(Recherche!$B$4,D16))+ISNUMBER(SEARCH(Recherche!$B$4,K16))&gt;0,1,0))</f>
        <v>1</v>
      </c>
      <c r="T16" s="0" t="n">
        <f aca="false">IF(S16=1,SUM($S$2:S16),"")</f>
        <v>10</v>
      </c>
    </row>
    <row r="17" customFormat="false" ht="23.85" hidden="false" customHeight="false" outlineLevel="0" collapsed="false">
      <c r="A17" s="20" t="s">
        <v>975</v>
      </c>
      <c r="B17" s="20" t="s">
        <v>55</v>
      </c>
      <c r="C17" s="20" t="s">
        <v>938</v>
      </c>
      <c r="D17" s="19" t="s">
        <v>109</v>
      </c>
      <c r="E17" s="22" t="s">
        <v>91</v>
      </c>
      <c r="F17" s="20" t="s">
        <v>76</v>
      </c>
      <c r="G17" s="20" t="s">
        <v>939</v>
      </c>
      <c r="H17" s="21" t="n">
        <v>140.64</v>
      </c>
      <c r="I17" s="21"/>
      <c r="J17" s="52"/>
      <c r="K17" s="19" t="s">
        <v>977</v>
      </c>
      <c r="L17" s="20" t="s">
        <v>961</v>
      </c>
      <c r="M17" s="20" t="s">
        <v>978</v>
      </c>
      <c r="N17" s="22" t="s">
        <v>91</v>
      </c>
      <c r="O17" s="20"/>
      <c r="P17" s="20" t="s">
        <v>93</v>
      </c>
      <c r="Q17" s="20" t="s">
        <v>942</v>
      </c>
      <c r="R17" s="76" t="s">
        <v>95</v>
      </c>
      <c r="S17" s="0" t="n">
        <f aca="false">IF(Recherche!$B$4="",0,IF(ISNUMBER(SEARCH(Recherche!$B$4,D17))+ISNUMBER(SEARCH(Recherche!$B$4,K17))&gt;0,1,0))</f>
        <v>1</v>
      </c>
      <c r="T17" s="0" t="n">
        <f aca="false">IF(S17=1,SUM($S$2:S17),"")</f>
        <v>11</v>
      </c>
    </row>
    <row r="18" customFormat="false" ht="23.85" hidden="false" customHeight="false" outlineLevel="0" collapsed="false">
      <c r="A18" s="24" t="s">
        <v>975</v>
      </c>
      <c r="B18" s="24" t="s">
        <v>55</v>
      </c>
      <c r="C18" s="24" t="s">
        <v>938</v>
      </c>
      <c r="D18" s="23" t="s">
        <v>109</v>
      </c>
      <c r="E18" s="26" t="s">
        <v>91</v>
      </c>
      <c r="F18" s="74" t="s">
        <v>77</v>
      </c>
      <c r="G18" s="74" t="s">
        <v>979</v>
      </c>
      <c r="H18" s="75" t="n">
        <v>251.34</v>
      </c>
      <c r="I18" s="25" t="n">
        <v>282.41</v>
      </c>
      <c r="J18" s="58" t="n">
        <v>11</v>
      </c>
      <c r="K18" s="23" t="s">
        <v>980</v>
      </c>
      <c r="L18" s="24" t="s">
        <v>981</v>
      </c>
      <c r="M18" s="24" t="s">
        <v>982</v>
      </c>
      <c r="N18" s="26" t="s">
        <v>91</v>
      </c>
      <c r="O18" s="24"/>
      <c r="P18" s="24" t="s">
        <v>114</v>
      </c>
      <c r="Q18" s="24" t="s">
        <v>983</v>
      </c>
      <c r="R18" s="73"/>
      <c r="S18" s="0" t="n">
        <f aca="false">IF(Recherche!$B$4="",0,IF(ISNUMBER(SEARCH(Recherche!$B$4,D18))+ISNUMBER(SEARCH(Recherche!$B$4,K18))&gt;0,1,0))</f>
        <v>1</v>
      </c>
      <c r="T18" s="0" t="n">
        <f aca="false">IF(S18=1,SUM($S$2:S18),"")</f>
        <v>12</v>
      </c>
    </row>
    <row r="19" customFormat="false" ht="23.85" hidden="false" customHeight="false" outlineLevel="0" collapsed="false">
      <c r="A19" s="20" t="s">
        <v>984</v>
      </c>
      <c r="B19" s="20" t="s">
        <v>55</v>
      </c>
      <c r="C19" s="20" t="s">
        <v>938</v>
      </c>
      <c r="D19" s="19" t="s">
        <v>111</v>
      </c>
      <c r="E19" s="22" t="s">
        <v>91</v>
      </c>
      <c r="F19" s="74" t="s">
        <v>78</v>
      </c>
      <c r="G19" s="74" t="s">
        <v>943</v>
      </c>
      <c r="H19" s="75" t="n">
        <v>60.72</v>
      </c>
      <c r="I19" s="21"/>
      <c r="J19" s="52"/>
      <c r="K19" s="19" t="s">
        <v>112</v>
      </c>
      <c r="L19" s="20"/>
      <c r="M19" s="20" t="s">
        <v>985</v>
      </c>
      <c r="N19" s="22" t="s">
        <v>91</v>
      </c>
      <c r="O19" s="20" t="s">
        <v>949</v>
      </c>
      <c r="P19" s="20" t="s">
        <v>93</v>
      </c>
      <c r="Q19" s="20" t="s">
        <v>946</v>
      </c>
      <c r="R19" s="76" t="s">
        <v>95</v>
      </c>
      <c r="S19" s="0" t="n">
        <f aca="false">IF(Recherche!$B$4="",0,IF(ISNUMBER(SEARCH(Recherche!$B$4,D19))+ISNUMBER(SEARCH(Recherche!$B$4,K19))&gt;0,1,0))</f>
        <v>0</v>
      </c>
      <c r="T19" s="0" t="str">
        <f aca="false">IF(S19=1,SUM($S$2:S19),"")</f>
        <v/>
      </c>
    </row>
    <row r="20" customFormat="false" ht="15" hidden="false" customHeight="false" outlineLevel="0" collapsed="false">
      <c r="A20" s="24" t="s">
        <v>984</v>
      </c>
      <c r="B20" s="24" t="s">
        <v>55</v>
      </c>
      <c r="C20" s="24" t="s">
        <v>938</v>
      </c>
      <c r="D20" s="23" t="s">
        <v>111</v>
      </c>
      <c r="E20" s="26" t="s">
        <v>91</v>
      </c>
      <c r="F20" s="74" t="s">
        <v>77</v>
      </c>
      <c r="G20" s="74" t="s">
        <v>979</v>
      </c>
      <c r="H20" s="75" t="n">
        <v>92.05</v>
      </c>
      <c r="I20" s="25" t="n">
        <v>92.05</v>
      </c>
      <c r="J20" s="58"/>
      <c r="K20" s="23" t="s">
        <v>986</v>
      </c>
      <c r="L20" s="24" t="s">
        <v>987</v>
      </c>
      <c r="M20" s="24" t="s">
        <v>988</v>
      </c>
      <c r="N20" s="26" t="s">
        <v>91</v>
      </c>
      <c r="O20" s="24"/>
      <c r="P20" s="24" t="s">
        <v>114</v>
      </c>
      <c r="Q20" s="24" t="s">
        <v>983</v>
      </c>
      <c r="R20" s="73"/>
      <c r="S20" s="0" t="n">
        <f aca="false">IF(Recherche!$B$4="",0,IF(ISNUMBER(SEARCH(Recherche!$B$4,D20))+ISNUMBER(SEARCH(Recherche!$B$4,K20))&gt;0,1,0))</f>
        <v>0</v>
      </c>
      <c r="T20" s="0" t="str">
        <f aca="false">IF(S20=1,SUM($S$2:S20),"")</f>
        <v/>
      </c>
    </row>
    <row r="21" customFormat="false" ht="15" hidden="false" customHeight="false" outlineLevel="0" collapsed="false">
      <c r="A21" s="20" t="s">
        <v>989</v>
      </c>
      <c r="B21" s="20" t="s">
        <v>55</v>
      </c>
      <c r="C21" s="20" t="s">
        <v>938</v>
      </c>
      <c r="D21" s="19" t="s">
        <v>113</v>
      </c>
      <c r="E21" s="22" t="s">
        <v>91</v>
      </c>
      <c r="F21" s="74" t="s">
        <v>77</v>
      </c>
      <c r="G21" s="74" t="s">
        <v>979</v>
      </c>
      <c r="H21" s="75" t="n">
        <v>74.75</v>
      </c>
      <c r="I21" s="21" t="n">
        <v>74.75</v>
      </c>
      <c r="J21" s="52"/>
      <c r="K21" s="19" t="s">
        <v>115</v>
      </c>
      <c r="L21" s="20" t="s">
        <v>990</v>
      </c>
      <c r="M21" s="20" t="s">
        <v>991</v>
      </c>
      <c r="N21" s="22" t="s">
        <v>91</v>
      </c>
      <c r="O21" s="20"/>
      <c r="P21" s="20" t="s">
        <v>114</v>
      </c>
      <c r="Q21" s="20" t="s">
        <v>983</v>
      </c>
      <c r="R21" s="76"/>
      <c r="S21" s="0" t="n">
        <f aca="false">IF(Recherche!$B$4="",0,IF(ISNUMBER(SEARCH(Recherche!$B$4,D21))+ISNUMBER(SEARCH(Recherche!$B$4,K21))&gt;0,1,0))</f>
        <v>0</v>
      </c>
      <c r="T21" s="0" t="str">
        <f aca="false">IF(S21=1,SUM($S$2:S21),"")</f>
        <v/>
      </c>
    </row>
    <row r="22" customFormat="false" ht="23.85" hidden="false" customHeight="false" outlineLevel="0" collapsed="false">
      <c r="A22" s="24" t="s">
        <v>989</v>
      </c>
      <c r="B22" s="24" t="s">
        <v>55</v>
      </c>
      <c r="C22" s="24" t="s">
        <v>938</v>
      </c>
      <c r="D22" s="23" t="s">
        <v>113</v>
      </c>
      <c r="E22" s="26" t="s">
        <v>91</v>
      </c>
      <c r="F22" s="74" t="s">
        <v>78</v>
      </c>
      <c r="G22" s="74" t="s">
        <v>943</v>
      </c>
      <c r="H22" s="75" t="n">
        <v>80.46</v>
      </c>
      <c r="I22" s="25"/>
      <c r="J22" s="58"/>
      <c r="K22" s="23" t="s">
        <v>992</v>
      </c>
      <c r="L22" s="24"/>
      <c r="M22" s="24" t="s">
        <v>993</v>
      </c>
      <c r="N22" s="26"/>
      <c r="O22" s="24"/>
      <c r="P22" s="24" t="s">
        <v>93</v>
      </c>
      <c r="Q22" s="24" t="s">
        <v>946</v>
      </c>
      <c r="R22" s="73" t="s">
        <v>95</v>
      </c>
      <c r="S22" s="0" t="n">
        <f aca="false">IF(Recherche!$B$4="",0,IF(ISNUMBER(SEARCH(Recherche!$B$4,D22))+ISNUMBER(SEARCH(Recherche!$B$4,K22))&gt;0,1,0))</f>
        <v>0</v>
      </c>
      <c r="T22" s="0" t="str">
        <f aca="false">IF(S22=1,SUM($S$2:S22),"")</f>
        <v/>
      </c>
    </row>
    <row r="23" customFormat="false" ht="23.85" hidden="false" customHeight="false" outlineLevel="0" collapsed="false">
      <c r="A23" s="20" t="s">
        <v>989</v>
      </c>
      <c r="B23" s="20" t="s">
        <v>55</v>
      </c>
      <c r="C23" s="20" t="s">
        <v>938</v>
      </c>
      <c r="D23" s="19" t="s">
        <v>113</v>
      </c>
      <c r="E23" s="22" t="s">
        <v>91</v>
      </c>
      <c r="F23" s="20" t="s">
        <v>76</v>
      </c>
      <c r="G23" s="20" t="s">
        <v>939</v>
      </c>
      <c r="H23" s="21" t="n">
        <v>83.08</v>
      </c>
      <c r="I23" s="21"/>
      <c r="J23" s="52"/>
      <c r="K23" s="19" t="s">
        <v>994</v>
      </c>
      <c r="L23" s="20" t="s">
        <v>961</v>
      </c>
      <c r="M23" s="20" t="s">
        <v>995</v>
      </c>
      <c r="N23" s="22" t="s">
        <v>91</v>
      </c>
      <c r="O23" s="20"/>
      <c r="P23" s="20" t="s">
        <v>93</v>
      </c>
      <c r="Q23" s="20" t="s">
        <v>942</v>
      </c>
      <c r="R23" s="76" t="s">
        <v>95</v>
      </c>
      <c r="S23" s="0" t="n">
        <f aca="false">IF(Recherche!$B$4="",0,IF(ISNUMBER(SEARCH(Recherche!$B$4,D23))+ISNUMBER(SEARCH(Recherche!$B$4,K23))&gt;0,1,0))</f>
        <v>0</v>
      </c>
      <c r="T23" s="0" t="str">
        <f aca="false">IF(S23=1,SUM($S$2:S23),"")</f>
        <v/>
      </c>
    </row>
    <row r="24" customFormat="false" ht="23.85" hidden="false" customHeight="false" outlineLevel="0" collapsed="false">
      <c r="A24" s="24" t="s">
        <v>996</v>
      </c>
      <c r="B24" s="24" t="s">
        <v>55</v>
      </c>
      <c r="C24" s="24" t="s">
        <v>938</v>
      </c>
      <c r="D24" s="23" t="s">
        <v>116</v>
      </c>
      <c r="E24" s="26" t="s">
        <v>91</v>
      </c>
      <c r="F24" s="24" t="s">
        <v>80</v>
      </c>
      <c r="G24" s="24" t="s">
        <v>939</v>
      </c>
      <c r="H24" s="25" t="n">
        <v>37.79</v>
      </c>
      <c r="I24" s="25"/>
      <c r="J24" s="58"/>
      <c r="K24" s="23" t="s">
        <v>997</v>
      </c>
      <c r="L24" s="24"/>
      <c r="M24" s="24" t="s">
        <v>998</v>
      </c>
      <c r="N24" s="26" t="s">
        <v>91</v>
      </c>
      <c r="O24" s="24"/>
      <c r="P24" s="24" t="s">
        <v>303</v>
      </c>
      <c r="Q24" s="24" t="s">
        <v>942</v>
      </c>
      <c r="R24" s="73" t="s">
        <v>95</v>
      </c>
      <c r="S24" s="0" t="n">
        <f aca="false">IF(Recherche!$B$4="",0,IF(ISNUMBER(SEARCH(Recherche!$B$4,D24))+ISNUMBER(SEARCH(Recherche!$B$4,K24))&gt;0,1,0))</f>
        <v>0</v>
      </c>
      <c r="T24" s="0" t="str">
        <f aca="false">IF(S24=1,SUM($S$2:S24),"")</f>
        <v/>
      </c>
    </row>
    <row r="25" customFormat="false" ht="15" hidden="false" customHeight="false" outlineLevel="0" collapsed="false">
      <c r="A25" s="20" t="s">
        <v>996</v>
      </c>
      <c r="B25" s="20" t="s">
        <v>55</v>
      </c>
      <c r="C25" s="20" t="s">
        <v>938</v>
      </c>
      <c r="D25" s="19" t="s">
        <v>116</v>
      </c>
      <c r="E25" s="22" t="s">
        <v>91</v>
      </c>
      <c r="F25" s="74" t="s">
        <v>78</v>
      </c>
      <c r="G25" s="74" t="s">
        <v>943</v>
      </c>
      <c r="H25" s="75" t="n">
        <v>78.77</v>
      </c>
      <c r="I25" s="21"/>
      <c r="J25" s="52"/>
      <c r="K25" s="19" t="s">
        <v>117</v>
      </c>
      <c r="L25" s="20"/>
      <c r="M25" s="20" t="s">
        <v>999</v>
      </c>
      <c r="N25" s="22" t="s">
        <v>91</v>
      </c>
      <c r="O25" s="20" t="s">
        <v>949</v>
      </c>
      <c r="P25" s="20" t="s">
        <v>93</v>
      </c>
      <c r="Q25" s="20" t="s">
        <v>946</v>
      </c>
      <c r="R25" s="76" t="s">
        <v>95</v>
      </c>
      <c r="S25" s="0" t="n">
        <f aca="false">IF(Recherche!$B$4="",0,IF(ISNUMBER(SEARCH(Recherche!$B$4,D25))+ISNUMBER(SEARCH(Recherche!$B$4,K25))&gt;0,1,0))</f>
        <v>0</v>
      </c>
      <c r="T25" s="0" t="str">
        <f aca="false">IF(S25=1,SUM($S$2:S25),"")</f>
        <v/>
      </c>
    </row>
    <row r="26" customFormat="false" ht="15" hidden="false" customHeight="false" outlineLevel="0" collapsed="false">
      <c r="A26" s="24" t="s">
        <v>996</v>
      </c>
      <c r="B26" s="24" t="s">
        <v>55</v>
      </c>
      <c r="C26" s="24" t="s">
        <v>938</v>
      </c>
      <c r="D26" s="23" t="s">
        <v>116</v>
      </c>
      <c r="E26" s="26" t="s">
        <v>91</v>
      </c>
      <c r="F26" s="74" t="s">
        <v>77</v>
      </c>
      <c r="G26" s="74" t="s">
        <v>979</v>
      </c>
      <c r="H26" s="75" t="n">
        <v>122.01</v>
      </c>
      <c r="I26" s="25" t="n">
        <v>129.8</v>
      </c>
      <c r="J26" s="58" t="n">
        <v>6</v>
      </c>
      <c r="K26" s="23" t="s">
        <v>1000</v>
      </c>
      <c r="L26" s="24" t="s">
        <v>1001</v>
      </c>
      <c r="M26" s="24" t="s">
        <v>1002</v>
      </c>
      <c r="N26" s="26" t="s">
        <v>91</v>
      </c>
      <c r="O26" s="24"/>
      <c r="P26" s="24" t="s">
        <v>114</v>
      </c>
      <c r="Q26" s="24" t="s">
        <v>983</v>
      </c>
      <c r="R26" s="73"/>
      <c r="S26" s="0" t="n">
        <f aca="false">IF(Recherche!$B$4="",0,IF(ISNUMBER(SEARCH(Recherche!$B$4,D26))+ISNUMBER(SEARCH(Recherche!$B$4,K26))&gt;0,1,0))</f>
        <v>0</v>
      </c>
      <c r="T26" s="0" t="str">
        <f aca="false">IF(S26=1,SUM($S$2:S26),"")</f>
        <v/>
      </c>
    </row>
    <row r="27" customFormat="false" ht="23.85" hidden="false" customHeight="false" outlineLevel="0" collapsed="false">
      <c r="A27" s="20" t="s">
        <v>1003</v>
      </c>
      <c r="B27" s="20" t="s">
        <v>55</v>
      </c>
      <c r="C27" s="20" t="s">
        <v>938</v>
      </c>
      <c r="D27" s="19" t="s">
        <v>118</v>
      </c>
      <c r="E27" s="22" t="s">
        <v>91</v>
      </c>
      <c r="F27" s="20" t="s">
        <v>80</v>
      </c>
      <c r="G27" s="20" t="s">
        <v>939</v>
      </c>
      <c r="H27" s="21" t="n">
        <v>28.2</v>
      </c>
      <c r="I27" s="21"/>
      <c r="J27" s="52"/>
      <c r="K27" s="19" t="s">
        <v>1004</v>
      </c>
      <c r="L27" s="20"/>
      <c r="M27" s="20" t="s">
        <v>1005</v>
      </c>
      <c r="N27" s="22" t="s">
        <v>91</v>
      </c>
      <c r="O27" s="20"/>
      <c r="P27" s="20" t="s">
        <v>303</v>
      </c>
      <c r="Q27" s="20" t="s">
        <v>942</v>
      </c>
      <c r="R27" s="76" t="s">
        <v>95</v>
      </c>
      <c r="S27" s="0" t="n">
        <f aca="false">IF(Recherche!$B$4="",0,IF(ISNUMBER(SEARCH(Recherche!$B$4,D27))+ISNUMBER(SEARCH(Recherche!$B$4,K27))&gt;0,1,0))</f>
        <v>0</v>
      </c>
      <c r="T27" s="0" t="str">
        <f aca="false">IF(S27=1,SUM($S$2:S27),"")</f>
        <v/>
      </c>
    </row>
    <row r="28" customFormat="false" ht="15" hidden="false" customHeight="false" outlineLevel="0" collapsed="false">
      <c r="A28" s="24" t="s">
        <v>1003</v>
      </c>
      <c r="B28" s="24" t="s">
        <v>55</v>
      </c>
      <c r="C28" s="24" t="s">
        <v>938</v>
      </c>
      <c r="D28" s="23" t="s">
        <v>118</v>
      </c>
      <c r="E28" s="26" t="s">
        <v>91</v>
      </c>
      <c r="F28" s="74" t="s">
        <v>81</v>
      </c>
      <c r="G28" s="74" t="s">
        <v>979</v>
      </c>
      <c r="H28" s="75" t="n">
        <v>43.79</v>
      </c>
      <c r="I28" s="25" t="n">
        <v>46</v>
      </c>
      <c r="J28" s="58" t="n">
        <v>4.8</v>
      </c>
      <c r="K28" s="23" t="s">
        <v>120</v>
      </c>
      <c r="L28" s="24" t="s">
        <v>969</v>
      </c>
      <c r="M28" s="24" t="s">
        <v>1006</v>
      </c>
      <c r="N28" s="26" t="s">
        <v>91</v>
      </c>
      <c r="O28" s="24" t="s">
        <v>949</v>
      </c>
      <c r="P28" s="24" t="s">
        <v>119</v>
      </c>
      <c r="Q28" s="24" t="s">
        <v>1007</v>
      </c>
      <c r="R28" s="73" t="s">
        <v>95</v>
      </c>
      <c r="S28" s="0" t="n">
        <f aca="false">IF(Recherche!$B$4="",0,IF(ISNUMBER(SEARCH(Recherche!$B$4,D28))+ISNUMBER(SEARCH(Recherche!$B$4,K28))&gt;0,1,0))</f>
        <v>0</v>
      </c>
      <c r="T28" s="0" t="str">
        <f aca="false">IF(S28=1,SUM($S$2:S28),"")</f>
        <v/>
      </c>
    </row>
    <row r="29" customFormat="false" ht="15" hidden="false" customHeight="false" outlineLevel="0" collapsed="false">
      <c r="A29" s="20" t="s">
        <v>1003</v>
      </c>
      <c r="B29" s="20" t="s">
        <v>55</v>
      </c>
      <c r="C29" s="20" t="s">
        <v>938</v>
      </c>
      <c r="D29" s="19" t="s">
        <v>118</v>
      </c>
      <c r="E29" s="22" t="s">
        <v>91</v>
      </c>
      <c r="F29" s="74" t="s">
        <v>78</v>
      </c>
      <c r="G29" s="74" t="s">
        <v>943</v>
      </c>
      <c r="H29" s="75" t="n">
        <v>56.26</v>
      </c>
      <c r="I29" s="21"/>
      <c r="J29" s="52"/>
      <c r="K29" s="19" t="s">
        <v>1008</v>
      </c>
      <c r="L29" s="20"/>
      <c r="M29" s="20" t="s">
        <v>1009</v>
      </c>
      <c r="N29" s="22"/>
      <c r="O29" s="20"/>
      <c r="P29" s="20" t="s">
        <v>93</v>
      </c>
      <c r="Q29" s="20" t="s">
        <v>946</v>
      </c>
      <c r="R29" s="76" t="s">
        <v>95</v>
      </c>
      <c r="S29" s="0" t="n">
        <f aca="false">IF(Recherche!$B$4="",0,IF(ISNUMBER(SEARCH(Recherche!$B$4,D29))+ISNUMBER(SEARCH(Recherche!$B$4,K29))&gt;0,1,0))</f>
        <v>0</v>
      </c>
      <c r="T29" s="0" t="str">
        <f aca="false">IF(S29=1,SUM($S$2:S29),"")</f>
        <v/>
      </c>
    </row>
    <row r="30" customFormat="false" ht="23.85" hidden="false" customHeight="false" outlineLevel="0" collapsed="false">
      <c r="A30" s="24" t="s">
        <v>1003</v>
      </c>
      <c r="B30" s="24" t="s">
        <v>55</v>
      </c>
      <c r="C30" s="24" t="s">
        <v>938</v>
      </c>
      <c r="D30" s="23" t="s">
        <v>118</v>
      </c>
      <c r="E30" s="26" t="s">
        <v>91</v>
      </c>
      <c r="F30" s="74" t="s">
        <v>77</v>
      </c>
      <c r="G30" s="74" t="s">
        <v>979</v>
      </c>
      <c r="H30" s="75" t="n">
        <v>66.74</v>
      </c>
      <c r="I30" s="25" t="n">
        <v>74.99</v>
      </c>
      <c r="J30" s="58" t="n">
        <v>11</v>
      </c>
      <c r="K30" s="23" t="s">
        <v>1010</v>
      </c>
      <c r="L30" s="24" t="s">
        <v>981</v>
      </c>
      <c r="M30" s="24" t="s">
        <v>1011</v>
      </c>
      <c r="N30" s="26" t="s">
        <v>91</v>
      </c>
      <c r="O30" s="24"/>
      <c r="P30" s="24" t="s">
        <v>114</v>
      </c>
      <c r="Q30" s="24" t="s">
        <v>983</v>
      </c>
      <c r="R30" s="73"/>
      <c r="S30" s="0" t="n">
        <f aca="false">IF(Recherche!$B$4="",0,IF(ISNUMBER(SEARCH(Recherche!$B$4,D30))+ISNUMBER(SEARCH(Recherche!$B$4,K30))&gt;0,1,0))</f>
        <v>0</v>
      </c>
      <c r="T30" s="0" t="str">
        <f aca="false">IF(S30=1,SUM($S$2:S30),"")</f>
        <v/>
      </c>
    </row>
    <row r="31" customFormat="false" ht="23.85" hidden="false" customHeight="false" outlineLevel="0" collapsed="false">
      <c r="A31" s="20" t="s">
        <v>1012</v>
      </c>
      <c r="B31" s="20" t="s">
        <v>55</v>
      </c>
      <c r="C31" s="20" t="s">
        <v>938</v>
      </c>
      <c r="D31" s="19" t="s">
        <v>121</v>
      </c>
      <c r="E31" s="22" t="s">
        <v>91</v>
      </c>
      <c r="F31" s="20" t="s">
        <v>76</v>
      </c>
      <c r="G31" s="20" t="s">
        <v>939</v>
      </c>
      <c r="H31" s="21" t="n">
        <v>45.64</v>
      </c>
      <c r="I31" s="21"/>
      <c r="J31" s="52"/>
      <c r="K31" s="19" t="s">
        <v>122</v>
      </c>
      <c r="L31" s="20" t="s">
        <v>969</v>
      </c>
      <c r="M31" s="20" t="s">
        <v>1013</v>
      </c>
      <c r="N31" s="22" t="s">
        <v>91</v>
      </c>
      <c r="O31" s="20"/>
      <c r="P31" s="20" t="s">
        <v>93</v>
      </c>
      <c r="Q31" s="20" t="s">
        <v>963</v>
      </c>
      <c r="R31" s="76" t="s">
        <v>95</v>
      </c>
      <c r="S31" s="0" t="n">
        <f aca="false">IF(Recherche!$B$4="",0,IF(ISNUMBER(SEARCH(Recherche!$B$4,D31))+ISNUMBER(SEARCH(Recherche!$B$4,K31))&gt;0,1,0))</f>
        <v>0</v>
      </c>
      <c r="T31" s="0" t="str">
        <f aca="false">IF(S31=1,SUM($S$2:S31),"")</f>
        <v/>
      </c>
    </row>
    <row r="32" customFormat="false" ht="15" hidden="false" customHeight="false" outlineLevel="0" collapsed="false">
      <c r="A32" s="24" t="s">
        <v>1012</v>
      </c>
      <c r="B32" s="24" t="s">
        <v>55</v>
      </c>
      <c r="C32" s="24" t="s">
        <v>938</v>
      </c>
      <c r="D32" s="23" t="s">
        <v>121</v>
      </c>
      <c r="E32" s="26" t="s">
        <v>91</v>
      </c>
      <c r="F32" s="74" t="s">
        <v>78</v>
      </c>
      <c r="G32" s="74" t="s">
        <v>943</v>
      </c>
      <c r="H32" s="75" t="n">
        <v>46.31</v>
      </c>
      <c r="I32" s="25"/>
      <c r="J32" s="58"/>
      <c r="K32" s="23" t="s">
        <v>1014</v>
      </c>
      <c r="L32" s="24"/>
      <c r="M32" s="24" t="s">
        <v>1015</v>
      </c>
      <c r="N32" s="26"/>
      <c r="O32" s="24"/>
      <c r="P32" s="24" t="s">
        <v>93</v>
      </c>
      <c r="Q32" s="24" t="s">
        <v>1016</v>
      </c>
      <c r="R32" s="73" t="s">
        <v>95</v>
      </c>
      <c r="S32" s="0" t="n">
        <f aca="false">IF(Recherche!$B$4="",0,IF(ISNUMBER(SEARCH(Recherche!$B$4,D32))+ISNUMBER(SEARCH(Recherche!$B$4,K32))&gt;0,1,0))</f>
        <v>0</v>
      </c>
      <c r="T32" s="0" t="str">
        <f aca="false">IF(S32=1,SUM($S$2:S32),"")</f>
        <v/>
      </c>
    </row>
    <row r="33" customFormat="false" ht="23.85" hidden="false" customHeight="false" outlineLevel="0" collapsed="false">
      <c r="A33" s="20" t="s">
        <v>1017</v>
      </c>
      <c r="B33" s="20" t="s">
        <v>55</v>
      </c>
      <c r="C33" s="20" t="s">
        <v>938</v>
      </c>
      <c r="D33" s="19" t="s">
        <v>123</v>
      </c>
      <c r="E33" s="22" t="s">
        <v>91</v>
      </c>
      <c r="F33" s="20" t="s">
        <v>76</v>
      </c>
      <c r="G33" s="20" t="s">
        <v>939</v>
      </c>
      <c r="H33" s="21" t="n">
        <v>84.44</v>
      </c>
      <c r="I33" s="21"/>
      <c r="J33" s="52"/>
      <c r="K33" s="19" t="s">
        <v>124</v>
      </c>
      <c r="L33" s="20" t="s">
        <v>1018</v>
      </c>
      <c r="M33" s="20" t="s">
        <v>1019</v>
      </c>
      <c r="N33" s="22" t="s">
        <v>91</v>
      </c>
      <c r="O33" s="20"/>
      <c r="P33" s="20" t="s">
        <v>93</v>
      </c>
      <c r="Q33" s="20" t="s">
        <v>963</v>
      </c>
      <c r="R33" s="76" t="s">
        <v>95</v>
      </c>
      <c r="S33" s="0" t="n">
        <f aca="false">IF(Recherche!$B$4="",0,IF(ISNUMBER(SEARCH(Recherche!$B$4,D33))+ISNUMBER(SEARCH(Recherche!$B$4,K33))&gt;0,1,0))</f>
        <v>0</v>
      </c>
      <c r="T33" s="0" t="str">
        <f aca="false">IF(S33=1,SUM($S$2:S33),"")</f>
        <v/>
      </c>
    </row>
    <row r="34" customFormat="false" ht="23.85" hidden="false" customHeight="false" outlineLevel="0" collapsed="false">
      <c r="A34" s="24" t="s">
        <v>1020</v>
      </c>
      <c r="B34" s="24" t="s">
        <v>55</v>
      </c>
      <c r="C34" s="24" t="s">
        <v>938</v>
      </c>
      <c r="D34" s="23" t="s">
        <v>125</v>
      </c>
      <c r="E34" s="26" t="s">
        <v>91</v>
      </c>
      <c r="F34" s="24" t="s">
        <v>76</v>
      </c>
      <c r="G34" s="24" t="s">
        <v>939</v>
      </c>
      <c r="H34" s="25" t="n">
        <v>4.7</v>
      </c>
      <c r="I34" s="25"/>
      <c r="J34" s="58"/>
      <c r="K34" s="23" t="s">
        <v>126</v>
      </c>
      <c r="L34" s="24" t="s">
        <v>969</v>
      </c>
      <c r="M34" s="24" t="s">
        <v>1021</v>
      </c>
      <c r="N34" s="26" t="s">
        <v>91</v>
      </c>
      <c r="O34" s="24"/>
      <c r="P34" s="24" t="s">
        <v>93</v>
      </c>
      <c r="Q34" s="24" t="s">
        <v>942</v>
      </c>
      <c r="R34" s="73" t="s">
        <v>95</v>
      </c>
      <c r="S34" s="0" t="n">
        <f aca="false">IF(Recherche!$B$4="",0,IF(ISNUMBER(SEARCH(Recherche!$B$4,D34))+ISNUMBER(SEARCH(Recherche!$B$4,K34))&gt;0,1,0))</f>
        <v>0</v>
      </c>
      <c r="T34" s="0" t="str">
        <f aca="false">IF(S34=1,SUM($S$2:S34),"")</f>
        <v/>
      </c>
    </row>
    <row r="35" customFormat="false" ht="23.85" hidden="false" customHeight="false" outlineLevel="0" collapsed="false">
      <c r="A35" s="20" t="s">
        <v>1020</v>
      </c>
      <c r="B35" s="20" t="s">
        <v>55</v>
      </c>
      <c r="C35" s="20" t="s">
        <v>938</v>
      </c>
      <c r="D35" s="19" t="s">
        <v>125</v>
      </c>
      <c r="E35" s="22" t="s">
        <v>91</v>
      </c>
      <c r="F35" s="20" t="s">
        <v>80</v>
      </c>
      <c r="G35" s="20" t="s">
        <v>939</v>
      </c>
      <c r="H35" s="21" t="n">
        <v>5.5</v>
      </c>
      <c r="I35" s="21"/>
      <c r="J35" s="52"/>
      <c r="K35" s="19" t="s">
        <v>1022</v>
      </c>
      <c r="L35" s="20"/>
      <c r="M35" s="20" t="s">
        <v>1023</v>
      </c>
      <c r="N35" s="22" t="s">
        <v>91</v>
      </c>
      <c r="O35" s="20"/>
      <c r="P35" s="20" t="s">
        <v>303</v>
      </c>
      <c r="Q35" s="20" t="s">
        <v>963</v>
      </c>
      <c r="R35" s="76" t="s">
        <v>95</v>
      </c>
      <c r="S35" s="0" t="n">
        <f aca="false">IF(Recherche!$B$4="",0,IF(ISNUMBER(SEARCH(Recherche!$B$4,D35))+ISNUMBER(SEARCH(Recherche!$B$4,K35))&gt;0,1,0))</f>
        <v>0</v>
      </c>
      <c r="T35" s="0" t="str">
        <f aca="false">IF(S35=1,SUM($S$2:S35),"")</f>
        <v/>
      </c>
    </row>
    <row r="36" customFormat="false" ht="23.85" hidden="false" customHeight="false" outlineLevel="0" collapsed="false">
      <c r="A36" s="24" t="s">
        <v>1020</v>
      </c>
      <c r="B36" s="24" t="s">
        <v>55</v>
      </c>
      <c r="C36" s="24" t="s">
        <v>938</v>
      </c>
      <c r="D36" s="23" t="s">
        <v>125</v>
      </c>
      <c r="E36" s="26" t="s">
        <v>91</v>
      </c>
      <c r="F36" s="74" t="s">
        <v>77</v>
      </c>
      <c r="G36" s="74" t="s">
        <v>979</v>
      </c>
      <c r="H36" s="75" t="n">
        <v>27.95</v>
      </c>
      <c r="I36" s="25" t="n">
        <v>31.4</v>
      </c>
      <c r="J36" s="58" t="n">
        <v>11</v>
      </c>
      <c r="K36" s="23" t="s">
        <v>1024</v>
      </c>
      <c r="L36" s="24" t="s">
        <v>981</v>
      </c>
      <c r="M36" s="24" t="s">
        <v>1025</v>
      </c>
      <c r="N36" s="26" t="s">
        <v>91</v>
      </c>
      <c r="O36" s="24"/>
      <c r="P36" s="24" t="s">
        <v>114</v>
      </c>
      <c r="Q36" s="24" t="s">
        <v>983</v>
      </c>
      <c r="R36" s="73"/>
      <c r="S36" s="0" t="n">
        <f aca="false">IF(Recherche!$B$4="",0,IF(ISNUMBER(SEARCH(Recherche!$B$4,D36))+ISNUMBER(SEARCH(Recherche!$B$4,K36))&gt;0,1,0))</f>
        <v>0</v>
      </c>
      <c r="T36" s="0" t="str">
        <f aca="false">IF(S36=1,SUM($S$2:S36),"")</f>
        <v/>
      </c>
    </row>
    <row r="37" customFormat="false" ht="35.05" hidden="false" customHeight="false" outlineLevel="0" collapsed="false">
      <c r="A37" s="20" t="s">
        <v>1026</v>
      </c>
      <c r="B37" s="20" t="s">
        <v>55</v>
      </c>
      <c r="C37" s="20" t="s">
        <v>1027</v>
      </c>
      <c r="D37" s="19" t="s">
        <v>127</v>
      </c>
      <c r="E37" s="22" t="s">
        <v>91</v>
      </c>
      <c r="F37" s="74" t="s">
        <v>77</v>
      </c>
      <c r="G37" s="74" t="s">
        <v>979</v>
      </c>
      <c r="H37" s="75" t="n">
        <v>674.69</v>
      </c>
      <c r="I37" s="21" t="n">
        <v>758.08</v>
      </c>
      <c r="J37" s="52" t="n">
        <v>11</v>
      </c>
      <c r="K37" s="19" t="s">
        <v>128</v>
      </c>
      <c r="L37" s="20" t="s">
        <v>981</v>
      </c>
      <c r="M37" s="20" t="s">
        <v>1028</v>
      </c>
      <c r="N37" s="22" t="s">
        <v>91</v>
      </c>
      <c r="O37" s="20"/>
      <c r="P37" s="20" t="s">
        <v>114</v>
      </c>
      <c r="Q37" s="20" t="s">
        <v>983</v>
      </c>
      <c r="R37" s="76"/>
      <c r="S37" s="0" t="n">
        <f aca="false">IF(Recherche!$B$4="",0,IF(ISNUMBER(SEARCH(Recherche!$B$4,D37))+ISNUMBER(SEARCH(Recherche!$B$4,K37))&gt;0,1,0))</f>
        <v>0</v>
      </c>
      <c r="T37" s="0" t="str">
        <f aca="false">IF(S37=1,SUM($S$2:S37),"")</f>
        <v/>
      </c>
    </row>
    <row r="38" customFormat="false" ht="35.05" hidden="false" customHeight="false" outlineLevel="0" collapsed="false">
      <c r="A38" s="24" t="s">
        <v>1029</v>
      </c>
      <c r="B38" s="24" t="s">
        <v>55</v>
      </c>
      <c r="C38" s="24" t="s">
        <v>1027</v>
      </c>
      <c r="D38" s="23" t="s">
        <v>129</v>
      </c>
      <c r="E38" s="26" t="s">
        <v>91</v>
      </c>
      <c r="F38" s="74" t="s">
        <v>77</v>
      </c>
      <c r="G38" s="74" t="s">
        <v>979</v>
      </c>
      <c r="H38" s="75" t="n">
        <v>674.69</v>
      </c>
      <c r="I38" s="25" t="n">
        <v>758.08</v>
      </c>
      <c r="J38" s="58" t="n">
        <v>11</v>
      </c>
      <c r="K38" s="23" t="s">
        <v>128</v>
      </c>
      <c r="L38" s="24" t="s">
        <v>981</v>
      </c>
      <c r="M38" s="24" t="s">
        <v>1028</v>
      </c>
      <c r="N38" s="26" t="s">
        <v>91</v>
      </c>
      <c r="O38" s="24"/>
      <c r="P38" s="24" t="s">
        <v>114</v>
      </c>
      <c r="Q38" s="24" t="s">
        <v>983</v>
      </c>
      <c r="R38" s="73"/>
      <c r="S38" s="0" t="n">
        <f aca="false">IF(Recherche!$B$4="",0,IF(ISNUMBER(SEARCH(Recherche!$B$4,D38))+ISNUMBER(SEARCH(Recherche!$B$4,K38))&gt;0,1,0))</f>
        <v>0</v>
      </c>
      <c r="T38" s="0" t="str">
        <f aca="false">IF(S38=1,SUM($S$2:S38),"")</f>
        <v/>
      </c>
    </row>
    <row r="39" customFormat="false" ht="15" hidden="false" customHeight="false" outlineLevel="0" collapsed="false">
      <c r="A39" s="20" t="s">
        <v>1030</v>
      </c>
      <c r="B39" s="20" t="s">
        <v>55</v>
      </c>
      <c r="C39" s="20" t="s">
        <v>1027</v>
      </c>
      <c r="D39" s="19" t="s">
        <v>130</v>
      </c>
      <c r="E39" s="22" t="s">
        <v>91</v>
      </c>
      <c r="F39" s="20" t="s">
        <v>76</v>
      </c>
      <c r="G39" s="20" t="s">
        <v>939</v>
      </c>
      <c r="H39" s="21" t="n">
        <v>36.75</v>
      </c>
      <c r="I39" s="21"/>
      <c r="J39" s="52"/>
      <c r="K39" s="19" t="s">
        <v>131</v>
      </c>
      <c r="L39" s="20" t="s">
        <v>940</v>
      </c>
      <c r="M39" s="20" t="s">
        <v>1031</v>
      </c>
      <c r="N39" s="22" t="s">
        <v>91</v>
      </c>
      <c r="O39" s="20"/>
      <c r="P39" s="20" t="s">
        <v>93</v>
      </c>
      <c r="Q39" s="20" t="s">
        <v>942</v>
      </c>
      <c r="R39" s="76" t="s">
        <v>95</v>
      </c>
      <c r="S39" s="0" t="n">
        <f aca="false">IF(Recherche!$B$4="",0,IF(ISNUMBER(SEARCH(Recherche!$B$4,D39))+ISNUMBER(SEARCH(Recherche!$B$4,K39))&gt;0,1,0))</f>
        <v>0</v>
      </c>
      <c r="T39" s="0" t="str">
        <f aca="false">IF(S39=1,SUM($S$2:S39),"")</f>
        <v/>
      </c>
    </row>
    <row r="40" customFormat="false" ht="23.85" hidden="false" customHeight="false" outlineLevel="0" collapsed="false">
      <c r="A40" s="24" t="s">
        <v>1030</v>
      </c>
      <c r="B40" s="24" t="s">
        <v>55</v>
      </c>
      <c r="C40" s="24" t="s">
        <v>1027</v>
      </c>
      <c r="D40" s="23" t="s">
        <v>130</v>
      </c>
      <c r="E40" s="26" t="s">
        <v>91</v>
      </c>
      <c r="F40" s="24" t="s">
        <v>80</v>
      </c>
      <c r="G40" s="24" t="s">
        <v>939</v>
      </c>
      <c r="H40" s="25" t="n">
        <v>71.43</v>
      </c>
      <c r="I40" s="25"/>
      <c r="J40" s="58"/>
      <c r="K40" s="23" t="s">
        <v>1032</v>
      </c>
      <c r="L40" s="24"/>
      <c r="M40" s="24" t="s">
        <v>1033</v>
      </c>
      <c r="N40" s="26" t="s">
        <v>91</v>
      </c>
      <c r="O40" s="24"/>
      <c r="P40" s="24" t="s">
        <v>303</v>
      </c>
      <c r="Q40" s="24" t="s">
        <v>942</v>
      </c>
      <c r="R40" s="73" t="s">
        <v>95</v>
      </c>
      <c r="S40" s="0" t="n">
        <f aca="false">IF(Recherche!$B$4="",0,IF(ISNUMBER(SEARCH(Recherche!$B$4,D40))+ISNUMBER(SEARCH(Recherche!$B$4,K40))&gt;0,1,0))</f>
        <v>0</v>
      </c>
      <c r="T40" s="0" t="str">
        <f aca="false">IF(S40=1,SUM($S$2:S40),"")</f>
        <v/>
      </c>
    </row>
    <row r="41" customFormat="false" ht="15" hidden="false" customHeight="false" outlineLevel="0" collapsed="false">
      <c r="A41" s="20" t="s">
        <v>1030</v>
      </c>
      <c r="B41" s="20" t="s">
        <v>55</v>
      </c>
      <c r="C41" s="20" t="s">
        <v>1027</v>
      </c>
      <c r="D41" s="19" t="s">
        <v>130</v>
      </c>
      <c r="E41" s="22" t="s">
        <v>91</v>
      </c>
      <c r="F41" s="74" t="s">
        <v>77</v>
      </c>
      <c r="G41" s="74" t="s">
        <v>979</v>
      </c>
      <c r="H41" s="75" t="n">
        <v>80.09</v>
      </c>
      <c r="I41" s="21" t="n">
        <v>89.99</v>
      </c>
      <c r="J41" s="52" t="n">
        <v>11</v>
      </c>
      <c r="K41" s="19" t="s">
        <v>1034</v>
      </c>
      <c r="L41" s="20" t="s">
        <v>981</v>
      </c>
      <c r="M41" s="20" t="s">
        <v>1035</v>
      </c>
      <c r="N41" s="22" t="s">
        <v>91</v>
      </c>
      <c r="O41" s="20"/>
      <c r="P41" s="20" t="s">
        <v>114</v>
      </c>
      <c r="Q41" s="20" t="s">
        <v>983</v>
      </c>
      <c r="R41" s="76"/>
      <c r="S41" s="0" t="n">
        <f aca="false">IF(Recherche!$B$4="",0,IF(ISNUMBER(SEARCH(Recherche!$B$4,D41))+ISNUMBER(SEARCH(Recherche!$B$4,K41))&gt;0,1,0))</f>
        <v>0</v>
      </c>
      <c r="T41" s="0" t="str">
        <f aca="false">IF(S41=1,SUM($S$2:S41),"")</f>
        <v/>
      </c>
    </row>
    <row r="42" customFormat="false" ht="23.85" hidden="false" customHeight="false" outlineLevel="0" collapsed="false">
      <c r="A42" s="24" t="s">
        <v>1030</v>
      </c>
      <c r="B42" s="24" t="s">
        <v>55</v>
      </c>
      <c r="C42" s="24" t="s">
        <v>1027</v>
      </c>
      <c r="D42" s="23" t="s">
        <v>130</v>
      </c>
      <c r="E42" s="26" t="s">
        <v>91</v>
      </c>
      <c r="F42" s="74" t="s">
        <v>78</v>
      </c>
      <c r="G42" s="74" t="s">
        <v>943</v>
      </c>
      <c r="H42" s="75" t="n">
        <v>105.54</v>
      </c>
      <c r="I42" s="25"/>
      <c r="J42" s="58"/>
      <c r="K42" s="23" t="s">
        <v>1036</v>
      </c>
      <c r="L42" s="24"/>
      <c r="M42" s="24" t="s">
        <v>1037</v>
      </c>
      <c r="N42" s="26"/>
      <c r="O42" s="24"/>
      <c r="P42" s="24" t="s">
        <v>93</v>
      </c>
      <c r="Q42" s="24" t="s">
        <v>946</v>
      </c>
      <c r="R42" s="73" t="s">
        <v>95</v>
      </c>
      <c r="S42" s="0" t="n">
        <f aca="false">IF(Recherche!$B$4="",0,IF(ISNUMBER(SEARCH(Recherche!$B$4,D42))+ISNUMBER(SEARCH(Recherche!$B$4,K42))&gt;0,1,0))</f>
        <v>0</v>
      </c>
      <c r="T42" s="0" t="str">
        <f aca="false">IF(S42=1,SUM($S$2:S42),"")</f>
        <v/>
      </c>
    </row>
    <row r="43" customFormat="false" ht="23.85" hidden="false" customHeight="false" outlineLevel="0" collapsed="false">
      <c r="A43" s="20" t="s">
        <v>1038</v>
      </c>
      <c r="B43" s="20" t="s">
        <v>55</v>
      </c>
      <c r="C43" s="20" t="s">
        <v>1027</v>
      </c>
      <c r="D43" s="19" t="s">
        <v>132</v>
      </c>
      <c r="E43" s="22" t="s">
        <v>91</v>
      </c>
      <c r="F43" s="20" t="s">
        <v>76</v>
      </c>
      <c r="G43" s="20" t="s">
        <v>939</v>
      </c>
      <c r="H43" s="21" t="n">
        <v>28.36</v>
      </c>
      <c r="I43" s="21"/>
      <c r="J43" s="52"/>
      <c r="K43" s="19" t="s">
        <v>133</v>
      </c>
      <c r="L43" s="20" t="s">
        <v>969</v>
      </c>
      <c r="M43" s="20" t="s">
        <v>1039</v>
      </c>
      <c r="N43" s="22" t="s">
        <v>91</v>
      </c>
      <c r="O43" s="20"/>
      <c r="P43" s="20" t="s">
        <v>93</v>
      </c>
      <c r="Q43" s="20" t="s">
        <v>963</v>
      </c>
      <c r="R43" s="76" t="s">
        <v>95</v>
      </c>
      <c r="S43" s="0" t="n">
        <f aca="false">IF(Recherche!$B$4="",0,IF(ISNUMBER(SEARCH(Recherche!$B$4,D43))+ISNUMBER(SEARCH(Recherche!$B$4,K43))&gt;0,1,0))</f>
        <v>0</v>
      </c>
      <c r="T43" s="0" t="str">
        <f aca="false">IF(S43=1,SUM($S$2:S43),"")</f>
        <v/>
      </c>
    </row>
    <row r="44" customFormat="false" ht="15" hidden="false" customHeight="false" outlineLevel="0" collapsed="false">
      <c r="A44" s="24" t="s">
        <v>1038</v>
      </c>
      <c r="B44" s="24" t="s">
        <v>55</v>
      </c>
      <c r="C44" s="24" t="s">
        <v>1027</v>
      </c>
      <c r="D44" s="23" t="s">
        <v>132</v>
      </c>
      <c r="E44" s="26" t="s">
        <v>91</v>
      </c>
      <c r="F44" s="74" t="s">
        <v>78</v>
      </c>
      <c r="G44" s="74" t="s">
        <v>943</v>
      </c>
      <c r="H44" s="75" t="n">
        <v>44.73</v>
      </c>
      <c r="I44" s="25"/>
      <c r="J44" s="58"/>
      <c r="K44" s="23" t="s">
        <v>1040</v>
      </c>
      <c r="L44" s="24"/>
      <c r="M44" s="24" t="s">
        <v>1041</v>
      </c>
      <c r="N44" s="26"/>
      <c r="O44" s="24"/>
      <c r="P44" s="24" t="s">
        <v>93</v>
      </c>
      <c r="Q44" s="24" t="s">
        <v>1016</v>
      </c>
      <c r="R44" s="73" t="s">
        <v>95</v>
      </c>
      <c r="S44" s="0" t="n">
        <f aca="false">IF(Recherche!$B$4="",0,IF(ISNUMBER(SEARCH(Recherche!$B$4,D44))+ISNUMBER(SEARCH(Recherche!$B$4,K44))&gt;0,1,0))</f>
        <v>0</v>
      </c>
      <c r="T44" s="0" t="str">
        <f aca="false">IF(S44=1,SUM($S$2:S44),"")</f>
        <v/>
      </c>
    </row>
    <row r="45" customFormat="false" ht="23.85" hidden="false" customHeight="false" outlineLevel="0" collapsed="false">
      <c r="A45" s="20" t="s">
        <v>1042</v>
      </c>
      <c r="B45" s="20" t="s">
        <v>55</v>
      </c>
      <c r="C45" s="20" t="s">
        <v>1027</v>
      </c>
      <c r="D45" s="19" t="s">
        <v>134</v>
      </c>
      <c r="E45" s="22" t="s">
        <v>91</v>
      </c>
      <c r="F45" s="20" t="s">
        <v>76</v>
      </c>
      <c r="G45" s="20" t="s">
        <v>939</v>
      </c>
      <c r="H45" s="21" t="n">
        <v>4.75</v>
      </c>
      <c r="I45" s="21"/>
      <c r="J45" s="52"/>
      <c r="K45" s="19" t="s">
        <v>135</v>
      </c>
      <c r="L45" s="20" t="s">
        <v>969</v>
      </c>
      <c r="M45" s="20" t="s">
        <v>1043</v>
      </c>
      <c r="N45" s="22" t="s">
        <v>91</v>
      </c>
      <c r="O45" s="20"/>
      <c r="P45" s="20" t="s">
        <v>93</v>
      </c>
      <c r="Q45" s="20" t="s">
        <v>942</v>
      </c>
      <c r="R45" s="76" t="s">
        <v>95</v>
      </c>
      <c r="S45" s="0" t="n">
        <f aca="false">IF(Recherche!$B$4="",0,IF(ISNUMBER(SEARCH(Recherche!$B$4,D45))+ISNUMBER(SEARCH(Recherche!$B$4,K45))&gt;0,1,0))</f>
        <v>0</v>
      </c>
      <c r="T45" s="0" t="str">
        <f aca="false">IF(S45=1,SUM($S$2:S45),"")</f>
        <v/>
      </c>
    </row>
    <row r="46" customFormat="false" ht="23.85" hidden="false" customHeight="false" outlineLevel="0" collapsed="false">
      <c r="A46" s="24" t="s">
        <v>1042</v>
      </c>
      <c r="B46" s="24" t="s">
        <v>55</v>
      </c>
      <c r="C46" s="24" t="s">
        <v>1027</v>
      </c>
      <c r="D46" s="23" t="s">
        <v>134</v>
      </c>
      <c r="E46" s="26" t="s">
        <v>91</v>
      </c>
      <c r="F46" s="74" t="s">
        <v>77</v>
      </c>
      <c r="G46" s="74" t="s">
        <v>979</v>
      </c>
      <c r="H46" s="75" t="n">
        <v>13.52</v>
      </c>
      <c r="I46" s="25" t="n">
        <v>15.19</v>
      </c>
      <c r="J46" s="58" t="n">
        <v>11</v>
      </c>
      <c r="K46" s="23" t="s">
        <v>1044</v>
      </c>
      <c r="L46" s="24" t="s">
        <v>981</v>
      </c>
      <c r="M46" s="24" t="s">
        <v>1045</v>
      </c>
      <c r="N46" s="26" t="s">
        <v>91</v>
      </c>
      <c r="O46" s="24"/>
      <c r="P46" s="24" t="s">
        <v>114</v>
      </c>
      <c r="Q46" s="24" t="s">
        <v>983</v>
      </c>
      <c r="R46" s="73"/>
      <c r="S46" s="0" t="n">
        <f aca="false">IF(Recherche!$B$4="",0,IF(ISNUMBER(SEARCH(Recherche!$B$4,D46))+ISNUMBER(SEARCH(Recherche!$B$4,K46))&gt;0,1,0))</f>
        <v>0</v>
      </c>
      <c r="T46" s="0" t="str">
        <f aca="false">IF(S46=1,SUM($S$2:S46),"")</f>
        <v/>
      </c>
    </row>
    <row r="47" customFormat="false" ht="23.85" hidden="false" customHeight="false" outlineLevel="0" collapsed="false">
      <c r="A47" s="20" t="s">
        <v>1042</v>
      </c>
      <c r="B47" s="20" t="s">
        <v>55</v>
      </c>
      <c r="C47" s="20" t="s">
        <v>1027</v>
      </c>
      <c r="D47" s="19" t="s">
        <v>134</v>
      </c>
      <c r="E47" s="22" t="s">
        <v>91</v>
      </c>
      <c r="F47" s="74" t="s">
        <v>78</v>
      </c>
      <c r="G47" s="74" t="s">
        <v>943</v>
      </c>
      <c r="H47" s="75" t="n">
        <v>17.08</v>
      </c>
      <c r="I47" s="21"/>
      <c r="J47" s="52"/>
      <c r="K47" s="19" t="s">
        <v>1046</v>
      </c>
      <c r="L47" s="20"/>
      <c r="M47" s="20" t="s">
        <v>1047</v>
      </c>
      <c r="N47" s="22"/>
      <c r="O47" s="20"/>
      <c r="P47" s="20" t="s">
        <v>93</v>
      </c>
      <c r="Q47" s="20" t="s">
        <v>946</v>
      </c>
      <c r="R47" s="76" t="s">
        <v>95</v>
      </c>
      <c r="S47" s="0" t="n">
        <f aca="false">IF(Recherche!$B$4="",0,IF(ISNUMBER(SEARCH(Recherche!$B$4,D47))+ISNUMBER(SEARCH(Recherche!$B$4,K47))&gt;0,1,0))</f>
        <v>0</v>
      </c>
      <c r="T47" s="0" t="str">
        <f aca="false">IF(S47=1,SUM($S$2:S47),"")</f>
        <v/>
      </c>
    </row>
    <row r="48" customFormat="false" ht="23.85" hidden="false" customHeight="false" outlineLevel="0" collapsed="false">
      <c r="A48" s="24" t="s">
        <v>1048</v>
      </c>
      <c r="B48" s="24" t="s">
        <v>55</v>
      </c>
      <c r="C48" s="24" t="s">
        <v>1049</v>
      </c>
      <c r="D48" s="23" t="s">
        <v>136</v>
      </c>
      <c r="E48" s="26" t="s">
        <v>137</v>
      </c>
      <c r="F48" s="24" t="s">
        <v>76</v>
      </c>
      <c r="G48" s="24" t="s">
        <v>939</v>
      </c>
      <c r="H48" s="25" t="n">
        <v>17.82</v>
      </c>
      <c r="I48" s="25"/>
      <c r="J48" s="58"/>
      <c r="K48" s="23" t="s">
        <v>139</v>
      </c>
      <c r="L48" s="24" t="s">
        <v>1050</v>
      </c>
      <c r="M48" s="24" t="s">
        <v>1051</v>
      </c>
      <c r="N48" s="26" t="s">
        <v>137</v>
      </c>
      <c r="O48" s="24"/>
      <c r="P48" s="24" t="s">
        <v>93</v>
      </c>
      <c r="Q48" s="24" t="s">
        <v>1052</v>
      </c>
      <c r="R48" s="73" t="s">
        <v>95</v>
      </c>
      <c r="S48" s="0" t="n">
        <f aca="false">IF(Recherche!$B$4="",0,IF(ISNUMBER(SEARCH(Recherche!$B$4,D48))+ISNUMBER(SEARCH(Recherche!$B$4,K48))&gt;0,1,0))</f>
        <v>0</v>
      </c>
      <c r="T48" s="0" t="str">
        <f aca="false">IF(S48=1,SUM($S$2:S48),"")</f>
        <v/>
      </c>
    </row>
    <row r="49" customFormat="false" ht="23.85" hidden="false" customHeight="false" outlineLevel="0" collapsed="false">
      <c r="A49" s="20" t="s">
        <v>1048</v>
      </c>
      <c r="B49" s="20" t="s">
        <v>55</v>
      </c>
      <c r="C49" s="20" t="s">
        <v>1049</v>
      </c>
      <c r="D49" s="19" t="s">
        <v>136</v>
      </c>
      <c r="E49" s="22" t="s">
        <v>137</v>
      </c>
      <c r="F49" s="74" t="s">
        <v>81</v>
      </c>
      <c r="G49" s="74" t="s">
        <v>979</v>
      </c>
      <c r="H49" s="75" t="n">
        <v>32.04</v>
      </c>
      <c r="I49" s="21" t="n">
        <v>32.03</v>
      </c>
      <c r="J49" s="52"/>
      <c r="K49" s="19" t="s">
        <v>1053</v>
      </c>
      <c r="L49" s="20" t="s">
        <v>1054</v>
      </c>
      <c r="M49" s="20" t="s">
        <v>1055</v>
      </c>
      <c r="N49" s="22" t="s">
        <v>1056</v>
      </c>
      <c r="O49" s="20" t="s">
        <v>1056</v>
      </c>
      <c r="P49" s="20" t="s">
        <v>169</v>
      </c>
      <c r="Q49" s="20" t="s">
        <v>1007</v>
      </c>
      <c r="R49" s="76" t="s">
        <v>95</v>
      </c>
      <c r="S49" s="0" t="n">
        <f aca="false">IF(Recherche!$B$4="",0,IF(ISNUMBER(SEARCH(Recherche!$B$4,D49))+ISNUMBER(SEARCH(Recherche!$B$4,K49))&gt;0,1,0))</f>
        <v>0</v>
      </c>
      <c r="T49" s="0" t="str">
        <f aca="false">IF(S49=1,SUM($S$2:S49),"")</f>
        <v/>
      </c>
    </row>
    <row r="50" customFormat="false" ht="23.85" hidden="false" customHeight="false" outlineLevel="0" collapsed="false">
      <c r="A50" s="24" t="s">
        <v>1057</v>
      </c>
      <c r="B50" s="24" t="s">
        <v>55</v>
      </c>
      <c r="C50" s="24" t="s">
        <v>1049</v>
      </c>
      <c r="D50" s="23" t="s">
        <v>140</v>
      </c>
      <c r="E50" s="26" t="s">
        <v>137</v>
      </c>
      <c r="F50" s="24" t="s">
        <v>76</v>
      </c>
      <c r="G50" s="24" t="s">
        <v>939</v>
      </c>
      <c r="H50" s="25" t="n">
        <v>27.43</v>
      </c>
      <c r="I50" s="25"/>
      <c r="J50" s="58"/>
      <c r="K50" s="23" t="s">
        <v>141</v>
      </c>
      <c r="L50" s="24" t="s">
        <v>1050</v>
      </c>
      <c r="M50" s="24" t="s">
        <v>1058</v>
      </c>
      <c r="N50" s="26" t="s">
        <v>137</v>
      </c>
      <c r="O50" s="24"/>
      <c r="P50" s="24" t="s">
        <v>93</v>
      </c>
      <c r="Q50" s="24" t="s">
        <v>1052</v>
      </c>
      <c r="R50" s="73" t="s">
        <v>95</v>
      </c>
      <c r="S50" s="0" t="n">
        <f aca="false">IF(Recherche!$B$4="",0,IF(ISNUMBER(SEARCH(Recherche!$B$4,D50))+ISNUMBER(SEARCH(Recherche!$B$4,K50))&gt;0,1,0))</f>
        <v>0</v>
      </c>
      <c r="T50" s="0" t="str">
        <f aca="false">IF(S50=1,SUM($S$2:S50),"")</f>
        <v/>
      </c>
    </row>
    <row r="51" customFormat="false" ht="15" hidden="false" customHeight="false" outlineLevel="0" collapsed="false">
      <c r="A51" s="20" t="s">
        <v>1057</v>
      </c>
      <c r="B51" s="20" t="s">
        <v>55</v>
      </c>
      <c r="C51" s="20" t="s">
        <v>1049</v>
      </c>
      <c r="D51" s="19" t="s">
        <v>140</v>
      </c>
      <c r="E51" s="22" t="s">
        <v>137</v>
      </c>
      <c r="F51" s="74" t="s">
        <v>81</v>
      </c>
      <c r="G51" s="74" t="s">
        <v>979</v>
      </c>
      <c r="H51" s="75" t="n">
        <v>86.67</v>
      </c>
      <c r="I51" s="21" t="n">
        <v>86.66</v>
      </c>
      <c r="J51" s="52"/>
      <c r="K51" s="19" t="s">
        <v>1059</v>
      </c>
      <c r="L51" s="20" t="s">
        <v>1054</v>
      </c>
      <c r="M51" s="20" t="s">
        <v>1060</v>
      </c>
      <c r="N51" s="22" t="s">
        <v>1056</v>
      </c>
      <c r="O51" s="20" t="s">
        <v>1056</v>
      </c>
      <c r="P51" s="20" t="s">
        <v>119</v>
      </c>
      <c r="Q51" s="20" t="s">
        <v>1007</v>
      </c>
      <c r="R51" s="76" t="s">
        <v>95</v>
      </c>
      <c r="S51" s="0" t="n">
        <f aca="false">IF(Recherche!$B$4="",0,IF(ISNUMBER(SEARCH(Recherche!$B$4,D51))+ISNUMBER(SEARCH(Recherche!$B$4,K51))&gt;0,1,0))</f>
        <v>0</v>
      </c>
      <c r="T51" s="0" t="str">
        <f aca="false">IF(S51=1,SUM($S$2:S51),"")</f>
        <v/>
      </c>
    </row>
    <row r="52" customFormat="false" ht="23.85" hidden="false" customHeight="false" outlineLevel="0" collapsed="false">
      <c r="A52" s="24" t="s">
        <v>1061</v>
      </c>
      <c r="B52" s="24" t="s">
        <v>55</v>
      </c>
      <c r="C52" s="24" t="s">
        <v>1049</v>
      </c>
      <c r="D52" s="23" t="s">
        <v>142</v>
      </c>
      <c r="E52" s="26" t="s">
        <v>137</v>
      </c>
      <c r="F52" s="74" t="s">
        <v>78</v>
      </c>
      <c r="G52" s="74" t="s">
        <v>943</v>
      </c>
      <c r="H52" s="75" t="n">
        <v>8.24</v>
      </c>
      <c r="I52" s="25"/>
      <c r="J52" s="58"/>
      <c r="K52" s="23" t="s">
        <v>143</v>
      </c>
      <c r="L52" s="24"/>
      <c r="M52" s="24" t="s">
        <v>1062</v>
      </c>
      <c r="N52" s="26" t="s">
        <v>137</v>
      </c>
      <c r="O52" s="24" t="s">
        <v>1063</v>
      </c>
      <c r="P52" s="24" t="s">
        <v>93</v>
      </c>
      <c r="Q52" s="24" t="s">
        <v>1016</v>
      </c>
      <c r="R52" s="73"/>
      <c r="S52" s="0" t="n">
        <f aca="false">IF(Recherche!$B$4="",0,IF(ISNUMBER(SEARCH(Recherche!$B$4,D52))+ISNUMBER(SEARCH(Recherche!$B$4,K52))&gt;0,1,0))</f>
        <v>0</v>
      </c>
      <c r="T52" s="0" t="str">
        <f aca="false">IF(S52=1,SUM($S$2:S52),"")</f>
        <v/>
      </c>
    </row>
    <row r="53" customFormat="false" ht="15" hidden="false" customHeight="false" outlineLevel="0" collapsed="false">
      <c r="A53" s="20" t="s">
        <v>1064</v>
      </c>
      <c r="B53" s="20" t="s">
        <v>55</v>
      </c>
      <c r="C53" s="20" t="s">
        <v>1049</v>
      </c>
      <c r="D53" s="19" t="s">
        <v>144</v>
      </c>
      <c r="E53" s="22" t="s">
        <v>145</v>
      </c>
      <c r="F53" s="74" t="s">
        <v>78</v>
      </c>
      <c r="G53" s="74" t="s">
        <v>943</v>
      </c>
      <c r="H53" s="75" t="n">
        <v>25</v>
      </c>
      <c r="I53" s="21"/>
      <c r="J53" s="52"/>
      <c r="K53" s="19" t="s">
        <v>146</v>
      </c>
      <c r="L53" s="20"/>
      <c r="M53" s="20" t="s">
        <v>1065</v>
      </c>
      <c r="N53" s="22" t="s">
        <v>145</v>
      </c>
      <c r="O53" s="20" t="s">
        <v>1066</v>
      </c>
      <c r="P53" s="20" t="s">
        <v>93</v>
      </c>
      <c r="Q53" s="20" t="s">
        <v>1016</v>
      </c>
      <c r="R53" s="76"/>
      <c r="S53" s="0" t="n">
        <f aca="false">IF(Recherche!$B$4="",0,IF(ISNUMBER(SEARCH(Recherche!$B$4,D53))+ISNUMBER(SEARCH(Recherche!$B$4,K53))&gt;0,1,0))</f>
        <v>0</v>
      </c>
      <c r="T53" s="0" t="str">
        <f aca="false">IF(S53=1,SUM($S$2:S53),"")</f>
        <v/>
      </c>
    </row>
    <row r="54" customFormat="false" ht="15" hidden="false" customHeight="false" outlineLevel="0" collapsed="false">
      <c r="A54" s="24" t="s">
        <v>1064</v>
      </c>
      <c r="B54" s="24" t="s">
        <v>55</v>
      </c>
      <c r="C54" s="24" t="s">
        <v>1049</v>
      </c>
      <c r="D54" s="23" t="s">
        <v>144</v>
      </c>
      <c r="E54" s="26" t="s">
        <v>145</v>
      </c>
      <c r="F54" s="74" t="s">
        <v>81</v>
      </c>
      <c r="G54" s="74" t="s">
        <v>979</v>
      </c>
      <c r="H54" s="75" t="n">
        <v>30.3</v>
      </c>
      <c r="I54" s="25" t="n">
        <v>30.3</v>
      </c>
      <c r="J54" s="58"/>
      <c r="K54" s="23" t="s">
        <v>1067</v>
      </c>
      <c r="L54" s="24" t="s">
        <v>1054</v>
      </c>
      <c r="M54" s="24" t="s">
        <v>1068</v>
      </c>
      <c r="N54" s="26" t="s">
        <v>145</v>
      </c>
      <c r="O54" s="24" t="s">
        <v>1066</v>
      </c>
      <c r="P54" s="24" t="s">
        <v>119</v>
      </c>
      <c r="Q54" s="24" t="s">
        <v>1007</v>
      </c>
      <c r="R54" s="73" t="s">
        <v>95</v>
      </c>
      <c r="S54" s="0" t="n">
        <f aca="false">IF(Recherche!$B$4="",0,IF(ISNUMBER(SEARCH(Recherche!$B$4,D54))+ISNUMBER(SEARCH(Recherche!$B$4,K54))&gt;0,1,0))</f>
        <v>0</v>
      </c>
      <c r="T54" s="0" t="str">
        <f aca="false">IF(S54=1,SUM($S$2:S54),"")</f>
        <v/>
      </c>
    </row>
    <row r="55" customFormat="false" ht="15" hidden="false" customHeight="false" outlineLevel="0" collapsed="false">
      <c r="A55" s="20" t="s">
        <v>1069</v>
      </c>
      <c r="B55" s="20" t="s">
        <v>55</v>
      </c>
      <c r="C55" s="20" t="s">
        <v>1049</v>
      </c>
      <c r="D55" s="19" t="s">
        <v>147</v>
      </c>
      <c r="E55" s="22" t="s">
        <v>145</v>
      </c>
      <c r="F55" s="74" t="s">
        <v>78</v>
      </c>
      <c r="G55" s="74" t="s">
        <v>943</v>
      </c>
      <c r="H55" s="75" t="n">
        <v>42</v>
      </c>
      <c r="I55" s="21"/>
      <c r="J55" s="52"/>
      <c r="K55" s="19" t="s">
        <v>148</v>
      </c>
      <c r="L55" s="20"/>
      <c r="M55" s="20" t="s">
        <v>1070</v>
      </c>
      <c r="N55" s="22" t="s">
        <v>145</v>
      </c>
      <c r="O55" s="20" t="s">
        <v>1066</v>
      </c>
      <c r="P55" s="20" t="s">
        <v>93</v>
      </c>
      <c r="Q55" s="20" t="s">
        <v>946</v>
      </c>
      <c r="R55" s="76" t="s">
        <v>95</v>
      </c>
      <c r="S55" s="0" t="n">
        <f aca="false">IF(Recherche!$B$4="",0,IF(ISNUMBER(SEARCH(Recherche!$B$4,D55))+ISNUMBER(SEARCH(Recherche!$B$4,K55))&gt;0,1,0))</f>
        <v>0</v>
      </c>
      <c r="T55" s="0" t="str">
        <f aca="false">IF(S55=1,SUM($S$2:S55),"")</f>
        <v/>
      </c>
    </row>
    <row r="56" customFormat="false" ht="23.85" hidden="false" customHeight="false" outlineLevel="0" collapsed="false">
      <c r="A56" s="24" t="s">
        <v>1069</v>
      </c>
      <c r="B56" s="24" t="s">
        <v>55</v>
      </c>
      <c r="C56" s="24" t="s">
        <v>1049</v>
      </c>
      <c r="D56" s="23" t="s">
        <v>147</v>
      </c>
      <c r="E56" s="26" t="s">
        <v>145</v>
      </c>
      <c r="F56" s="74" t="s">
        <v>81</v>
      </c>
      <c r="G56" s="74" t="s">
        <v>979</v>
      </c>
      <c r="H56" s="75" t="n">
        <v>46.11</v>
      </c>
      <c r="I56" s="25" t="n">
        <v>46.1</v>
      </c>
      <c r="J56" s="58"/>
      <c r="K56" s="23" t="s">
        <v>1071</v>
      </c>
      <c r="L56" s="24" t="s">
        <v>1072</v>
      </c>
      <c r="M56" s="24" t="s">
        <v>1073</v>
      </c>
      <c r="N56" s="26" t="s">
        <v>145</v>
      </c>
      <c r="O56" s="24" t="s">
        <v>1066</v>
      </c>
      <c r="P56" s="24" t="s">
        <v>169</v>
      </c>
      <c r="Q56" s="24" t="s">
        <v>1007</v>
      </c>
      <c r="R56" s="73" t="s">
        <v>95</v>
      </c>
      <c r="S56" s="0" t="n">
        <f aca="false">IF(Recherche!$B$4="",0,IF(ISNUMBER(SEARCH(Recherche!$B$4,D56))+ISNUMBER(SEARCH(Recherche!$B$4,K56))&gt;0,1,0))</f>
        <v>0</v>
      </c>
      <c r="T56" s="0" t="str">
        <f aca="false">IF(S56=1,SUM($S$2:S56),"")</f>
        <v/>
      </c>
    </row>
    <row r="57" customFormat="false" ht="15" hidden="false" customHeight="false" outlineLevel="0" collapsed="false">
      <c r="A57" s="20" t="s">
        <v>1074</v>
      </c>
      <c r="B57" s="20" t="s">
        <v>55</v>
      </c>
      <c r="C57" s="20" t="s">
        <v>1049</v>
      </c>
      <c r="D57" s="19" t="s">
        <v>149</v>
      </c>
      <c r="E57" s="22" t="s">
        <v>137</v>
      </c>
      <c r="F57" s="74" t="s">
        <v>78</v>
      </c>
      <c r="G57" s="74" t="s">
        <v>943</v>
      </c>
      <c r="H57" s="75" t="n">
        <v>1.53</v>
      </c>
      <c r="I57" s="21"/>
      <c r="J57" s="52"/>
      <c r="K57" s="19" t="s">
        <v>150</v>
      </c>
      <c r="L57" s="20"/>
      <c r="M57" s="20" t="s">
        <v>1075</v>
      </c>
      <c r="N57" s="22" t="s">
        <v>137</v>
      </c>
      <c r="O57" s="20" t="s">
        <v>1066</v>
      </c>
      <c r="P57" s="20" t="s">
        <v>93</v>
      </c>
      <c r="Q57" s="20" t="s">
        <v>946</v>
      </c>
      <c r="R57" s="76" t="s">
        <v>95</v>
      </c>
      <c r="S57" s="0" t="n">
        <f aca="false">IF(Recherche!$B$4="",0,IF(ISNUMBER(SEARCH(Recherche!$B$4,D57))+ISNUMBER(SEARCH(Recherche!$B$4,K57))&gt;0,1,0))</f>
        <v>0</v>
      </c>
      <c r="T57" s="0" t="str">
        <f aca="false">IF(S57=1,SUM($S$2:S57),"")</f>
        <v/>
      </c>
    </row>
    <row r="58" customFormat="false" ht="15" hidden="false" customHeight="false" outlineLevel="0" collapsed="false">
      <c r="A58" s="24" t="s">
        <v>1076</v>
      </c>
      <c r="B58" s="24" t="s">
        <v>55</v>
      </c>
      <c r="C58" s="24" t="s">
        <v>1049</v>
      </c>
      <c r="D58" s="23" t="s">
        <v>151</v>
      </c>
      <c r="E58" s="26" t="s">
        <v>137</v>
      </c>
      <c r="F58" s="74" t="s">
        <v>77</v>
      </c>
      <c r="G58" s="74" t="s">
        <v>979</v>
      </c>
      <c r="H58" s="75" t="n">
        <v>3.98</v>
      </c>
      <c r="I58" s="25" t="n">
        <v>5.17</v>
      </c>
      <c r="J58" s="58" t="n">
        <v>23</v>
      </c>
      <c r="K58" s="23" t="s">
        <v>152</v>
      </c>
      <c r="L58" s="24" t="s">
        <v>1077</v>
      </c>
      <c r="M58" s="24" t="s">
        <v>1078</v>
      </c>
      <c r="N58" s="26" t="s">
        <v>137</v>
      </c>
      <c r="O58" s="24" t="s">
        <v>1079</v>
      </c>
      <c r="P58" s="24" t="s">
        <v>114</v>
      </c>
      <c r="Q58" s="24" t="s">
        <v>983</v>
      </c>
      <c r="R58" s="73"/>
      <c r="S58" s="0" t="n">
        <f aca="false">IF(Recherche!$B$4="",0,IF(ISNUMBER(SEARCH(Recherche!$B$4,D58))+ISNUMBER(SEARCH(Recherche!$B$4,K58))&gt;0,1,0))</f>
        <v>0</v>
      </c>
      <c r="T58" s="0" t="str">
        <f aca="false">IF(S58=1,SUM($S$2:S58),"")</f>
        <v/>
      </c>
    </row>
    <row r="59" customFormat="false" ht="23.85" hidden="false" customHeight="false" outlineLevel="0" collapsed="false">
      <c r="A59" s="20" t="s">
        <v>1080</v>
      </c>
      <c r="B59" s="20" t="s">
        <v>55</v>
      </c>
      <c r="C59" s="20" t="s">
        <v>1081</v>
      </c>
      <c r="D59" s="19" t="s">
        <v>153</v>
      </c>
      <c r="E59" s="22" t="s">
        <v>145</v>
      </c>
      <c r="F59" s="74" t="s">
        <v>78</v>
      </c>
      <c r="G59" s="74" t="s">
        <v>943</v>
      </c>
      <c r="H59" s="75" t="n">
        <v>47</v>
      </c>
      <c r="I59" s="21"/>
      <c r="J59" s="52"/>
      <c r="K59" s="19" t="s">
        <v>154</v>
      </c>
      <c r="L59" s="20"/>
      <c r="M59" s="20" t="s">
        <v>1082</v>
      </c>
      <c r="N59" s="22" t="s">
        <v>145</v>
      </c>
      <c r="O59" s="20" t="s">
        <v>1066</v>
      </c>
      <c r="P59" s="20" t="s">
        <v>93</v>
      </c>
      <c r="Q59" s="20" t="s">
        <v>946</v>
      </c>
      <c r="R59" s="76" t="s">
        <v>95</v>
      </c>
      <c r="S59" s="0" t="n">
        <f aca="false">IF(Recherche!$B$4="",0,IF(ISNUMBER(SEARCH(Recherche!$B$4,D59))+ISNUMBER(SEARCH(Recherche!$B$4,K59))&gt;0,1,0))</f>
        <v>0</v>
      </c>
      <c r="T59" s="0" t="str">
        <f aca="false">IF(S59=1,SUM($S$2:S59),"")</f>
        <v/>
      </c>
    </row>
    <row r="60" customFormat="false" ht="23.85" hidden="false" customHeight="false" outlineLevel="0" collapsed="false">
      <c r="A60" s="24" t="s">
        <v>1080</v>
      </c>
      <c r="B60" s="24" t="s">
        <v>55</v>
      </c>
      <c r="C60" s="24" t="s">
        <v>1081</v>
      </c>
      <c r="D60" s="23" t="s">
        <v>153</v>
      </c>
      <c r="E60" s="26" t="s">
        <v>145</v>
      </c>
      <c r="F60" s="24" t="s">
        <v>80</v>
      </c>
      <c r="G60" s="24" t="s">
        <v>939</v>
      </c>
      <c r="H60" s="25" t="n">
        <v>59.3</v>
      </c>
      <c r="I60" s="25"/>
      <c r="J60" s="58"/>
      <c r="K60" s="23" t="s">
        <v>1083</v>
      </c>
      <c r="L60" s="24"/>
      <c r="M60" s="24" t="s">
        <v>1084</v>
      </c>
      <c r="N60" s="26" t="s">
        <v>145</v>
      </c>
      <c r="O60" s="24" t="s">
        <v>1066</v>
      </c>
      <c r="P60" s="24" t="s">
        <v>303</v>
      </c>
      <c r="Q60" s="24" t="s">
        <v>1085</v>
      </c>
      <c r="R60" s="73" t="s">
        <v>95</v>
      </c>
      <c r="S60" s="0" t="n">
        <f aca="false">IF(Recherche!$B$4="",0,IF(ISNUMBER(SEARCH(Recherche!$B$4,D60))+ISNUMBER(SEARCH(Recherche!$B$4,K60))&gt;0,1,0))</f>
        <v>0</v>
      </c>
      <c r="T60" s="0" t="str">
        <f aca="false">IF(S60=1,SUM($S$2:S60),"")</f>
        <v/>
      </c>
    </row>
    <row r="61" customFormat="false" ht="23.85" hidden="false" customHeight="false" outlineLevel="0" collapsed="false">
      <c r="A61" s="20" t="s">
        <v>1086</v>
      </c>
      <c r="B61" s="20" t="s">
        <v>55</v>
      </c>
      <c r="C61" s="20" t="s">
        <v>1081</v>
      </c>
      <c r="D61" s="19" t="s">
        <v>155</v>
      </c>
      <c r="E61" s="22" t="s">
        <v>145</v>
      </c>
      <c r="F61" s="74" t="s">
        <v>78</v>
      </c>
      <c r="G61" s="74" t="s">
        <v>943</v>
      </c>
      <c r="H61" s="75" t="n">
        <v>0.82</v>
      </c>
      <c r="I61" s="21"/>
      <c r="J61" s="52"/>
      <c r="K61" s="19" t="s">
        <v>1087</v>
      </c>
      <c r="L61" s="20"/>
      <c r="M61" s="20" t="s">
        <v>1088</v>
      </c>
      <c r="N61" s="22"/>
      <c r="O61" s="20"/>
      <c r="P61" s="20" t="s">
        <v>93</v>
      </c>
      <c r="Q61" s="20" t="s">
        <v>946</v>
      </c>
      <c r="R61" s="76" t="s">
        <v>95</v>
      </c>
      <c r="S61" s="0" t="n">
        <f aca="false">IF(Recherche!$B$4="",0,IF(ISNUMBER(SEARCH(Recherche!$B$4,D61))+ISNUMBER(SEARCH(Recherche!$B$4,K61))&gt;0,1,0))</f>
        <v>0</v>
      </c>
      <c r="T61" s="0" t="str">
        <f aca="false">IF(S61=1,SUM($S$2:S61),"")</f>
        <v/>
      </c>
    </row>
    <row r="62" customFormat="false" ht="23.85" hidden="false" customHeight="false" outlineLevel="0" collapsed="false">
      <c r="A62" s="24" t="s">
        <v>1086</v>
      </c>
      <c r="B62" s="24" t="s">
        <v>55</v>
      </c>
      <c r="C62" s="24" t="s">
        <v>1081</v>
      </c>
      <c r="D62" s="23" t="s">
        <v>155</v>
      </c>
      <c r="E62" s="26" t="s">
        <v>145</v>
      </c>
      <c r="F62" s="24" t="s">
        <v>76</v>
      </c>
      <c r="G62" s="24" t="s">
        <v>939</v>
      </c>
      <c r="H62" s="25" t="n">
        <v>63.11</v>
      </c>
      <c r="I62" s="25"/>
      <c r="J62" s="58"/>
      <c r="K62" s="23" t="s">
        <v>156</v>
      </c>
      <c r="L62" s="24" t="s">
        <v>940</v>
      </c>
      <c r="M62" s="24" t="s">
        <v>1089</v>
      </c>
      <c r="N62" s="26" t="s">
        <v>145</v>
      </c>
      <c r="O62" s="24" t="s">
        <v>1066</v>
      </c>
      <c r="P62" s="24" t="s">
        <v>93</v>
      </c>
      <c r="Q62" s="24" t="s">
        <v>963</v>
      </c>
      <c r="R62" s="73" t="s">
        <v>95</v>
      </c>
      <c r="S62" s="0" t="n">
        <f aca="false">IF(Recherche!$B$4="",0,IF(ISNUMBER(SEARCH(Recherche!$B$4,D62))+ISNUMBER(SEARCH(Recherche!$B$4,K62))&gt;0,1,0))</f>
        <v>0</v>
      </c>
      <c r="T62" s="0" t="str">
        <f aca="false">IF(S62=1,SUM($S$2:S62),"")</f>
        <v/>
      </c>
    </row>
    <row r="63" customFormat="false" ht="15" hidden="false" customHeight="false" outlineLevel="0" collapsed="false">
      <c r="A63" s="20" t="s">
        <v>1090</v>
      </c>
      <c r="B63" s="20" t="s">
        <v>55</v>
      </c>
      <c r="C63" s="20" t="s">
        <v>1081</v>
      </c>
      <c r="D63" s="19" t="s">
        <v>157</v>
      </c>
      <c r="E63" s="22" t="s">
        <v>137</v>
      </c>
      <c r="F63" s="20" t="s">
        <v>76</v>
      </c>
      <c r="G63" s="20" t="s">
        <v>939</v>
      </c>
      <c r="H63" s="21" t="n">
        <v>1.86</v>
      </c>
      <c r="I63" s="21"/>
      <c r="J63" s="52"/>
      <c r="K63" s="19" t="s">
        <v>158</v>
      </c>
      <c r="L63" s="20" t="s">
        <v>940</v>
      </c>
      <c r="M63" s="20" t="s">
        <v>1091</v>
      </c>
      <c r="N63" s="22" t="s">
        <v>137</v>
      </c>
      <c r="O63" s="20"/>
      <c r="P63" s="20" t="s">
        <v>93</v>
      </c>
      <c r="Q63" s="20" t="s">
        <v>1052</v>
      </c>
      <c r="R63" s="76" t="s">
        <v>95</v>
      </c>
      <c r="S63" s="0" t="n">
        <f aca="false">IF(Recherche!$B$4="",0,IF(ISNUMBER(SEARCH(Recherche!$B$4,D63))+ISNUMBER(SEARCH(Recherche!$B$4,K63))&gt;0,1,0))</f>
        <v>0</v>
      </c>
      <c r="T63" s="0" t="str">
        <f aca="false">IF(S63=1,SUM($S$2:S63),"")</f>
        <v/>
      </c>
    </row>
    <row r="64" customFormat="false" ht="15" hidden="false" customHeight="false" outlineLevel="0" collapsed="false">
      <c r="A64" s="24" t="s">
        <v>1092</v>
      </c>
      <c r="B64" s="24" t="s">
        <v>55</v>
      </c>
      <c r="C64" s="24" t="s">
        <v>1081</v>
      </c>
      <c r="D64" s="23" t="s">
        <v>159</v>
      </c>
      <c r="E64" s="26" t="s">
        <v>137</v>
      </c>
      <c r="F64" s="74" t="s">
        <v>78</v>
      </c>
      <c r="G64" s="74" t="s">
        <v>943</v>
      </c>
      <c r="H64" s="75" t="n">
        <v>16.02</v>
      </c>
      <c r="I64" s="25"/>
      <c r="J64" s="58"/>
      <c r="K64" s="23" t="s">
        <v>1093</v>
      </c>
      <c r="L64" s="24"/>
      <c r="M64" s="24" t="s">
        <v>1094</v>
      </c>
      <c r="N64" s="26"/>
      <c r="O64" s="24"/>
      <c r="P64" s="24" t="s">
        <v>93</v>
      </c>
      <c r="Q64" s="24" t="s">
        <v>946</v>
      </c>
      <c r="R64" s="73" t="s">
        <v>95</v>
      </c>
      <c r="S64" s="0" t="n">
        <f aca="false">IF(Recherche!$B$4="",0,IF(ISNUMBER(SEARCH(Recherche!$B$4,D64))+ISNUMBER(SEARCH(Recherche!$B$4,K64))&gt;0,1,0))</f>
        <v>0</v>
      </c>
      <c r="T64" s="0" t="str">
        <f aca="false">IF(S64=1,SUM($S$2:S64),"")</f>
        <v/>
      </c>
    </row>
    <row r="65" customFormat="false" ht="23.85" hidden="false" customHeight="false" outlineLevel="0" collapsed="false">
      <c r="A65" s="20" t="s">
        <v>1092</v>
      </c>
      <c r="B65" s="20" t="s">
        <v>55</v>
      </c>
      <c r="C65" s="20" t="s">
        <v>1081</v>
      </c>
      <c r="D65" s="19" t="s">
        <v>159</v>
      </c>
      <c r="E65" s="22" t="s">
        <v>137</v>
      </c>
      <c r="F65" s="20" t="s">
        <v>76</v>
      </c>
      <c r="G65" s="20" t="s">
        <v>939</v>
      </c>
      <c r="H65" s="21" t="n">
        <v>22.11</v>
      </c>
      <c r="I65" s="21"/>
      <c r="J65" s="52"/>
      <c r="K65" s="19" t="s">
        <v>160</v>
      </c>
      <c r="L65" s="20" t="s">
        <v>1095</v>
      </c>
      <c r="M65" s="20" t="s">
        <v>1096</v>
      </c>
      <c r="N65" s="22" t="s">
        <v>137</v>
      </c>
      <c r="O65" s="20"/>
      <c r="P65" s="20" t="s">
        <v>93</v>
      </c>
      <c r="Q65" s="20" t="s">
        <v>1052</v>
      </c>
      <c r="R65" s="76" t="s">
        <v>95</v>
      </c>
      <c r="S65" s="0" t="n">
        <f aca="false">IF(Recherche!$B$4="",0,IF(ISNUMBER(SEARCH(Recherche!$B$4,D65))+ISNUMBER(SEARCH(Recherche!$B$4,K65))&gt;0,1,0))</f>
        <v>0</v>
      </c>
      <c r="T65" s="0" t="str">
        <f aca="false">IF(S65=1,SUM($S$2:S65),"")</f>
        <v/>
      </c>
    </row>
    <row r="66" customFormat="false" ht="23.85" hidden="false" customHeight="false" outlineLevel="0" collapsed="false">
      <c r="A66" s="24" t="s">
        <v>1097</v>
      </c>
      <c r="B66" s="24" t="s">
        <v>55</v>
      </c>
      <c r="C66" s="24" t="s">
        <v>1081</v>
      </c>
      <c r="D66" s="23" t="s">
        <v>161</v>
      </c>
      <c r="E66" s="26" t="s">
        <v>137</v>
      </c>
      <c r="F66" s="24" t="s">
        <v>76</v>
      </c>
      <c r="G66" s="24" t="s">
        <v>939</v>
      </c>
      <c r="H66" s="25" t="n">
        <v>22.11</v>
      </c>
      <c r="I66" s="25"/>
      <c r="J66" s="58"/>
      <c r="K66" s="23" t="s">
        <v>160</v>
      </c>
      <c r="L66" s="24" t="s">
        <v>1095</v>
      </c>
      <c r="M66" s="24" t="s">
        <v>1096</v>
      </c>
      <c r="N66" s="26" t="s">
        <v>137</v>
      </c>
      <c r="O66" s="24"/>
      <c r="P66" s="24" t="s">
        <v>93</v>
      </c>
      <c r="Q66" s="24" t="s">
        <v>1052</v>
      </c>
      <c r="R66" s="73" t="s">
        <v>95</v>
      </c>
      <c r="S66" s="0" t="n">
        <f aca="false">IF(Recherche!$B$4="",0,IF(ISNUMBER(SEARCH(Recherche!$B$4,D66))+ISNUMBER(SEARCH(Recherche!$B$4,K66))&gt;0,1,0))</f>
        <v>0</v>
      </c>
      <c r="T66" s="0" t="str">
        <f aca="false">IF(S66=1,SUM($S$2:S66),"")</f>
        <v/>
      </c>
    </row>
    <row r="67" customFormat="false" ht="23.85" hidden="false" customHeight="false" outlineLevel="0" collapsed="false">
      <c r="A67" s="20" t="s">
        <v>1098</v>
      </c>
      <c r="B67" s="20" t="s">
        <v>55</v>
      </c>
      <c r="C67" s="20" t="s">
        <v>1081</v>
      </c>
      <c r="D67" s="19" t="s">
        <v>162</v>
      </c>
      <c r="E67" s="22" t="s">
        <v>137</v>
      </c>
      <c r="F67" s="74" t="s">
        <v>81</v>
      </c>
      <c r="G67" s="74" t="s">
        <v>979</v>
      </c>
      <c r="H67" s="75" t="n">
        <v>2.37</v>
      </c>
      <c r="I67" s="21" t="n">
        <v>2.46</v>
      </c>
      <c r="J67" s="52" t="n">
        <v>3.7</v>
      </c>
      <c r="K67" s="19" t="s">
        <v>163</v>
      </c>
      <c r="L67" s="20" t="s">
        <v>969</v>
      </c>
      <c r="M67" s="20" t="s">
        <v>1099</v>
      </c>
      <c r="N67" s="22" t="s">
        <v>137</v>
      </c>
      <c r="O67" s="20" t="s">
        <v>1100</v>
      </c>
      <c r="P67" s="20" t="s">
        <v>119</v>
      </c>
      <c r="Q67" s="20" t="s">
        <v>1007</v>
      </c>
      <c r="R67" s="76" t="s">
        <v>95</v>
      </c>
      <c r="S67" s="0" t="n">
        <f aca="false">IF(Recherche!$B$4="",0,IF(ISNUMBER(SEARCH(Recherche!$B$4,D67))+ISNUMBER(SEARCH(Recherche!$B$4,K67))&gt;0,1,0))</f>
        <v>0</v>
      </c>
      <c r="T67" s="0" t="str">
        <f aca="false">IF(S67=1,SUM($S$2:S67),"")</f>
        <v/>
      </c>
    </row>
    <row r="68" customFormat="false" ht="15" hidden="false" customHeight="false" outlineLevel="0" collapsed="false">
      <c r="A68" s="24" t="s">
        <v>1101</v>
      </c>
      <c r="B68" s="24" t="s">
        <v>55</v>
      </c>
      <c r="C68" s="24" t="s">
        <v>1081</v>
      </c>
      <c r="D68" s="23" t="s">
        <v>164</v>
      </c>
      <c r="E68" s="26" t="s">
        <v>137</v>
      </c>
      <c r="F68" s="24" t="s">
        <v>76</v>
      </c>
      <c r="G68" s="24" t="s">
        <v>939</v>
      </c>
      <c r="H68" s="25" t="n">
        <v>24.86</v>
      </c>
      <c r="I68" s="25"/>
      <c r="J68" s="58"/>
      <c r="K68" s="23" t="s">
        <v>165</v>
      </c>
      <c r="L68" s="24" t="s">
        <v>1102</v>
      </c>
      <c r="M68" s="24" t="s">
        <v>1103</v>
      </c>
      <c r="N68" s="26" t="s">
        <v>137</v>
      </c>
      <c r="O68" s="24"/>
      <c r="P68" s="24" t="s">
        <v>93</v>
      </c>
      <c r="Q68" s="24" t="s">
        <v>963</v>
      </c>
      <c r="R68" s="73" t="s">
        <v>95</v>
      </c>
      <c r="S68" s="0" t="n">
        <f aca="false">IF(Recherche!$B$4="",0,IF(ISNUMBER(SEARCH(Recherche!$B$4,D68))+ISNUMBER(SEARCH(Recherche!$B$4,K68))&gt;0,1,0))</f>
        <v>0</v>
      </c>
      <c r="T68" s="0" t="str">
        <f aca="false">IF(S68=1,SUM($S$2:S68),"")</f>
        <v/>
      </c>
    </row>
    <row r="69" customFormat="false" ht="23.85" hidden="false" customHeight="false" outlineLevel="0" collapsed="false">
      <c r="A69" s="20" t="s">
        <v>1104</v>
      </c>
      <c r="B69" s="20" t="s">
        <v>55</v>
      </c>
      <c r="C69" s="20" t="s">
        <v>1081</v>
      </c>
      <c r="D69" s="19" t="s">
        <v>166</v>
      </c>
      <c r="E69" s="22" t="s">
        <v>91</v>
      </c>
      <c r="F69" s="74" t="s">
        <v>78</v>
      </c>
      <c r="G69" s="74" t="s">
        <v>943</v>
      </c>
      <c r="H69" s="75" t="n">
        <v>0.39</v>
      </c>
      <c r="I69" s="21"/>
      <c r="J69" s="52"/>
      <c r="K69" s="19" t="s">
        <v>167</v>
      </c>
      <c r="L69" s="20"/>
      <c r="M69" s="20" t="s">
        <v>1105</v>
      </c>
      <c r="N69" s="22" t="s">
        <v>91</v>
      </c>
      <c r="O69" s="20" t="s">
        <v>1106</v>
      </c>
      <c r="P69" s="20" t="s">
        <v>93</v>
      </c>
      <c r="Q69" s="20" t="s">
        <v>1016</v>
      </c>
      <c r="R69" s="76"/>
      <c r="S69" s="0" t="n">
        <f aca="false">IF(Recherche!$B$4="",0,IF(ISNUMBER(SEARCH(Recherche!$B$4,D69))+ISNUMBER(SEARCH(Recherche!$B$4,K69))&gt;0,1,0))</f>
        <v>0</v>
      </c>
      <c r="T69" s="0" t="str">
        <f aca="false">IF(S69=1,SUM($S$2:S69),"")</f>
        <v/>
      </c>
    </row>
    <row r="70" customFormat="false" ht="23.85" hidden="false" customHeight="false" outlineLevel="0" collapsed="false">
      <c r="A70" s="24" t="s">
        <v>1107</v>
      </c>
      <c r="B70" s="24" t="s">
        <v>55</v>
      </c>
      <c r="C70" s="24" t="s">
        <v>1108</v>
      </c>
      <c r="D70" s="23" t="s">
        <v>168</v>
      </c>
      <c r="E70" s="26" t="s">
        <v>91</v>
      </c>
      <c r="F70" s="24" t="s">
        <v>80</v>
      </c>
      <c r="G70" s="24" t="s">
        <v>939</v>
      </c>
      <c r="H70" s="25" t="n">
        <v>3.57</v>
      </c>
      <c r="I70" s="25"/>
      <c r="J70" s="58"/>
      <c r="K70" s="23" t="s">
        <v>1109</v>
      </c>
      <c r="L70" s="24"/>
      <c r="M70" s="24" t="s">
        <v>1110</v>
      </c>
      <c r="N70" s="26" t="s">
        <v>91</v>
      </c>
      <c r="O70" s="24"/>
      <c r="P70" s="24" t="s">
        <v>303</v>
      </c>
      <c r="Q70" s="24" t="s">
        <v>963</v>
      </c>
      <c r="R70" s="73" t="s">
        <v>95</v>
      </c>
      <c r="S70" s="0" t="n">
        <f aca="false">IF(Recherche!$B$4="",0,IF(ISNUMBER(SEARCH(Recherche!$B$4,D70))+ISNUMBER(SEARCH(Recherche!$B$4,K70))&gt;0,1,0))</f>
        <v>0</v>
      </c>
      <c r="T70" s="0" t="str">
        <f aca="false">IF(S70=1,SUM($S$2:S70),"")</f>
        <v/>
      </c>
    </row>
    <row r="71" customFormat="false" ht="15" hidden="false" customHeight="false" outlineLevel="0" collapsed="false">
      <c r="A71" s="20" t="s">
        <v>1107</v>
      </c>
      <c r="B71" s="20" t="s">
        <v>55</v>
      </c>
      <c r="C71" s="20" t="s">
        <v>1108</v>
      </c>
      <c r="D71" s="19" t="s">
        <v>168</v>
      </c>
      <c r="E71" s="22" t="s">
        <v>91</v>
      </c>
      <c r="F71" s="74" t="s">
        <v>81</v>
      </c>
      <c r="G71" s="74" t="s">
        <v>979</v>
      </c>
      <c r="H71" s="75" t="n">
        <v>5.18</v>
      </c>
      <c r="I71" s="21" t="n">
        <v>5.44</v>
      </c>
      <c r="J71" s="52" t="n">
        <v>4.8</v>
      </c>
      <c r="K71" s="19" t="s">
        <v>170</v>
      </c>
      <c r="L71" s="20" t="s">
        <v>969</v>
      </c>
      <c r="M71" s="20" t="s">
        <v>1111</v>
      </c>
      <c r="N71" s="22" t="s">
        <v>91</v>
      </c>
      <c r="O71" s="20" t="s">
        <v>949</v>
      </c>
      <c r="P71" s="20" t="s">
        <v>169</v>
      </c>
      <c r="Q71" s="20" t="s">
        <v>1016</v>
      </c>
      <c r="R71" s="76" t="s">
        <v>95</v>
      </c>
      <c r="S71" s="0" t="n">
        <f aca="false">IF(Recherche!$B$4="",0,IF(ISNUMBER(SEARCH(Recherche!$B$4,D71))+ISNUMBER(SEARCH(Recherche!$B$4,K71))&gt;0,1,0))</f>
        <v>0</v>
      </c>
      <c r="T71" s="0" t="str">
        <f aca="false">IF(S71=1,SUM($S$2:S71),"")</f>
        <v/>
      </c>
    </row>
    <row r="72" customFormat="false" ht="23.85" hidden="false" customHeight="false" outlineLevel="0" collapsed="false">
      <c r="A72" s="24" t="s">
        <v>1107</v>
      </c>
      <c r="B72" s="24" t="s">
        <v>55</v>
      </c>
      <c r="C72" s="24" t="s">
        <v>1108</v>
      </c>
      <c r="D72" s="23" t="s">
        <v>168</v>
      </c>
      <c r="E72" s="26" t="s">
        <v>91</v>
      </c>
      <c r="F72" s="24" t="s">
        <v>76</v>
      </c>
      <c r="G72" s="24" t="s">
        <v>939</v>
      </c>
      <c r="H72" s="25" t="n">
        <v>15.8</v>
      </c>
      <c r="I72" s="25"/>
      <c r="J72" s="58"/>
      <c r="K72" s="23" t="s">
        <v>1112</v>
      </c>
      <c r="L72" s="24" t="s">
        <v>969</v>
      </c>
      <c r="M72" s="24" t="s">
        <v>1113</v>
      </c>
      <c r="N72" s="26" t="s">
        <v>91</v>
      </c>
      <c r="O72" s="24"/>
      <c r="P72" s="24" t="s">
        <v>93</v>
      </c>
      <c r="Q72" s="24" t="s">
        <v>942</v>
      </c>
      <c r="R72" s="73" t="s">
        <v>95</v>
      </c>
      <c r="S72" s="0" t="n">
        <f aca="false">IF(Recherche!$B$4="",0,IF(ISNUMBER(SEARCH(Recherche!$B$4,D72))+ISNUMBER(SEARCH(Recherche!$B$4,K72))&gt;0,1,0))</f>
        <v>0</v>
      </c>
      <c r="T72" s="0" t="str">
        <f aca="false">IF(S72=1,SUM($S$2:S72),"")</f>
        <v/>
      </c>
    </row>
    <row r="73" customFormat="false" ht="23.85" hidden="false" customHeight="false" outlineLevel="0" collapsed="false">
      <c r="A73" s="20" t="s">
        <v>1107</v>
      </c>
      <c r="B73" s="20" t="s">
        <v>55</v>
      </c>
      <c r="C73" s="20" t="s">
        <v>1108</v>
      </c>
      <c r="D73" s="19" t="s">
        <v>168</v>
      </c>
      <c r="E73" s="22" t="s">
        <v>91</v>
      </c>
      <c r="F73" s="74" t="s">
        <v>77</v>
      </c>
      <c r="G73" s="74" t="s">
        <v>979</v>
      </c>
      <c r="H73" s="75" t="n">
        <v>28.88</v>
      </c>
      <c r="I73" s="21" t="n">
        <v>32.45</v>
      </c>
      <c r="J73" s="52" t="n">
        <v>11</v>
      </c>
      <c r="K73" s="19" t="s">
        <v>1114</v>
      </c>
      <c r="L73" s="20" t="s">
        <v>981</v>
      </c>
      <c r="M73" s="20" t="s">
        <v>1115</v>
      </c>
      <c r="N73" s="22" t="s">
        <v>91</v>
      </c>
      <c r="O73" s="20"/>
      <c r="P73" s="20" t="s">
        <v>114</v>
      </c>
      <c r="Q73" s="20" t="s">
        <v>983</v>
      </c>
      <c r="R73" s="76"/>
      <c r="S73" s="0" t="n">
        <f aca="false">IF(Recherche!$B$4="",0,IF(ISNUMBER(SEARCH(Recherche!$B$4,D73))+ISNUMBER(SEARCH(Recherche!$B$4,K73))&gt;0,1,0))</f>
        <v>0</v>
      </c>
      <c r="T73" s="0" t="str">
        <f aca="false">IF(S73=1,SUM($S$2:S73),"")</f>
        <v/>
      </c>
    </row>
    <row r="74" customFormat="false" ht="23.85" hidden="false" customHeight="false" outlineLevel="0" collapsed="false">
      <c r="A74" s="24" t="s">
        <v>1107</v>
      </c>
      <c r="B74" s="24" t="s">
        <v>55</v>
      </c>
      <c r="C74" s="24" t="s">
        <v>1108</v>
      </c>
      <c r="D74" s="23" t="s">
        <v>168</v>
      </c>
      <c r="E74" s="26" t="s">
        <v>91</v>
      </c>
      <c r="F74" s="74" t="s">
        <v>78</v>
      </c>
      <c r="G74" s="74" t="s">
        <v>943</v>
      </c>
      <c r="H74" s="75" t="n">
        <v>42.97</v>
      </c>
      <c r="I74" s="25"/>
      <c r="J74" s="58"/>
      <c r="K74" s="23" t="s">
        <v>1116</v>
      </c>
      <c r="L74" s="24"/>
      <c r="M74" s="24" t="s">
        <v>1117</v>
      </c>
      <c r="N74" s="26"/>
      <c r="O74" s="24"/>
      <c r="P74" s="24" t="s">
        <v>93</v>
      </c>
      <c r="Q74" s="24" t="s">
        <v>946</v>
      </c>
      <c r="R74" s="73" t="s">
        <v>95</v>
      </c>
      <c r="S74" s="0" t="n">
        <f aca="false">IF(Recherche!$B$4="",0,IF(ISNUMBER(SEARCH(Recherche!$B$4,D74))+ISNUMBER(SEARCH(Recherche!$B$4,K74))&gt;0,1,0))</f>
        <v>0</v>
      </c>
      <c r="T74" s="0" t="str">
        <f aca="false">IF(S74=1,SUM($S$2:S74),"")</f>
        <v/>
      </c>
    </row>
    <row r="75" customFormat="false" ht="23.85" hidden="false" customHeight="false" outlineLevel="0" collapsed="false">
      <c r="A75" s="20" t="s">
        <v>1118</v>
      </c>
      <c r="B75" s="20" t="s">
        <v>55</v>
      </c>
      <c r="C75" s="20" t="s">
        <v>1108</v>
      </c>
      <c r="D75" s="19" t="s">
        <v>171</v>
      </c>
      <c r="E75" s="22" t="s">
        <v>91</v>
      </c>
      <c r="F75" s="20" t="s">
        <v>76</v>
      </c>
      <c r="G75" s="20" t="s">
        <v>939</v>
      </c>
      <c r="H75" s="21" t="n">
        <v>11.2</v>
      </c>
      <c r="I75" s="21"/>
      <c r="J75" s="52"/>
      <c r="K75" s="19" t="s">
        <v>172</v>
      </c>
      <c r="L75" s="20" t="s">
        <v>969</v>
      </c>
      <c r="M75" s="20" t="s">
        <v>1119</v>
      </c>
      <c r="N75" s="22" t="s">
        <v>91</v>
      </c>
      <c r="O75" s="20"/>
      <c r="P75" s="20" t="s">
        <v>93</v>
      </c>
      <c r="Q75" s="20" t="s">
        <v>1052</v>
      </c>
      <c r="R75" s="76" t="s">
        <v>95</v>
      </c>
      <c r="S75" s="0" t="n">
        <f aca="false">IF(Recherche!$B$4="",0,IF(ISNUMBER(SEARCH(Recherche!$B$4,D75))+ISNUMBER(SEARCH(Recherche!$B$4,K75))&gt;0,1,0))</f>
        <v>0</v>
      </c>
      <c r="T75" s="0" t="str">
        <f aca="false">IF(S75=1,SUM($S$2:S75),"")</f>
        <v/>
      </c>
    </row>
    <row r="76" customFormat="false" ht="23.85" hidden="false" customHeight="false" outlineLevel="0" collapsed="false">
      <c r="A76" s="24" t="s">
        <v>1118</v>
      </c>
      <c r="B76" s="24" t="s">
        <v>55</v>
      </c>
      <c r="C76" s="24" t="s">
        <v>1108</v>
      </c>
      <c r="D76" s="23" t="s">
        <v>171</v>
      </c>
      <c r="E76" s="26" t="s">
        <v>91</v>
      </c>
      <c r="F76" s="74" t="s">
        <v>77</v>
      </c>
      <c r="G76" s="74" t="s">
        <v>979</v>
      </c>
      <c r="H76" s="75" t="n">
        <v>16.28</v>
      </c>
      <c r="I76" s="25" t="n">
        <v>20.87</v>
      </c>
      <c r="J76" s="58" t="n">
        <v>22</v>
      </c>
      <c r="K76" s="23" t="s">
        <v>1120</v>
      </c>
      <c r="L76" s="24" t="s">
        <v>1121</v>
      </c>
      <c r="M76" s="24" t="s">
        <v>1122</v>
      </c>
      <c r="N76" s="26" t="s">
        <v>91</v>
      </c>
      <c r="O76" s="24"/>
      <c r="P76" s="24" t="s">
        <v>114</v>
      </c>
      <c r="Q76" s="24" t="s">
        <v>983</v>
      </c>
      <c r="R76" s="73"/>
      <c r="S76" s="0" t="n">
        <f aca="false">IF(Recherche!$B$4="",0,IF(ISNUMBER(SEARCH(Recherche!$B$4,D76))+ISNUMBER(SEARCH(Recherche!$B$4,K76))&gt;0,1,0))</f>
        <v>0</v>
      </c>
      <c r="T76" s="0" t="str">
        <f aca="false">IF(S76=1,SUM($S$2:S76),"")</f>
        <v/>
      </c>
    </row>
    <row r="77" customFormat="false" ht="15" hidden="false" customHeight="false" outlineLevel="0" collapsed="false">
      <c r="A77" s="20" t="s">
        <v>1123</v>
      </c>
      <c r="B77" s="20" t="s">
        <v>55</v>
      </c>
      <c r="C77" s="20" t="s">
        <v>1108</v>
      </c>
      <c r="D77" s="19" t="s">
        <v>173</v>
      </c>
      <c r="E77" s="22" t="s">
        <v>91</v>
      </c>
      <c r="F77" s="20" t="s">
        <v>76</v>
      </c>
      <c r="G77" s="20" t="s">
        <v>939</v>
      </c>
      <c r="H77" s="21" t="n">
        <v>46.21</v>
      </c>
      <c r="I77" s="21"/>
      <c r="J77" s="52"/>
      <c r="K77" s="19" t="s">
        <v>174</v>
      </c>
      <c r="L77" s="20" t="s">
        <v>969</v>
      </c>
      <c r="M77" s="20" t="s">
        <v>1124</v>
      </c>
      <c r="N77" s="22" t="s">
        <v>91</v>
      </c>
      <c r="O77" s="20"/>
      <c r="P77" s="20" t="s">
        <v>93</v>
      </c>
      <c r="Q77" s="20" t="s">
        <v>942</v>
      </c>
      <c r="R77" s="76" t="s">
        <v>95</v>
      </c>
      <c r="S77" s="0" t="n">
        <f aca="false">IF(Recherche!$B$4="",0,IF(ISNUMBER(SEARCH(Recherche!$B$4,D77))+ISNUMBER(SEARCH(Recherche!$B$4,K77))&gt;0,1,0))</f>
        <v>0</v>
      </c>
      <c r="T77" s="0" t="str">
        <f aca="false">IF(S77=1,SUM($S$2:S77),"")</f>
        <v/>
      </c>
    </row>
    <row r="78" customFormat="false" ht="23.85" hidden="false" customHeight="false" outlineLevel="0" collapsed="false">
      <c r="A78" s="24" t="s">
        <v>1125</v>
      </c>
      <c r="B78" s="24" t="s">
        <v>55</v>
      </c>
      <c r="C78" s="24" t="s">
        <v>1108</v>
      </c>
      <c r="D78" s="23" t="s">
        <v>175</v>
      </c>
      <c r="E78" s="26" t="s">
        <v>91</v>
      </c>
      <c r="F78" s="24" t="s">
        <v>80</v>
      </c>
      <c r="G78" s="24" t="s">
        <v>939</v>
      </c>
      <c r="H78" s="25" t="n">
        <v>3.82</v>
      </c>
      <c r="I78" s="25"/>
      <c r="J78" s="58"/>
      <c r="K78" s="23" t="s">
        <v>1126</v>
      </c>
      <c r="L78" s="24"/>
      <c r="M78" s="24" t="s">
        <v>1127</v>
      </c>
      <c r="N78" s="26" t="s">
        <v>91</v>
      </c>
      <c r="O78" s="24"/>
      <c r="P78" s="24" t="s">
        <v>303</v>
      </c>
      <c r="Q78" s="24" t="s">
        <v>942</v>
      </c>
      <c r="R78" s="73" t="s">
        <v>95</v>
      </c>
      <c r="S78" s="0" t="n">
        <f aca="false">IF(Recherche!$B$4="",0,IF(ISNUMBER(SEARCH(Recherche!$B$4,D78))+ISNUMBER(SEARCH(Recherche!$B$4,K78))&gt;0,1,0))</f>
        <v>0</v>
      </c>
      <c r="T78" s="0" t="str">
        <f aca="false">IF(S78=1,SUM($S$2:S78),"")</f>
        <v/>
      </c>
    </row>
    <row r="79" customFormat="false" ht="23.85" hidden="false" customHeight="false" outlineLevel="0" collapsed="false">
      <c r="A79" s="20" t="s">
        <v>1125</v>
      </c>
      <c r="B79" s="20" t="s">
        <v>55</v>
      </c>
      <c r="C79" s="20" t="s">
        <v>1108</v>
      </c>
      <c r="D79" s="19" t="s">
        <v>175</v>
      </c>
      <c r="E79" s="22" t="s">
        <v>91</v>
      </c>
      <c r="F79" s="20" t="s">
        <v>76</v>
      </c>
      <c r="G79" s="20" t="s">
        <v>939</v>
      </c>
      <c r="H79" s="21" t="n">
        <v>11.48</v>
      </c>
      <c r="I79" s="21"/>
      <c r="J79" s="52"/>
      <c r="K79" s="19" t="s">
        <v>176</v>
      </c>
      <c r="L79" s="20" t="s">
        <v>969</v>
      </c>
      <c r="M79" s="20" t="s">
        <v>1128</v>
      </c>
      <c r="N79" s="22" t="s">
        <v>91</v>
      </c>
      <c r="O79" s="20"/>
      <c r="P79" s="20" t="s">
        <v>93</v>
      </c>
      <c r="Q79" s="20" t="s">
        <v>942</v>
      </c>
      <c r="R79" s="76" t="s">
        <v>95</v>
      </c>
      <c r="S79" s="0" t="n">
        <f aca="false">IF(Recherche!$B$4="",0,IF(ISNUMBER(SEARCH(Recherche!$B$4,D79))+ISNUMBER(SEARCH(Recherche!$B$4,K79))&gt;0,1,0))</f>
        <v>0</v>
      </c>
      <c r="T79" s="0" t="str">
        <f aca="false">IF(S79=1,SUM($S$2:S79),"")</f>
        <v/>
      </c>
    </row>
    <row r="80" customFormat="false" ht="15" hidden="false" customHeight="false" outlineLevel="0" collapsed="false">
      <c r="A80" s="24" t="s">
        <v>1125</v>
      </c>
      <c r="B80" s="24" t="s">
        <v>55</v>
      </c>
      <c r="C80" s="24" t="s">
        <v>1108</v>
      </c>
      <c r="D80" s="23" t="s">
        <v>175</v>
      </c>
      <c r="E80" s="26" t="s">
        <v>91</v>
      </c>
      <c r="F80" s="74" t="s">
        <v>77</v>
      </c>
      <c r="G80" s="74" t="s">
        <v>979</v>
      </c>
      <c r="H80" s="75" t="n">
        <v>25.19</v>
      </c>
      <c r="I80" s="25" t="n">
        <v>28.3</v>
      </c>
      <c r="J80" s="58" t="n">
        <v>11</v>
      </c>
      <c r="K80" s="23" t="s">
        <v>1129</v>
      </c>
      <c r="L80" s="24" t="s">
        <v>981</v>
      </c>
      <c r="M80" s="24" t="s">
        <v>1130</v>
      </c>
      <c r="N80" s="26" t="s">
        <v>91</v>
      </c>
      <c r="O80" s="24"/>
      <c r="P80" s="24" t="s">
        <v>114</v>
      </c>
      <c r="Q80" s="24" t="s">
        <v>983</v>
      </c>
      <c r="R80" s="73"/>
      <c r="S80" s="0" t="n">
        <f aca="false">IF(Recherche!$B$4="",0,IF(ISNUMBER(SEARCH(Recherche!$B$4,D80))+ISNUMBER(SEARCH(Recherche!$B$4,K80))&gt;0,1,0))</f>
        <v>0</v>
      </c>
      <c r="T80" s="0" t="str">
        <f aca="false">IF(S80=1,SUM($S$2:S80),"")</f>
        <v/>
      </c>
    </row>
    <row r="81" customFormat="false" ht="15" hidden="false" customHeight="false" outlineLevel="0" collapsed="false">
      <c r="A81" s="20" t="s">
        <v>1131</v>
      </c>
      <c r="B81" s="20" t="s">
        <v>55</v>
      </c>
      <c r="C81" s="20" t="s">
        <v>1108</v>
      </c>
      <c r="D81" s="19" t="s">
        <v>177</v>
      </c>
      <c r="E81" s="22" t="s">
        <v>91</v>
      </c>
      <c r="F81" s="20" t="s">
        <v>80</v>
      </c>
      <c r="G81" s="20" t="s">
        <v>939</v>
      </c>
      <c r="H81" s="21" t="n">
        <v>3.97</v>
      </c>
      <c r="I81" s="21"/>
      <c r="J81" s="52"/>
      <c r="K81" s="19" t="s">
        <v>1132</v>
      </c>
      <c r="L81" s="20"/>
      <c r="M81" s="20" t="s">
        <v>1133</v>
      </c>
      <c r="N81" s="22" t="s">
        <v>91</v>
      </c>
      <c r="O81" s="20"/>
      <c r="P81" s="20" t="s">
        <v>303</v>
      </c>
      <c r="Q81" s="20" t="s">
        <v>963</v>
      </c>
      <c r="R81" s="76" t="s">
        <v>95</v>
      </c>
      <c r="S81" s="0" t="n">
        <f aca="false">IF(Recherche!$B$4="",0,IF(ISNUMBER(SEARCH(Recherche!$B$4,D81))+ISNUMBER(SEARCH(Recherche!$B$4,K81))&gt;0,1,0))</f>
        <v>0</v>
      </c>
      <c r="T81" s="0" t="str">
        <f aca="false">IF(S81=1,SUM($S$2:S81),"")</f>
        <v/>
      </c>
    </row>
    <row r="82" customFormat="false" ht="15" hidden="false" customHeight="false" outlineLevel="0" collapsed="false">
      <c r="A82" s="24" t="s">
        <v>1131</v>
      </c>
      <c r="B82" s="24" t="s">
        <v>55</v>
      </c>
      <c r="C82" s="24" t="s">
        <v>1108</v>
      </c>
      <c r="D82" s="23" t="s">
        <v>177</v>
      </c>
      <c r="E82" s="26" t="s">
        <v>91</v>
      </c>
      <c r="F82" s="74" t="s">
        <v>77</v>
      </c>
      <c r="G82" s="74" t="s">
        <v>979</v>
      </c>
      <c r="H82" s="75" t="n">
        <v>34.09</v>
      </c>
      <c r="I82" s="25" t="n">
        <v>38.3</v>
      </c>
      <c r="J82" s="58" t="n">
        <v>11</v>
      </c>
      <c r="K82" s="23" t="s">
        <v>178</v>
      </c>
      <c r="L82" s="24" t="s">
        <v>981</v>
      </c>
      <c r="M82" s="24" t="s">
        <v>1134</v>
      </c>
      <c r="N82" s="26" t="s">
        <v>91</v>
      </c>
      <c r="O82" s="24"/>
      <c r="P82" s="24" t="s">
        <v>114</v>
      </c>
      <c r="Q82" s="24" t="s">
        <v>983</v>
      </c>
      <c r="R82" s="73"/>
      <c r="S82" s="0" t="n">
        <f aca="false">IF(Recherche!$B$4="",0,IF(ISNUMBER(SEARCH(Recherche!$B$4,D82))+ISNUMBER(SEARCH(Recherche!$B$4,K82))&gt;0,1,0))</f>
        <v>0</v>
      </c>
      <c r="T82" s="0" t="str">
        <f aca="false">IF(S82=1,SUM($S$2:S82),"")</f>
        <v/>
      </c>
    </row>
    <row r="83" customFormat="false" ht="23.85" hidden="false" customHeight="false" outlineLevel="0" collapsed="false">
      <c r="A83" s="20" t="s">
        <v>1131</v>
      </c>
      <c r="B83" s="20" t="s">
        <v>55</v>
      </c>
      <c r="C83" s="20" t="s">
        <v>1108</v>
      </c>
      <c r="D83" s="19" t="s">
        <v>177</v>
      </c>
      <c r="E83" s="22" t="s">
        <v>91</v>
      </c>
      <c r="F83" s="20" t="s">
        <v>76</v>
      </c>
      <c r="G83" s="20" t="s">
        <v>939</v>
      </c>
      <c r="H83" s="21" t="n">
        <v>51.33</v>
      </c>
      <c r="I83" s="21"/>
      <c r="J83" s="52"/>
      <c r="K83" s="19" t="s">
        <v>1135</v>
      </c>
      <c r="L83" s="20" t="s">
        <v>1136</v>
      </c>
      <c r="M83" s="20" t="s">
        <v>1137</v>
      </c>
      <c r="N83" s="22" t="s">
        <v>91</v>
      </c>
      <c r="O83" s="20"/>
      <c r="P83" s="20" t="s">
        <v>93</v>
      </c>
      <c r="Q83" s="20" t="s">
        <v>942</v>
      </c>
      <c r="R83" s="76" t="s">
        <v>95</v>
      </c>
      <c r="S83" s="0" t="n">
        <f aca="false">IF(Recherche!$B$4="",0,IF(ISNUMBER(SEARCH(Recherche!$B$4,D83))+ISNUMBER(SEARCH(Recherche!$B$4,K83))&gt;0,1,0))</f>
        <v>0</v>
      </c>
      <c r="T83" s="0" t="str">
        <f aca="false">IF(S83=1,SUM($S$2:S83),"")</f>
        <v/>
      </c>
    </row>
    <row r="84" customFormat="false" ht="35.05" hidden="false" customHeight="false" outlineLevel="0" collapsed="false">
      <c r="A84" s="24" t="s">
        <v>1131</v>
      </c>
      <c r="B84" s="24" t="s">
        <v>55</v>
      </c>
      <c r="C84" s="24" t="s">
        <v>1108</v>
      </c>
      <c r="D84" s="23" t="s">
        <v>177</v>
      </c>
      <c r="E84" s="26" t="s">
        <v>91</v>
      </c>
      <c r="F84" s="74" t="s">
        <v>81</v>
      </c>
      <c r="G84" s="74" t="s">
        <v>979</v>
      </c>
      <c r="H84" s="75" t="n">
        <v>109.88</v>
      </c>
      <c r="I84" s="25" t="n">
        <v>137.35</v>
      </c>
      <c r="J84" s="58" t="n">
        <v>20</v>
      </c>
      <c r="K84" s="23" t="s">
        <v>1138</v>
      </c>
      <c r="L84" s="24" t="s">
        <v>1139</v>
      </c>
      <c r="M84" s="24" t="s">
        <v>1140</v>
      </c>
      <c r="N84" s="26" t="s">
        <v>91</v>
      </c>
      <c r="O84" s="24" t="s">
        <v>75</v>
      </c>
      <c r="P84" s="24" t="s">
        <v>169</v>
      </c>
      <c r="Q84" s="24" t="s">
        <v>1016</v>
      </c>
      <c r="R84" s="73" t="s">
        <v>95</v>
      </c>
      <c r="S84" s="0" t="n">
        <f aca="false">IF(Recherche!$B$4="",0,IF(ISNUMBER(SEARCH(Recherche!$B$4,D84))+ISNUMBER(SEARCH(Recherche!$B$4,K84))&gt;0,1,0))</f>
        <v>0</v>
      </c>
      <c r="T84" s="0" t="str">
        <f aca="false">IF(S84=1,SUM($S$2:S84),"")</f>
        <v/>
      </c>
    </row>
    <row r="85" customFormat="false" ht="23.85" hidden="false" customHeight="false" outlineLevel="0" collapsed="false">
      <c r="A85" s="20" t="s">
        <v>1141</v>
      </c>
      <c r="B85" s="20" t="s">
        <v>55</v>
      </c>
      <c r="C85" s="20" t="s">
        <v>1108</v>
      </c>
      <c r="D85" s="19" t="s">
        <v>179</v>
      </c>
      <c r="E85" s="22" t="s">
        <v>91</v>
      </c>
      <c r="F85" s="20" t="s">
        <v>80</v>
      </c>
      <c r="G85" s="20" t="s">
        <v>939</v>
      </c>
      <c r="H85" s="21" t="n">
        <v>51.23</v>
      </c>
      <c r="I85" s="21"/>
      <c r="J85" s="52"/>
      <c r="K85" s="19" t="s">
        <v>1142</v>
      </c>
      <c r="L85" s="20"/>
      <c r="M85" s="20" t="s">
        <v>1143</v>
      </c>
      <c r="N85" s="22" t="s">
        <v>91</v>
      </c>
      <c r="O85" s="20"/>
      <c r="P85" s="20" t="s">
        <v>303</v>
      </c>
      <c r="Q85" s="20" t="s">
        <v>963</v>
      </c>
      <c r="R85" s="76" t="s">
        <v>95</v>
      </c>
      <c r="S85" s="0" t="n">
        <f aca="false">IF(Recherche!$B$4="",0,IF(ISNUMBER(SEARCH(Recherche!$B$4,D85))+ISNUMBER(SEARCH(Recherche!$B$4,K85))&gt;0,1,0))</f>
        <v>0</v>
      </c>
      <c r="T85" s="0" t="str">
        <f aca="false">IF(S85=1,SUM($S$2:S85),"")</f>
        <v/>
      </c>
    </row>
    <row r="86" customFormat="false" ht="23.85" hidden="false" customHeight="false" outlineLevel="0" collapsed="false">
      <c r="A86" s="24" t="s">
        <v>1141</v>
      </c>
      <c r="B86" s="24" t="s">
        <v>55</v>
      </c>
      <c r="C86" s="24" t="s">
        <v>1108</v>
      </c>
      <c r="D86" s="23" t="s">
        <v>179</v>
      </c>
      <c r="E86" s="26" t="s">
        <v>91</v>
      </c>
      <c r="F86" s="24" t="s">
        <v>76</v>
      </c>
      <c r="G86" s="24" t="s">
        <v>939</v>
      </c>
      <c r="H86" s="25" t="n">
        <v>75</v>
      </c>
      <c r="I86" s="25"/>
      <c r="J86" s="58"/>
      <c r="K86" s="23" t="s">
        <v>180</v>
      </c>
      <c r="L86" s="24" t="s">
        <v>969</v>
      </c>
      <c r="M86" s="24" t="s">
        <v>1144</v>
      </c>
      <c r="N86" s="26" t="s">
        <v>91</v>
      </c>
      <c r="O86" s="24"/>
      <c r="P86" s="24" t="s">
        <v>93</v>
      </c>
      <c r="Q86" s="24" t="s">
        <v>963</v>
      </c>
      <c r="R86" s="73" t="s">
        <v>95</v>
      </c>
      <c r="S86" s="0" t="n">
        <f aca="false">IF(Recherche!$B$4="",0,IF(ISNUMBER(SEARCH(Recherche!$B$4,D86))+ISNUMBER(SEARCH(Recherche!$B$4,K86))&gt;0,1,0))</f>
        <v>0</v>
      </c>
      <c r="T86" s="0" t="str">
        <f aca="false">IF(S86=1,SUM($S$2:S86),"")</f>
        <v/>
      </c>
    </row>
    <row r="87" customFormat="false" ht="35.05" hidden="false" customHeight="false" outlineLevel="0" collapsed="false">
      <c r="A87" s="20" t="s">
        <v>1141</v>
      </c>
      <c r="B87" s="20" t="s">
        <v>55</v>
      </c>
      <c r="C87" s="20" t="s">
        <v>1108</v>
      </c>
      <c r="D87" s="19" t="s">
        <v>179</v>
      </c>
      <c r="E87" s="22" t="s">
        <v>91</v>
      </c>
      <c r="F87" s="74" t="s">
        <v>77</v>
      </c>
      <c r="G87" s="74" t="s">
        <v>979</v>
      </c>
      <c r="H87" s="75" t="n">
        <v>83.6</v>
      </c>
      <c r="I87" s="21" t="n">
        <v>83.6</v>
      </c>
      <c r="J87" s="52"/>
      <c r="K87" s="19" t="s">
        <v>1145</v>
      </c>
      <c r="L87" s="20" t="s">
        <v>1146</v>
      </c>
      <c r="M87" s="20" t="s">
        <v>1147</v>
      </c>
      <c r="N87" s="22" t="s">
        <v>91</v>
      </c>
      <c r="O87" s="20"/>
      <c r="P87" s="20" t="s">
        <v>114</v>
      </c>
      <c r="Q87" s="20" t="s">
        <v>983</v>
      </c>
      <c r="R87" s="76"/>
      <c r="S87" s="0" t="n">
        <f aca="false">IF(Recherche!$B$4="",0,IF(ISNUMBER(SEARCH(Recherche!$B$4,D87))+ISNUMBER(SEARCH(Recherche!$B$4,K87))&gt;0,1,0))</f>
        <v>0</v>
      </c>
      <c r="T87" s="0" t="str">
        <f aca="false">IF(S87=1,SUM($S$2:S87),"")</f>
        <v/>
      </c>
    </row>
    <row r="88" customFormat="false" ht="23.85" hidden="false" customHeight="false" outlineLevel="0" collapsed="false">
      <c r="A88" s="24" t="s">
        <v>1148</v>
      </c>
      <c r="B88" s="24" t="s">
        <v>55</v>
      </c>
      <c r="C88" s="24" t="s">
        <v>1108</v>
      </c>
      <c r="D88" s="23" t="s">
        <v>181</v>
      </c>
      <c r="E88" s="26" t="s">
        <v>91</v>
      </c>
      <c r="F88" s="24" t="s">
        <v>76</v>
      </c>
      <c r="G88" s="24" t="s">
        <v>939</v>
      </c>
      <c r="H88" s="25" t="n">
        <v>34.16</v>
      </c>
      <c r="I88" s="25"/>
      <c r="J88" s="58"/>
      <c r="K88" s="23" t="s">
        <v>182</v>
      </c>
      <c r="L88" s="24" t="s">
        <v>1018</v>
      </c>
      <c r="M88" s="24" t="s">
        <v>1149</v>
      </c>
      <c r="N88" s="26" t="s">
        <v>91</v>
      </c>
      <c r="O88" s="24"/>
      <c r="P88" s="24" t="s">
        <v>93</v>
      </c>
      <c r="Q88" s="24" t="s">
        <v>1085</v>
      </c>
      <c r="R88" s="73" t="s">
        <v>95</v>
      </c>
      <c r="S88" s="0" t="n">
        <f aca="false">IF(Recherche!$B$4="",0,IF(ISNUMBER(SEARCH(Recherche!$B$4,D88))+ISNUMBER(SEARCH(Recherche!$B$4,K88))&gt;0,1,0))</f>
        <v>0</v>
      </c>
      <c r="T88" s="0" t="str">
        <f aca="false">IF(S88=1,SUM($S$2:S88),"")</f>
        <v/>
      </c>
    </row>
    <row r="89" customFormat="false" ht="23.85" hidden="false" customHeight="false" outlineLevel="0" collapsed="false">
      <c r="A89" s="20" t="s">
        <v>1150</v>
      </c>
      <c r="B89" s="20" t="s">
        <v>55</v>
      </c>
      <c r="C89" s="20" t="s">
        <v>1108</v>
      </c>
      <c r="D89" s="19" t="s">
        <v>183</v>
      </c>
      <c r="E89" s="22" t="s">
        <v>91</v>
      </c>
      <c r="F89" s="20" t="s">
        <v>80</v>
      </c>
      <c r="G89" s="20" t="s">
        <v>939</v>
      </c>
      <c r="H89" s="21" t="n">
        <v>0.78</v>
      </c>
      <c r="I89" s="21"/>
      <c r="J89" s="52"/>
      <c r="K89" s="19" t="s">
        <v>1151</v>
      </c>
      <c r="L89" s="20"/>
      <c r="M89" s="20" t="s">
        <v>1152</v>
      </c>
      <c r="N89" s="22" t="s">
        <v>91</v>
      </c>
      <c r="O89" s="20"/>
      <c r="P89" s="20" t="s">
        <v>303</v>
      </c>
      <c r="Q89" s="20" t="s">
        <v>1085</v>
      </c>
      <c r="R89" s="76" t="s">
        <v>95</v>
      </c>
      <c r="S89" s="0" t="n">
        <f aca="false">IF(Recherche!$B$4="",0,IF(ISNUMBER(SEARCH(Recherche!$B$4,D89))+ISNUMBER(SEARCH(Recherche!$B$4,K89))&gt;0,1,0))</f>
        <v>0</v>
      </c>
      <c r="T89" s="0" t="str">
        <f aca="false">IF(S89=1,SUM($S$2:S89),"")</f>
        <v/>
      </c>
    </row>
    <row r="90" customFormat="false" ht="23.85" hidden="false" customHeight="false" outlineLevel="0" collapsed="false">
      <c r="A90" s="24" t="s">
        <v>1150</v>
      </c>
      <c r="B90" s="24" t="s">
        <v>55</v>
      </c>
      <c r="C90" s="24" t="s">
        <v>1108</v>
      </c>
      <c r="D90" s="23" t="s">
        <v>183</v>
      </c>
      <c r="E90" s="26" t="s">
        <v>91</v>
      </c>
      <c r="F90" s="24" t="s">
        <v>76</v>
      </c>
      <c r="G90" s="24" t="s">
        <v>939</v>
      </c>
      <c r="H90" s="25" t="n">
        <v>1.85</v>
      </c>
      <c r="I90" s="25"/>
      <c r="J90" s="58"/>
      <c r="K90" s="23" t="s">
        <v>184</v>
      </c>
      <c r="L90" s="24" t="s">
        <v>969</v>
      </c>
      <c r="M90" s="24" t="s">
        <v>1153</v>
      </c>
      <c r="N90" s="26" t="s">
        <v>91</v>
      </c>
      <c r="O90" s="24"/>
      <c r="P90" s="24" t="s">
        <v>93</v>
      </c>
      <c r="Q90" s="24" t="s">
        <v>1085</v>
      </c>
      <c r="R90" s="73" t="s">
        <v>95</v>
      </c>
      <c r="S90" s="0" t="n">
        <f aca="false">IF(Recherche!$B$4="",0,IF(ISNUMBER(SEARCH(Recherche!$B$4,D90))+ISNUMBER(SEARCH(Recherche!$B$4,K90))&gt;0,1,0))</f>
        <v>0</v>
      </c>
      <c r="T90" s="0" t="str">
        <f aca="false">IF(S90=1,SUM($S$2:S90),"")</f>
        <v/>
      </c>
    </row>
    <row r="91" customFormat="false" ht="23.85" hidden="false" customHeight="false" outlineLevel="0" collapsed="false">
      <c r="A91" s="20" t="s">
        <v>1150</v>
      </c>
      <c r="B91" s="20" t="s">
        <v>55</v>
      </c>
      <c r="C91" s="20" t="s">
        <v>1108</v>
      </c>
      <c r="D91" s="19" t="s">
        <v>183</v>
      </c>
      <c r="E91" s="22" t="s">
        <v>91</v>
      </c>
      <c r="F91" s="74" t="s">
        <v>77</v>
      </c>
      <c r="G91" s="74" t="s">
        <v>979</v>
      </c>
      <c r="H91" s="75" t="n">
        <v>4.53</v>
      </c>
      <c r="I91" s="21" t="n">
        <v>5.09</v>
      </c>
      <c r="J91" s="52" t="n">
        <v>11</v>
      </c>
      <c r="K91" s="19" t="s">
        <v>1154</v>
      </c>
      <c r="L91" s="20" t="s">
        <v>981</v>
      </c>
      <c r="M91" s="20" t="s">
        <v>1155</v>
      </c>
      <c r="N91" s="22" t="s">
        <v>91</v>
      </c>
      <c r="O91" s="20"/>
      <c r="P91" s="20" t="s">
        <v>114</v>
      </c>
      <c r="Q91" s="20" t="s">
        <v>983</v>
      </c>
      <c r="R91" s="76"/>
      <c r="S91" s="0" t="n">
        <f aca="false">IF(Recherche!$B$4="",0,IF(ISNUMBER(SEARCH(Recherche!$B$4,D91))+ISNUMBER(SEARCH(Recherche!$B$4,K91))&gt;0,1,0))</f>
        <v>0</v>
      </c>
      <c r="T91" s="0" t="str">
        <f aca="false">IF(S91=1,SUM($S$2:S91),"")</f>
        <v/>
      </c>
    </row>
    <row r="92" customFormat="false" ht="23.85" hidden="false" customHeight="false" outlineLevel="0" collapsed="false">
      <c r="A92" s="24" t="s">
        <v>1150</v>
      </c>
      <c r="B92" s="24" t="s">
        <v>55</v>
      </c>
      <c r="C92" s="24" t="s">
        <v>1108</v>
      </c>
      <c r="D92" s="23" t="s">
        <v>183</v>
      </c>
      <c r="E92" s="26" t="s">
        <v>91</v>
      </c>
      <c r="F92" s="74" t="s">
        <v>78</v>
      </c>
      <c r="G92" s="74" t="s">
        <v>943</v>
      </c>
      <c r="H92" s="75" t="n">
        <v>24.45</v>
      </c>
      <c r="I92" s="25"/>
      <c r="J92" s="58"/>
      <c r="K92" s="23" t="s">
        <v>1156</v>
      </c>
      <c r="L92" s="24"/>
      <c r="M92" s="24" t="s">
        <v>1157</v>
      </c>
      <c r="N92" s="26"/>
      <c r="O92" s="24"/>
      <c r="P92" s="24" t="s">
        <v>93</v>
      </c>
      <c r="Q92" s="24" t="s">
        <v>946</v>
      </c>
      <c r="R92" s="73" t="s">
        <v>95</v>
      </c>
      <c r="S92" s="0" t="n">
        <f aca="false">IF(Recherche!$B$4="",0,IF(ISNUMBER(SEARCH(Recherche!$B$4,D92))+ISNUMBER(SEARCH(Recherche!$B$4,K92))&gt;0,1,0))</f>
        <v>0</v>
      </c>
      <c r="T92" s="0" t="str">
        <f aca="false">IF(S92=1,SUM($S$2:S92),"")</f>
        <v/>
      </c>
    </row>
    <row r="93" customFormat="false" ht="23.85" hidden="false" customHeight="false" outlineLevel="0" collapsed="false">
      <c r="A93" s="20" t="s">
        <v>1158</v>
      </c>
      <c r="B93" s="20" t="s">
        <v>55</v>
      </c>
      <c r="C93" s="20" t="s">
        <v>1108</v>
      </c>
      <c r="D93" s="19" t="s">
        <v>185</v>
      </c>
      <c r="E93" s="22" t="s">
        <v>91</v>
      </c>
      <c r="F93" s="20" t="s">
        <v>76</v>
      </c>
      <c r="G93" s="20" t="s">
        <v>939</v>
      </c>
      <c r="H93" s="21" t="n">
        <v>5.55</v>
      </c>
      <c r="I93" s="21"/>
      <c r="J93" s="52"/>
      <c r="K93" s="19" t="s">
        <v>186</v>
      </c>
      <c r="L93" s="20" t="s">
        <v>1159</v>
      </c>
      <c r="M93" s="20" t="s">
        <v>1160</v>
      </c>
      <c r="N93" s="22" t="s">
        <v>91</v>
      </c>
      <c r="O93" s="20"/>
      <c r="P93" s="20" t="s">
        <v>93</v>
      </c>
      <c r="Q93" s="20" t="s">
        <v>1052</v>
      </c>
      <c r="R93" s="76" t="s">
        <v>95</v>
      </c>
      <c r="S93" s="0" t="n">
        <f aca="false">IF(Recherche!$B$4="",0,IF(ISNUMBER(SEARCH(Recherche!$B$4,D93))+ISNUMBER(SEARCH(Recherche!$B$4,K93))&gt;0,1,0))</f>
        <v>0</v>
      </c>
      <c r="T93" s="0" t="str">
        <f aca="false">IF(S93=1,SUM($S$2:S93),"")</f>
        <v/>
      </c>
    </row>
    <row r="94" customFormat="false" ht="23.85" hidden="false" customHeight="false" outlineLevel="0" collapsed="false">
      <c r="A94" s="24" t="s">
        <v>1158</v>
      </c>
      <c r="B94" s="24" t="s">
        <v>55</v>
      </c>
      <c r="C94" s="24" t="s">
        <v>1108</v>
      </c>
      <c r="D94" s="23" t="s">
        <v>185</v>
      </c>
      <c r="E94" s="26" t="s">
        <v>91</v>
      </c>
      <c r="F94" s="74" t="s">
        <v>78</v>
      </c>
      <c r="G94" s="74" t="s">
        <v>943</v>
      </c>
      <c r="H94" s="75" t="n">
        <v>7.47</v>
      </c>
      <c r="I94" s="25"/>
      <c r="J94" s="58"/>
      <c r="K94" s="23" t="s">
        <v>1161</v>
      </c>
      <c r="L94" s="24"/>
      <c r="M94" s="24" t="s">
        <v>1162</v>
      </c>
      <c r="N94" s="26"/>
      <c r="O94" s="24"/>
      <c r="P94" s="24" t="s">
        <v>93</v>
      </c>
      <c r="Q94" s="24" t="s">
        <v>946</v>
      </c>
      <c r="R94" s="73" t="s">
        <v>95</v>
      </c>
      <c r="S94" s="0" t="n">
        <f aca="false">IF(Recherche!$B$4="",0,IF(ISNUMBER(SEARCH(Recherche!$B$4,D94))+ISNUMBER(SEARCH(Recherche!$B$4,K94))&gt;0,1,0))</f>
        <v>0</v>
      </c>
      <c r="T94" s="0" t="str">
        <f aca="false">IF(S94=1,SUM($S$2:S94),"")</f>
        <v/>
      </c>
    </row>
    <row r="95" customFormat="false" ht="15" hidden="false" customHeight="false" outlineLevel="0" collapsed="false">
      <c r="A95" s="20" t="s">
        <v>1158</v>
      </c>
      <c r="B95" s="20" t="s">
        <v>55</v>
      </c>
      <c r="C95" s="20" t="s">
        <v>1108</v>
      </c>
      <c r="D95" s="19" t="s">
        <v>185</v>
      </c>
      <c r="E95" s="22" t="s">
        <v>91</v>
      </c>
      <c r="F95" s="74" t="s">
        <v>77</v>
      </c>
      <c r="G95" s="74" t="s">
        <v>979</v>
      </c>
      <c r="H95" s="75" t="n">
        <v>135.25</v>
      </c>
      <c r="I95" s="21" t="n">
        <v>135.25</v>
      </c>
      <c r="J95" s="52"/>
      <c r="K95" s="19" t="s">
        <v>1163</v>
      </c>
      <c r="L95" s="20" t="s">
        <v>987</v>
      </c>
      <c r="M95" s="20" t="s">
        <v>1164</v>
      </c>
      <c r="N95" s="22" t="s">
        <v>91</v>
      </c>
      <c r="O95" s="20"/>
      <c r="P95" s="20" t="s">
        <v>114</v>
      </c>
      <c r="Q95" s="20" t="s">
        <v>983</v>
      </c>
      <c r="R95" s="76"/>
      <c r="S95" s="0" t="n">
        <f aca="false">IF(Recherche!$B$4="",0,IF(ISNUMBER(SEARCH(Recherche!$B$4,D95))+ISNUMBER(SEARCH(Recherche!$B$4,K95))&gt;0,1,0))</f>
        <v>0</v>
      </c>
      <c r="T95" s="0" t="str">
        <f aca="false">IF(S95=1,SUM($S$2:S95),"")</f>
        <v/>
      </c>
    </row>
    <row r="96" customFormat="false" ht="23.85" hidden="false" customHeight="false" outlineLevel="0" collapsed="false">
      <c r="A96" s="24" t="s">
        <v>1165</v>
      </c>
      <c r="B96" s="24" t="s">
        <v>55</v>
      </c>
      <c r="C96" s="24" t="s">
        <v>1108</v>
      </c>
      <c r="D96" s="23" t="s">
        <v>187</v>
      </c>
      <c r="E96" s="26" t="s">
        <v>188</v>
      </c>
      <c r="F96" s="24" t="s">
        <v>76</v>
      </c>
      <c r="G96" s="24" t="s">
        <v>939</v>
      </c>
      <c r="H96" s="25" t="n">
        <v>26.23</v>
      </c>
      <c r="I96" s="25"/>
      <c r="J96" s="58"/>
      <c r="K96" s="23" t="s">
        <v>189</v>
      </c>
      <c r="L96" s="24" t="s">
        <v>1166</v>
      </c>
      <c r="M96" s="24" t="s">
        <v>1167</v>
      </c>
      <c r="N96" s="26" t="s">
        <v>188</v>
      </c>
      <c r="O96" s="24"/>
      <c r="P96" s="24" t="s">
        <v>93</v>
      </c>
      <c r="Q96" s="24" t="s">
        <v>1085</v>
      </c>
      <c r="R96" s="73" t="s">
        <v>95</v>
      </c>
      <c r="S96" s="0" t="n">
        <f aca="false">IF(Recherche!$B$4="",0,IF(ISNUMBER(SEARCH(Recherche!$B$4,D96))+ISNUMBER(SEARCH(Recherche!$B$4,K96))&gt;0,1,0))</f>
        <v>0</v>
      </c>
      <c r="T96" s="0" t="str">
        <f aca="false">IF(S96=1,SUM($S$2:S96),"")</f>
        <v/>
      </c>
    </row>
    <row r="97" customFormat="false" ht="23.85" hidden="false" customHeight="false" outlineLevel="0" collapsed="false">
      <c r="A97" s="20" t="s">
        <v>1165</v>
      </c>
      <c r="B97" s="20" t="s">
        <v>55</v>
      </c>
      <c r="C97" s="20" t="s">
        <v>1108</v>
      </c>
      <c r="D97" s="19" t="s">
        <v>187</v>
      </c>
      <c r="E97" s="22" t="s">
        <v>188</v>
      </c>
      <c r="F97" s="74" t="s">
        <v>77</v>
      </c>
      <c r="G97" s="74" t="s">
        <v>979</v>
      </c>
      <c r="H97" s="75" t="n">
        <v>48.01</v>
      </c>
      <c r="I97" s="21" t="n">
        <v>53.94</v>
      </c>
      <c r="J97" s="52" t="n">
        <v>11</v>
      </c>
      <c r="K97" s="19" t="s">
        <v>1168</v>
      </c>
      <c r="L97" s="20" t="s">
        <v>981</v>
      </c>
      <c r="M97" s="20" t="s">
        <v>1169</v>
      </c>
      <c r="N97" s="22" t="s">
        <v>91</v>
      </c>
      <c r="O97" s="20"/>
      <c r="P97" s="20" t="s">
        <v>114</v>
      </c>
      <c r="Q97" s="20" t="s">
        <v>983</v>
      </c>
      <c r="R97" s="76"/>
      <c r="S97" s="0" t="n">
        <f aca="false">IF(Recherche!$B$4="",0,IF(ISNUMBER(SEARCH(Recherche!$B$4,D97))+ISNUMBER(SEARCH(Recherche!$B$4,K97))&gt;0,1,0))</f>
        <v>1</v>
      </c>
      <c r="T97" s="0" t="n">
        <f aca="false">IF(S97=1,SUM($S$2:S97),"")</f>
        <v>13</v>
      </c>
    </row>
    <row r="98" customFormat="false" ht="23.85" hidden="false" customHeight="false" outlineLevel="0" collapsed="false">
      <c r="A98" s="24" t="s">
        <v>1165</v>
      </c>
      <c r="B98" s="24" t="s">
        <v>55</v>
      </c>
      <c r="C98" s="24" t="s">
        <v>1108</v>
      </c>
      <c r="D98" s="23" t="s">
        <v>187</v>
      </c>
      <c r="E98" s="26" t="s">
        <v>188</v>
      </c>
      <c r="F98" s="74" t="s">
        <v>78</v>
      </c>
      <c r="G98" s="74" t="s">
        <v>943</v>
      </c>
      <c r="H98" s="75" t="n">
        <v>60.93</v>
      </c>
      <c r="I98" s="25"/>
      <c r="J98" s="58"/>
      <c r="K98" s="23" t="s">
        <v>1170</v>
      </c>
      <c r="L98" s="24"/>
      <c r="M98" s="24" t="s">
        <v>1171</v>
      </c>
      <c r="N98" s="26"/>
      <c r="O98" s="24"/>
      <c r="P98" s="24" t="s">
        <v>93</v>
      </c>
      <c r="Q98" s="24" t="s">
        <v>946</v>
      </c>
      <c r="R98" s="73" t="s">
        <v>95</v>
      </c>
      <c r="S98" s="0" t="n">
        <f aca="false">IF(Recherche!$B$4="",0,IF(ISNUMBER(SEARCH(Recherche!$B$4,D98))+ISNUMBER(SEARCH(Recherche!$B$4,K98))&gt;0,1,0))</f>
        <v>0</v>
      </c>
      <c r="T98" s="0" t="str">
        <f aca="false">IF(S98=1,SUM($S$2:S98),"")</f>
        <v/>
      </c>
    </row>
    <row r="99" customFormat="false" ht="23.85" hidden="false" customHeight="false" outlineLevel="0" collapsed="false">
      <c r="A99" s="20" t="s">
        <v>1172</v>
      </c>
      <c r="B99" s="20" t="s">
        <v>55</v>
      </c>
      <c r="C99" s="20" t="s">
        <v>1108</v>
      </c>
      <c r="D99" s="19" t="s">
        <v>190</v>
      </c>
      <c r="E99" s="22" t="s">
        <v>91</v>
      </c>
      <c r="F99" s="20" t="s">
        <v>76</v>
      </c>
      <c r="G99" s="20" t="s">
        <v>939</v>
      </c>
      <c r="H99" s="21" t="n">
        <v>4.18</v>
      </c>
      <c r="I99" s="21"/>
      <c r="J99" s="52"/>
      <c r="K99" s="19" t="s">
        <v>191</v>
      </c>
      <c r="L99" s="20" t="s">
        <v>969</v>
      </c>
      <c r="M99" s="20" t="s">
        <v>1173</v>
      </c>
      <c r="N99" s="22" t="s">
        <v>91</v>
      </c>
      <c r="O99" s="20"/>
      <c r="P99" s="20" t="s">
        <v>93</v>
      </c>
      <c r="Q99" s="20" t="s">
        <v>942</v>
      </c>
      <c r="R99" s="76" t="s">
        <v>95</v>
      </c>
      <c r="S99" s="0" t="n">
        <f aca="false">IF(Recherche!$B$4="",0,IF(ISNUMBER(SEARCH(Recherche!$B$4,D99))+ISNUMBER(SEARCH(Recherche!$B$4,K99))&gt;0,1,0))</f>
        <v>0</v>
      </c>
      <c r="T99" s="0" t="str">
        <f aca="false">IF(S99=1,SUM($S$2:S99),"")</f>
        <v/>
      </c>
    </row>
    <row r="100" customFormat="false" ht="15" hidden="false" customHeight="false" outlineLevel="0" collapsed="false">
      <c r="A100" s="24" t="s">
        <v>1174</v>
      </c>
      <c r="B100" s="24" t="s">
        <v>55</v>
      </c>
      <c r="C100" s="24" t="s">
        <v>1108</v>
      </c>
      <c r="D100" s="23" t="s">
        <v>192</v>
      </c>
      <c r="E100" s="26" t="s">
        <v>91</v>
      </c>
      <c r="F100" s="24" t="s">
        <v>76</v>
      </c>
      <c r="G100" s="24" t="s">
        <v>939</v>
      </c>
      <c r="H100" s="25" t="n">
        <v>0.89</v>
      </c>
      <c r="I100" s="25"/>
      <c r="J100" s="58"/>
      <c r="K100" s="23" t="s">
        <v>193</v>
      </c>
      <c r="L100" s="24" t="s">
        <v>969</v>
      </c>
      <c r="M100" s="24" t="s">
        <v>1175</v>
      </c>
      <c r="N100" s="26" t="s">
        <v>91</v>
      </c>
      <c r="O100" s="24"/>
      <c r="P100" s="24" t="s">
        <v>93</v>
      </c>
      <c r="Q100" s="24" t="s">
        <v>963</v>
      </c>
      <c r="R100" s="73" t="s">
        <v>95</v>
      </c>
      <c r="S100" s="0" t="n">
        <f aca="false">IF(Recherche!$B$4="",0,IF(ISNUMBER(SEARCH(Recherche!$B$4,D100))+ISNUMBER(SEARCH(Recherche!$B$4,K100))&gt;0,1,0))</f>
        <v>0</v>
      </c>
      <c r="T100" s="0" t="str">
        <f aca="false">IF(S100=1,SUM($S$2:S100),"")</f>
        <v/>
      </c>
    </row>
    <row r="101" customFormat="false" ht="23.85" hidden="false" customHeight="false" outlineLevel="0" collapsed="false">
      <c r="A101" s="20" t="s">
        <v>1174</v>
      </c>
      <c r="B101" s="20" t="s">
        <v>55</v>
      </c>
      <c r="C101" s="20" t="s">
        <v>1108</v>
      </c>
      <c r="D101" s="19" t="s">
        <v>192</v>
      </c>
      <c r="E101" s="22" t="s">
        <v>91</v>
      </c>
      <c r="F101" s="20" t="s">
        <v>80</v>
      </c>
      <c r="G101" s="20" t="s">
        <v>939</v>
      </c>
      <c r="H101" s="21" t="n">
        <v>1.44</v>
      </c>
      <c r="I101" s="21"/>
      <c r="J101" s="52"/>
      <c r="K101" s="19" t="s">
        <v>1176</v>
      </c>
      <c r="L101" s="20"/>
      <c r="M101" s="20" t="s">
        <v>1177</v>
      </c>
      <c r="N101" s="22" t="s">
        <v>91</v>
      </c>
      <c r="O101" s="20"/>
      <c r="P101" s="20" t="s">
        <v>303</v>
      </c>
      <c r="Q101" s="20" t="s">
        <v>942</v>
      </c>
      <c r="R101" s="76" t="s">
        <v>95</v>
      </c>
      <c r="S101" s="0" t="n">
        <f aca="false">IF(Recherche!$B$4="",0,IF(ISNUMBER(SEARCH(Recherche!$B$4,D101))+ISNUMBER(SEARCH(Recherche!$B$4,K101))&gt;0,1,0))</f>
        <v>0</v>
      </c>
      <c r="T101" s="0" t="str">
        <f aca="false">IF(S101=1,SUM($S$2:S101),"")</f>
        <v/>
      </c>
    </row>
    <row r="102" customFormat="false" ht="23.85" hidden="false" customHeight="false" outlineLevel="0" collapsed="false">
      <c r="A102" s="24" t="s">
        <v>1174</v>
      </c>
      <c r="B102" s="24" t="s">
        <v>55</v>
      </c>
      <c r="C102" s="24" t="s">
        <v>1108</v>
      </c>
      <c r="D102" s="23" t="s">
        <v>192</v>
      </c>
      <c r="E102" s="26" t="s">
        <v>91</v>
      </c>
      <c r="F102" s="74" t="s">
        <v>81</v>
      </c>
      <c r="G102" s="74" t="s">
        <v>979</v>
      </c>
      <c r="H102" s="75" t="n">
        <v>114.13</v>
      </c>
      <c r="I102" s="25" t="n">
        <v>126.62</v>
      </c>
      <c r="J102" s="58" t="n">
        <v>9.9</v>
      </c>
      <c r="K102" s="23" t="s">
        <v>1178</v>
      </c>
      <c r="L102" s="24" t="s">
        <v>1179</v>
      </c>
      <c r="M102" s="24" t="s">
        <v>1180</v>
      </c>
      <c r="N102" s="26" t="s">
        <v>91</v>
      </c>
      <c r="O102" s="24" t="s">
        <v>949</v>
      </c>
      <c r="P102" s="24" t="s">
        <v>169</v>
      </c>
      <c r="Q102" s="24" t="s">
        <v>1007</v>
      </c>
      <c r="R102" s="73" t="s">
        <v>95</v>
      </c>
      <c r="S102" s="0" t="n">
        <f aca="false">IF(Recherche!$B$4="",0,IF(ISNUMBER(SEARCH(Recherche!$B$4,D102))+ISNUMBER(SEARCH(Recherche!$B$4,K102))&gt;0,1,0))</f>
        <v>0</v>
      </c>
      <c r="T102" s="0" t="str">
        <f aca="false">IF(S102=1,SUM($S$2:S102),"")</f>
        <v/>
      </c>
    </row>
    <row r="103" customFormat="false" ht="23.85" hidden="false" customHeight="false" outlineLevel="0" collapsed="false">
      <c r="A103" s="20" t="s">
        <v>1181</v>
      </c>
      <c r="B103" s="20" t="s">
        <v>55</v>
      </c>
      <c r="C103" s="20" t="s">
        <v>1108</v>
      </c>
      <c r="D103" s="19" t="s">
        <v>194</v>
      </c>
      <c r="E103" s="22" t="s">
        <v>91</v>
      </c>
      <c r="F103" s="20" t="s">
        <v>76</v>
      </c>
      <c r="G103" s="20" t="s">
        <v>939</v>
      </c>
      <c r="H103" s="21" t="n">
        <v>10.27</v>
      </c>
      <c r="I103" s="21"/>
      <c r="J103" s="52"/>
      <c r="K103" s="19" t="s">
        <v>195</v>
      </c>
      <c r="L103" s="20" t="s">
        <v>961</v>
      </c>
      <c r="M103" s="20" t="s">
        <v>1182</v>
      </c>
      <c r="N103" s="22" t="s">
        <v>91</v>
      </c>
      <c r="O103" s="20"/>
      <c r="P103" s="20" t="s">
        <v>93</v>
      </c>
      <c r="Q103" s="20" t="s">
        <v>942</v>
      </c>
      <c r="R103" s="76" t="s">
        <v>95</v>
      </c>
      <c r="S103" s="0" t="n">
        <f aca="false">IF(Recherche!$B$4="",0,IF(ISNUMBER(SEARCH(Recherche!$B$4,D103))+ISNUMBER(SEARCH(Recherche!$B$4,K103))&gt;0,1,0))</f>
        <v>0</v>
      </c>
      <c r="T103" s="0" t="str">
        <f aca="false">IF(S103=1,SUM($S$2:S103),"")</f>
        <v/>
      </c>
    </row>
    <row r="104" customFormat="false" ht="23.85" hidden="false" customHeight="false" outlineLevel="0" collapsed="false">
      <c r="A104" s="24" t="s">
        <v>1181</v>
      </c>
      <c r="B104" s="24" t="s">
        <v>55</v>
      </c>
      <c r="C104" s="24" t="s">
        <v>1108</v>
      </c>
      <c r="D104" s="23" t="s">
        <v>194</v>
      </c>
      <c r="E104" s="26" t="s">
        <v>91</v>
      </c>
      <c r="F104" s="24" t="s">
        <v>80</v>
      </c>
      <c r="G104" s="24" t="s">
        <v>939</v>
      </c>
      <c r="H104" s="25" t="n">
        <v>16.16</v>
      </c>
      <c r="I104" s="25"/>
      <c r="J104" s="58"/>
      <c r="K104" s="23" t="s">
        <v>1183</v>
      </c>
      <c r="L104" s="24"/>
      <c r="M104" s="24" t="s">
        <v>1184</v>
      </c>
      <c r="N104" s="26" t="s">
        <v>91</v>
      </c>
      <c r="O104" s="24"/>
      <c r="P104" s="24" t="s">
        <v>303</v>
      </c>
      <c r="Q104" s="24" t="s">
        <v>942</v>
      </c>
      <c r="R104" s="73" t="s">
        <v>95</v>
      </c>
      <c r="S104" s="0" t="n">
        <f aca="false">IF(Recherche!$B$4="",0,IF(ISNUMBER(SEARCH(Recherche!$B$4,D104))+ISNUMBER(SEARCH(Recherche!$B$4,K104))&gt;0,1,0))</f>
        <v>0</v>
      </c>
      <c r="T104" s="0" t="str">
        <f aca="false">IF(S104=1,SUM($S$2:S104),"")</f>
        <v/>
      </c>
    </row>
    <row r="105" customFormat="false" ht="15" hidden="false" customHeight="false" outlineLevel="0" collapsed="false">
      <c r="A105" s="20" t="s">
        <v>1181</v>
      </c>
      <c r="B105" s="20" t="s">
        <v>55</v>
      </c>
      <c r="C105" s="20" t="s">
        <v>1108</v>
      </c>
      <c r="D105" s="19" t="s">
        <v>194</v>
      </c>
      <c r="E105" s="22" t="s">
        <v>91</v>
      </c>
      <c r="F105" s="74" t="s">
        <v>77</v>
      </c>
      <c r="G105" s="74" t="s">
        <v>979</v>
      </c>
      <c r="H105" s="75" t="n">
        <v>25.93</v>
      </c>
      <c r="I105" s="21" t="n">
        <v>29.13</v>
      </c>
      <c r="J105" s="52" t="n">
        <v>11</v>
      </c>
      <c r="K105" s="19" t="s">
        <v>1185</v>
      </c>
      <c r="L105" s="20" t="s">
        <v>981</v>
      </c>
      <c r="M105" s="20" t="s">
        <v>1186</v>
      </c>
      <c r="N105" s="22" t="s">
        <v>91</v>
      </c>
      <c r="O105" s="20"/>
      <c r="P105" s="20" t="s">
        <v>114</v>
      </c>
      <c r="Q105" s="20" t="s">
        <v>983</v>
      </c>
      <c r="R105" s="76"/>
      <c r="S105" s="0" t="n">
        <f aca="false">IF(Recherche!$B$4="",0,IF(ISNUMBER(SEARCH(Recherche!$B$4,D105))+ISNUMBER(SEARCH(Recherche!$B$4,K105))&gt;0,1,0))</f>
        <v>0</v>
      </c>
      <c r="T105" s="0" t="str">
        <f aca="false">IF(S105=1,SUM($S$2:S105),"")</f>
        <v/>
      </c>
    </row>
    <row r="106" customFormat="false" ht="15" hidden="false" customHeight="false" outlineLevel="0" collapsed="false">
      <c r="A106" s="24" t="s">
        <v>1181</v>
      </c>
      <c r="B106" s="24" t="s">
        <v>55</v>
      </c>
      <c r="C106" s="24" t="s">
        <v>1108</v>
      </c>
      <c r="D106" s="23" t="s">
        <v>194</v>
      </c>
      <c r="E106" s="26" t="s">
        <v>91</v>
      </c>
      <c r="F106" s="74" t="s">
        <v>81</v>
      </c>
      <c r="G106" s="74" t="s">
        <v>979</v>
      </c>
      <c r="H106" s="75" t="n">
        <v>28.6</v>
      </c>
      <c r="I106" s="25" t="n">
        <v>30.06</v>
      </c>
      <c r="J106" s="58" t="n">
        <v>4.9</v>
      </c>
      <c r="K106" s="23" t="s">
        <v>1187</v>
      </c>
      <c r="L106" s="24" t="s">
        <v>969</v>
      </c>
      <c r="M106" s="24" t="s">
        <v>1188</v>
      </c>
      <c r="N106" s="26" t="s">
        <v>91</v>
      </c>
      <c r="O106" s="24" t="s">
        <v>949</v>
      </c>
      <c r="P106" s="24" t="s">
        <v>169</v>
      </c>
      <c r="Q106" s="24" t="s">
        <v>1016</v>
      </c>
      <c r="R106" s="73" t="s">
        <v>95</v>
      </c>
      <c r="S106" s="0" t="n">
        <f aca="false">IF(Recherche!$B$4="",0,IF(ISNUMBER(SEARCH(Recherche!$B$4,D106))+ISNUMBER(SEARCH(Recherche!$B$4,K106))&gt;0,1,0))</f>
        <v>0</v>
      </c>
      <c r="T106" s="0" t="str">
        <f aca="false">IF(S106=1,SUM($S$2:S106),"")</f>
        <v/>
      </c>
    </row>
    <row r="107" customFormat="false" ht="15" hidden="false" customHeight="false" outlineLevel="0" collapsed="false">
      <c r="A107" s="20" t="s">
        <v>1189</v>
      </c>
      <c r="B107" s="20" t="s">
        <v>55</v>
      </c>
      <c r="C107" s="20" t="s">
        <v>1190</v>
      </c>
      <c r="D107" s="19" t="s">
        <v>196</v>
      </c>
      <c r="E107" s="22" t="s">
        <v>91</v>
      </c>
      <c r="F107" s="20" t="s">
        <v>76</v>
      </c>
      <c r="G107" s="20" t="s">
        <v>939</v>
      </c>
      <c r="H107" s="21" t="n">
        <v>10.74</v>
      </c>
      <c r="I107" s="21"/>
      <c r="J107" s="52"/>
      <c r="K107" s="19" t="s">
        <v>197</v>
      </c>
      <c r="L107" s="20" t="s">
        <v>1191</v>
      </c>
      <c r="M107" s="20" t="s">
        <v>1192</v>
      </c>
      <c r="N107" s="22" t="s">
        <v>91</v>
      </c>
      <c r="O107" s="20"/>
      <c r="P107" s="20" t="s">
        <v>93</v>
      </c>
      <c r="Q107" s="20" t="s">
        <v>1052</v>
      </c>
      <c r="R107" s="76" t="s">
        <v>95</v>
      </c>
      <c r="S107" s="0" t="n">
        <f aca="false">IF(Recherche!$B$4="",0,IF(ISNUMBER(SEARCH(Recherche!$B$4,D107))+ISNUMBER(SEARCH(Recherche!$B$4,K107))&gt;0,1,0))</f>
        <v>0</v>
      </c>
      <c r="T107" s="0" t="str">
        <f aca="false">IF(S107=1,SUM($S$2:S107),"")</f>
        <v/>
      </c>
    </row>
    <row r="108" customFormat="false" ht="23.85" hidden="false" customHeight="false" outlineLevel="0" collapsed="false">
      <c r="A108" s="24" t="s">
        <v>1193</v>
      </c>
      <c r="B108" s="24" t="s">
        <v>55</v>
      </c>
      <c r="C108" s="24" t="s">
        <v>1190</v>
      </c>
      <c r="D108" s="23" t="s">
        <v>198</v>
      </c>
      <c r="E108" s="26" t="s">
        <v>91</v>
      </c>
      <c r="F108" s="24" t="s">
        <v>80</v>
      </c>
      <c r="G108" s="24" t="s">
        <v>939</v>
      </c>
      <c r="H108" s="25" t="n">
        <v>4.79</v>
      </c>
      <c r="I108" s="25"/>
      <c r="J108" s="58"/>
      <c r="K108" s="23" t="s">
        <v>1194</v>
      </c>
      <c r="L108" s="24"/>
      <c r="M108" s="24" t="s">
        <v>1195</v>
      </c>
      <c r="N108" s="26" t="s">
        <v>91</v>
      </c>
      <c r="O108" s="24"/>
      <c r="P108" s="24" t="s">
        <v>303</v>
      </c>
      <c r="Q108" s="24" t="s">
        <v>963</v>
      </c>
      <c r="R108" s="73" t="s">
        <v>95</v>
      </c>
      <c r="S108" s="0" t="n">
        <f aca="false">IF(Recherche!$B$4="",0,IF(ISNUMBER(SEARCH(Recherche!$B$4,D108))+ISNUMBER(SEARCH(Recherche!$B$4,K108))&gt;0,1,0))</f>
        <v>0</v>
      </c>
      <c r="T108" s="0" t="str">
        <f aca="false">IF(S108=1,SUM($S$2:S108),"")</f>
        <v/>
      </c>
    </row>
    <row r="109" customFormat="false" ht="15" hidden="false" customHeight="false" outlineLevel="0" collapsed="false">
      <c r="A109" s="20" t="s">
        <v>1193</v>
      </c>
      <c r="B109" s="20" t="s">
        <v>55</v>
      </c>
      <c r="C109" s="20" t="s">
        <v>1190</v>
      </c>
      <c r="D109" s="19" t="s">
        <v>198</v>
      </c>
      <c r="E109" s="22" t="s">
        <v>91</v>
      </c>
      <c r="F109" s="20" t="s">
        <v>76</v>
      </c>
      <c r="G109" s="20" t="s">
        <v>939</v>
      </c>
      <c r="H109" s="21" t="n">
        <v>8.17</v>
      </c>
      <c r="I109" s="21"/>
      <c r="J109" s="52"/>
      <c r="K109" s="19" t="s">
        <v>199</v>
      </c>
      <c r="L109" s="20" t="s">
        <v>1191</v>
      </c>
      <c r="M109" s="20" t="s">
        <v>1196</v>
      </c>
      <c r="N109" s="22" t="s">
        <v>91</v>
      </c>
      <c r="O109" s="20"/>
      <c r="P109" s="20" t="s">
        <v>93</v>
      </c>
      <c r="Q109" s="20" t="s">
        <v>963</v>
      </c>
      <c r="R109" s="76" t="s">
        <v>95</v>
      </c>
      <c r="S109" s="0" t="n">
        <f aca="false">IF(Recherche!$B$4="",0,IF(ISNUMBER(SEARCH(Recherche!$B$4,D109))+ISNUMBER(SEARCH(Recherche!$B$4,K109))&gt;0,1,0))</f>
        <v>0</v>
      </c>
      <c r="T109" s="0" t="str">
        <f aca="false">IF(S109=1,SUM($S$2:S109),"")</f>
        <v/>
      </c>
    </row>
    <row r="110" customFormat="false" ht="15" hidden="false" customHeight="false" outlineLevel="0" collapsed="false">
      <c r="A110" s="24" t="s">
        <v>1193</v>
      </c>
      <c r="B110" s="24" t="s">
        <v>55</v>
      </c>
      <c r="C110" s="24" t="s">
        <v>1190</v>
      </c>
      <c r="D110" s="23" t="s">
        <v>198</v>
      </c>
      <c r="E110" s="26" t="s">
        <v>91</v>
      </c>
      <c r="F110" s="74" t="s">
        <v>78</v>
      </c>
      <c r="G110" s="74" t="s">
        <v>943</v>
      </c>
      <c r="H110" s="75" t="n">
        <v>14.2</v>
      </c>
      <c r="I110" s="25"/>
      <c r="J110" s="58"/>
      <c r="K110" s="23" t="s">
        <v>1197</v>
      </c>
      <c r="L110" s="24"/>
      <c r="M110" s="24" t="s">
        <v>1198</v>
      </c>
      <c r="N110" s="26"/>
      <c r="O110" s="24"/>
      <c r="P110" s="24" t="s">
        <v>93</v>
      </c>
      <c r="Q110" s="24" t="s">
        <v>946</v>
      </c>
      <c r="R110" s="73" t="s">
        <v>95</v>
      </c>
      <c r="S110" s="0" t="n">
        <f aca="false">IF(Recherche!$B$4="",0,IF(ISNUMBER(SEARCH(Recherche!$B$4,D110))+ISNUMBER(SEARCH(Recherche!$B$4,K110))&gt;0,1,0))</f>
        <v>0</v>
      </c>
      <c r="T110" s="0" t="str">
        <f aca="false">IF(S110=1,SUM($S$2:S110),"")</f>
        <v/>
      </c>
    </row>
    <row r="111" customFormat="false" ht="15" hidden="false" customHeight="false" outlineLevel="0" collapsed="false">
      <c r="A111" s="20" t="s">
        <v>1193</v>
      </c>
      <c r="B111" s="20" t="s">
        <v>55</v>
      </c>
      <c r="C111" s="20" t="s">
        <v>1190</v>
      </c>
      <c r="D111" s="19" t="s">
        <v>198</v>
      </c>
      <c r="E111" s="22" t="s">
        <v>91</v>
      </c>
      <c r="F111" s="74" t="s">
        <v>81</v>
      </c>
      <c r="G111" s="74" t="s">
        <v>979</v>
      </c>
      <c r="H111" s="75" t="n">
        <v>16.22</v>
      </c>
      <c r="I111" s="21" t="n">
        <v>17.03</v>
      </c>
      <c r="J111" s="52" t="n">
        <v>4.8</v>
      </c>
      <c r="K111" s="19" t="s">
        <v>1199</v>
      </c>
      <c r="L111" s="20" t="s">
        <v>1200</v>
      </c>
      <c r="M111" s="20" t="s">
        <v>1201</v>
      </c>
      <c r="N111" s="22" t="s">
        <v>91</v>
      </c>
      <c r="O111" s="20" t="s">
        <v>949</v>
      </c>
      <c r="P111" s="20" t="s">
        <v>119</v>
      </c>
      <c r="Q111" s="20" t="s">
        <v>1007</v>
      </c>
      <c r="R111" s="76" t="s">
        <v>95</v>
      </c>
      <c r="S111" s="0" t="n">
        <f aca="false">IF(Recherche!$B$4="",0,IF(ISNUMBER(SEARCH(Recherche!$B$4,D111))+ISNUMBER(SEARCH(Recherche!$B$4,K111))&gt;0,1,0))</f>
        <v>0</v>
      </c>
      <c r="T111" s="0" t="str">
        <f aca="false">IF(S111=1,SUM($S$2:S111),"")</f>
        <v/>
      </c>
    </row>
    <row r="112" customFormat="false" ht="15" hidden="false" customHeight="false" outlineLevel="0" collapsed="false">
      <c r="A112" s="24" t="s">
        <v>1193</v>
      </c>
      <c r="B112" s="24" t="s">
        <v>55</v>
      </c>
      <c r="C112" s="24" t="s">
        <v>1190</v>
      </c>
      <c r="D112" s="23" t="s">
        <v>198</v>
      </c>
      <c r="E112" s="26" t="s">
        <v>91</v>
      </c>
      <c r="F112" s="74" t="s">
        <v>77</v>
      </c>
      <c r="G112" s="74" t="s">
        <v>979</v>
      </c>
      <c r="H112" s="75" t="n">
        <v>29.88</v>
      </c>
      <c r="I112" s="25" t="n">
        <v>29.88</v>
      </c>
      <c r="J112" s="58"/>
      <c r="K112" s="23" t="s">
        <v>1202</v>
      </c>
      <c r="L112" s="24" t="s">
        <v>987</v>
      </c>
      <c r="M112" s="24" t="s">
        <v>1203</v>
      </c>
      <c r="N112" s="26" t="s">
        <v>91</v>
      </c>
      <c r="O112" s="24"/>
      <c r="P112" s="24" t="s">
        <v>114</v>
      </c>
      <c r="Q112" s="24" t="s">
        <v>983</v>
      </c>
      <c r="R112" s="73"/>
      <c r="S112" s="0" t="n">
        <f aca="false">IF(Recherche!$B$4="",0,IF(ISNUMBER(SEARCH(Recherche!$B$4,D112))+ISNUMBER(SEARCH(Recherche!$B$4,K112))&gt;0,1,0))</f>
        <v>0</v>
      </c>
      <c r="T112" s="0" t="str">
        <f aca="false">IF(S112=1,SUM($S$2:S112),"")</f>
        <v/>
      </c>
    </row>
    <row r="113" customFormat="false" ht="23.85" hidden="false" customHeight="false" outlineLevel="0" collapsed="false">
      <c r="A113" s="20" t="s">
        <v>1204</v>
      </c>
      <c r="B113" s="20" t="s">
        <v>55</v>
      </c>
      <c r="C113" s="20" t="s">
        <v>1190</v>
      </c>
      <c r="D113" s="19" t="s">
        <v>200</v>
      </c>
      <c r="E113" s="22" t="s">
        <v>91</v>
      </c>
      <c r="F113" s="74" t="s">
        <v>78</v>
      </c>
      <c r="G113" s="74" t="s">
        <v>943</v>
      </c>
      <c r="H113" s="75" t="n">
        <v>6.64</v>
      </c>
      <c r="I113" s="21"/>
      <c r="J113" s="52"/>
      <c r="K113" s="19" t="s">
        <v>201</v>
      </c>
      <c r="L113" s="20"/>
      <c r="M113" s="20" t="s">
        <v>1205</v>
      </c>
      <c r="N113" s="22" t="s">
        <v>91</v>
      </c>
      <c r="O113" s="20" t="s">
        <v>949</v>
      </c>
      <c r="P113" s="20" t="s">
        <v>93</v>
      </c>
      <c r="Q113" s="20" t="s">
        <v>946</v>
      </c>
      <c r="R113" s="76" t="s">
        <v>95</v>
      </c>
      <c r="S113" s="0" t="n">
        <f aca="false">IF(Recherche!$B$4="",0,IF(ISNUMBER(SEARCH(Recherche!$B$4,D113))+ISNUMBER(SEARCH(Recherche!$B$4,K113))&gt;0,1,0))</f>
        <v>0</v>
      </c>
      <c r="T113" s="0" t="str">
        <f aca="false">IF(S113=1,SUM($S$2:S113),"")</f>
        <v/>
      </c>
    </row>
    <row r="114" customFormat="false" ht="15" hidden="false" customHeight="false" outlineLevel="0" collapsed="false">
      <c r="A114" s="24" t="s">
        <v>1204</v>
      </c>
      <c r="B114" s="24" t="s">
        <v>55</v>
      </c>
      <c r="C114" s="24" t="s">
        <v>1190</v>
      </c>
      <c r="D114" s="23" t="s">
        <v>200</v>
      </c>
      <c r="E114" s="26" t="s">
        <v>91</v>
      </c>
      <c r="F114" s="24" t="s">
        <v>80</v>
      </c>
      <c r="G114" s="24" t="s">
        <v>939</v>
      </c>
      <c r="H114" s="25" t="n">
        <v>34.75</v>
      </c>
      <c r="I114" s="25"/>
      <c r="J114" s="58"/>
      <c r="K114" s="23" t="s">
        <v>1206</v>
      </c>
      <c r="L114" s="24"/>
      <c r="M114" s="24" t="s">
        <v>1207</v>
      </c>
      <c r="N114" s="26" t="s">
        <v>91</v>
      </c>
      <c r="O114" s="24"/>
      <c r="P114" s="24" t="s">
        <v>303</v>
      </c>
      <c r="Q114" s="24" t="s">
        <v>1085</v>
      </c>
      <c r="R114" s="73" t="s">
        <v>95</v>
      </c>
      <c r="S114" s="0" t="n">
        <f aca="false">IF(Recherche!$B$4="",0,IF(ISNUMBER(SEARCH(Recherche!$B$4,D114))+ISNUMBER(SEARCH(Recherche!$B$4,K114))&gt;0,1,0))</f>
        <v>0</v>
      </c>
      <c r="T114" s="0" t="str">
        <f aca="false">IF(S114=1,SUM($S$2:S114),"")</f>
        <v/>
      </c>
    </row>
    <row r="115" customFormat="false" ht="23.85" hidden="false" customHeight="false" outlineLevel="0" collapsed="false">
      <c r="A115" s="20" t="s">
        <v>1208</v>
      </c>
      <c r="B115" s="20" t="s">
        <v>55</v>
      </c>
      <c r="C115" s="20" t="s">
        <v>1190</v>
      </c>
      <c r="D115" s="19" t="s">
        <v>202</v>
      </c>
      <c r="E115" s="22" t="s">
        <v>203</v>
      </c>
      <c r="F115" s="20" t="s">
        <v>80</v>
      </c>
      <c r="G115" s="20" t="s">
        <v>939</v>
      </c>
      <c r="H115" s="21" t="n">
        <v>9.12</v>
      </c>
      <c r="I115" s="21"/>
      <c r="J115" s="52"/>
      <c r="K115" s="19" t="s">
        <v>1209</v>
      </c>
      <c r="L115" s="20"/>
      <c r="M115" s="20" t="s">
        <v>1210</v>
      </c>
      <c r="N115" s="22" t="s">
        <v>91</v>
      </c>
      <c r="O115" s="20"/>
      <c r="P115" s="20" t="s">
        <v>303</v>
      </c>
      <c r="Q115" s="20" t="s">
        <v>942</v>
      </c>
      <c r="R115" s="76" t="s">
        <v>95</v>
      </c>
      <c r="S115" s="0" t="n">
        <f aca="false">IF(Recherche!$B$4="",0,IF(ISNUMBER(SEARCH(Recherche!$B$4,D115))+ISNUMBER(SEARCH(Recherche!$B$4,K115))&gt;0,1,0))</f>
        <v>0</v>
      </c>
      <c r="T115" s="0" t="str">
        <f aca="false">IF(S115=1,SUM($S$2:S115),"")</f>
        <v/>
      </c>
    </row>
    <row r="116" customFormat="false" ht="23.85" hidden="false" customHeight="false" outlineLevel="0" collapsed="false">
      <c r="A116" s="24" t="s">
        <v>1208</v>
      </c>
      <c r="B116" s="24" t="s">
        <v>55</v>
      </c>
      <c r="C116" s="24" t="s">
        <v>1190</v>
      </c>
      <c r="D116" s="23" t="s">
        <v>202</v>
      </c>
      <c r="E116" s="26" t="s">
        <v>203</v>
      </c>
      <c r="F116" s="24" t="s">
        <v>76</v>
      </c>
      <c r="G116" s="24" t="s">
        <v>939</v>
      </c>
      <c r="H116" s="25" t="n">
        <v>27.54</v>
      </c>
      <c r="I116" s="25"/>
      <c r="J116" s="58"/>
      <c r="K116" s="23" t="s">
        <v>204</v>
      </c>
      <c r="L116" s="24" t="s">
        <v>1211</v>
      </c>
      <c r="M116" s="24" t="s">
        <v>1212</v>
      </c>
      <c r="N116" s="26" t="s">
        <v>203</v>
      </c>
      <c r="O116" s="24"/>
      <c r="P116" s="24" t="s">
        <v>93</v>
      </c>
      <c r="Q116" s="24" t="s">
        <v>963</v>
      </c>
      <c r="R116" s="73" t="s">
        <v>95</v>
      </c>
      <c r="S116" s="0" t="n">
        <f aca="false">IF(Recherche!$B$4="",0,IF(ISNUMBER(SEARCH(Recherche!$B$4,D116))+ISNUMBER(SEARCH(Recherche!$B$4,K116))&gt;0,1,0))</f>
        <v>0</v>
      </c>
      <c r="T116" s="0" t="str">
        <f aca="false">IF(S116=1,SUM($S$2:S116),"")</f>
        <v/>
      </c>
    </row>
    <row r="117" customFormat="false" ht="23.85" hidden="false" customHeight="false" outlineLevel="0" collapsed="false">
      <c r="A117" s="20" t="s">
        <v>1208</v>
      </c>
      <c r="B117" s="20" t="s">
        <v>55</v>
      </c>
      <c r="C117" s="20" t="s">
        <v>1190</v>
      </c>
      <c r="D117" s="19" t="s">
        <v>202</v>
      </c>
      <c r="E117" s="22" t="s">
        <v>203</v>
      </c>
      <c r="F117" s="74" t="s">
        <v>81</v>
      </c>
      <c r="G117" s="74" t="s">
        <v>979</v>
      </c>
      <c r="H117" s="75" t="n">
        <v>108.93</v>
      </c>
      <c r="I117" s="21" t="n">
        <v>114.38</v>
      </c>
      <c r="J117" s="52" t="n">
        <v>4.8</v>
      </c>
      <c r="K117" s="19" t="s">
        <v>1213</v>
      </c>
      <c r="L117" s="20" t="s">
        <v>1214</v>
      </c>
      <c r="M117" s="20" t="s">
        <v>1215</v>
      </c>
      <c r="N117" s="22" t="s">
        <v>1216</v>
      </c>
      <c r="O117" s="20" t="s">
        <v>1216</v>
      </c>
      <c r="P117" s="20" t="s">
        <v>169</v>
      </c>
      <c r="Q117" s="20" t="s">
        <v>1007</v>
      </c>
      <c r="R117" s="76" t="s">
        <v>95</v>
      </c>
      <c r="S117" s="0" t="n">
        <f aca="false">IF(Recherche!$B$4="",0,IF(ISNUMBER(SEARCH(Recherche!$B$4,D117))+ISNUMBER(SEARCH(Recherche!$B$4,K117))&gt;0,1,0))</f>
        <v>0</v>
      </c>
      <c r="T117" s="0" t="str">
        <f aca="false">IF(S117=1,SUM($S$2:S117),"")</f>
        <v/>
      </c>
    </row>
    <row r="118" customFormat="false" ht="23.85" hidden="false" customHeight="false" outlineLevel="0" collapsed="false">
      <c r="A118" s="24" t="s">
        <v>1217</v>
      </c>
      <c r="B118" s="24" t="s">
        <v>56</v>
      </c>
      <c r="C118" s="24" t="s">
        <v>1218</v>
      </c>
      <c r="D118" s="23" t="s">
        <v>205</v>
      </c>
      <c r="E118" s="26" t="s">
        <v>137</v>
      </c>
      <c r="F118" s="74" t="s">
        <v>78</v>
      </c>
      <c r="G118" s="74" t="s">
        <v>943</v>
      </c>
      <c r="H118" s="75" t="n">
        <v>1.05</v>
      </c>
      <c r="I118" s="25"/>
      <c r="J118" s="58"/>
      <c r="K118" s="23" t="s">
        <v>1219</v>
      </c>
      <c r="L118" s="24"/>
      <c r="M118" s="24" t="s">
        <v>1220</v>
      </c>
      <c r="N118" s="26"/>
      <c r="O118" s="24"/>
      <c r="P118" s="24" t="s">
        <v>93</v>
      </c>
      <c r="Q118" s="24" t="s">
        <v>946</v>
      </c>
      <c r="R118" s="73" t="s">
        <v>95</v>
      </c>
      <c r="S118" s="0" t="n">
        <f aca="false">IF(Recherche!$B$4="",0,IF(ISNUMBER(SEARCH(Recherche!$B$4,D118))+ISNUMBER(SEARCH(Recherche!$B$4,K118))&gt;0,1,0))</f>
        <v>0</v>
      </c>
      <c r="T118" s="0" t="str">
        <f aca="false">IF(S118=1,SUM($S$2:S118),"")</f>
        <v/>
      </c>
    </row>
    <row r="119" customFormat="false" ht="23.85" hidden="false" customHeight="false" outlineLevel="0" collapsed="false">
      <c r="A119" s="20" t="s">
        <v>1217</v>
      </c>
      <c r="B119" s="20" t="s">
        <v>56</v>
      </c>
      <c r="C119" s="20" t="s">
        <v>1218</v>
      </c>
      <c r="D119" s="19" t="s">
        <v>205</v>
      </c>
      <c r="E119" s="22" t="s">
        <v>137</v>
      </c>
      <c r="F119" s="20" t="s">
        <v>76</v>
      </c>
      <c r="G119" s="20" t="s">
        <v>939</v>
      </c>
      <c r="H119" s="21" t="n">
        <v>152.8</v>
      </c>
      <c r="I119" s="21"/>
      <c r="J119" s="52"/>
      <c r="K119" s="19" t="s">
        <v>206</v>
      </c>
      <c r="L119" s="20" t="s">
        <v>961</v>
      </c>
      <c r="M119" s="20" t="s">
        <v>1221</v>
      </c>
      <c r="N119" s="22" t="s">
        <v>137</v>
      </c>
      <c r="O119" s="20"/>
      <c r="P119" s="20" t="s">
        <v>93</v>
      </c>
      <c r="Q119" s="20" t="s">
        <v>963</v>
      </c>
      <c r="R119" s="76" t="s">
        <v>95</v>
      </c>
      <c r="S119" s="0" t="n">
        <f aca="false">IF(Recherche!$B$4="",0,IF(ISNUMBER(SEARCH(Recherche!$B$4,D119))+ISNUMBER(SEARCH(Recherche!$B$4,K119))&gt;0,1,0))</f>
        <v>0</v>
      </c>
      <c r="T119" s="0" t="str">
        <f aca="false">IF(S119=1,SUM($S$2:S119),"")</f>
        <v/>
      </c>
    </row>
    <row r="120" customFormat="false" ht="23.85" hidden="false" customHeight="false" outlineLevel="0" collapsed="false">
      <c r="A120" s="24" t="s">
        <v>1222</v>
      </c>
      <c r="B120" s="24" t="s">
        <v>56</v>
      </c>
      <c r="C120" s="24" t="s">
        <v>1218</v>
      </c>
      <c r="D120" s="23" t="s">
        <v>207</v>
      </c>
      <c r="E120" s="26" t="s">
        <v>91</v>
      </c>
      <c r="F120" s="74" t="s">
        <v>78</v>
      </c>
      <c r="G120" s="74" t="s">
        <v>943</v>
      </c>
      <c r="H120" s="75" t="n">
        <v>78.64</v>
      </c>
      <c r="I120" s="25"/>
      <c r="J120" s="58"/>
      <c r="K120" s="23" t="s">
        <v>208</v>
      </c>
      <c r="L120" s="24"/>
      <c r="M120" s="24" t="s">
        <v>1223</v>
      </c>
      <c r="N120" s="26" t="s">
        <v>91</v>
      </c>
      <c r="O120" s="24"/>
      <c r="P120" s="24" t="s">
        <v>93</v>
      </c>
      <c r="Q120" s="24" t="s">
        <v>1016</v>
      </c>
      <c r="R120" s="73"/>
      <c r="S120" s="0" t="n">
        <f aca="false">IF(Recherche!$B$4="",0,IF(ISNUMBER(SEARCH(Recherche!$B$4,D120))+ISNUMBER(SEARCH(Recherche!$B$4,K120))&gt;0,1,0))</f>
        <v>0</v>
      </c>
      <c r="T120" s="0" t="str">
        <f aca="false">IF(S120=1,SUM($S$2:S120),"")</f>
        <v/>
      </c>
    </row>
    <row r="121" customFormat="false" ht="23.85" hidden="false" customHeight="false" outlineLevel="0" collapsed="false">
      <c r="A121" s="20" t="s">
        <v>1224</v>
      </c>
      <c r="B121" s="20" t="s">
        <v>56</v>
      </c>
      <c r="C121" s="20" t="s">
        <v>1218</v>
      </c>
      <c r="D121" s="19" t="s">
        <v>209</v>
      </c>
      <c r="E121" s="22" t="s">
        <v>91</v>
      </c>
      <c r="F121" s="74" t="s">
        <v>77</v>
      </c>
      <c r="G121" s="74" t="s">
        <v>979</v>
      </c>
      <c r="H121" s="75" t="n">
        <v>24.07</v>
      </c>
      <c r="I121" s="21" t="n">
        <v>27.05</v>
      </c>
      <c r="J121" s="52" t="n">
        <v>11</v>
      </c>
      <c r="K121" s="19" t="s">
        <v>210</v>
      </c>
      <c r="L121" s="20" t="s">
        <v>981</v>
      </c>
      <c r="M121" s="20" t="s">
        <v>1225</v>
      </c>
      <c r="N121" s="22" t="s">
        <v>91</v>
      </c>
      <c r="O121" s="20"/>
      <c r="P121" s="20" t="s">
        <v>114</v>
      </c>
      <c r="Q121" s="20" t="s">
        <v>983</v>
      </c>
      <c r="R121" s="76"/>
      <c r="S121" s="0" t="n">
        <f aca="false">IF(Recherche!$B$4="",0,IF(ISNUMBER(SEARCH(Recherche!$B$4,D121))+ISNUMBER(SEARCH(Recherche!$B$4,K121))&gt;0,1,0))</f>
        <v>0</v>
      </c>
      <c r="T121" s="0" t="str">
        <f aca="false">IF(S121=1,SUM($S$2:S121),"")</f>
        <v/>
      </c>
    </row>
    <row r="122" customFormat="false" ht="23.85" hidden="false" customHeight="false" outlineLevel="0" collapsed="false">
      <c r="A122" s="24" t="s">
        <v>1226</v>
      </c>
      <c r="B122" s="24" t="s">
        <v>56</v>
      </c>
      <c r="C122" s="24" t="s">
        <v>1218</v>
      </c>
      <c r="D122" s="23" t="s">
        <v>211</v>
      </c>
      <c r="E122" s="26" t="s">
        <v>91</v>
      </c>
      <c r="F122" s="24" t="s">
        <v>76</v>
      </c>
      <c r="G122" s="24" t="s">
        <v>939</v>
      </c>
      <c r="H122" s="25" t="n">
        <v>145.13</v>
      </c>
      <c r="I122" s="25"/>
      <c r="J122" s="58"/>
      <c r="K122" s="23" t="s">
        <v>212</v>
      </c>
      <c r="L122" s="24" t="s">
        <v>969</v>
      </c>
      <c r="M122" s="24" t="s">
        <v>1227</v>
      </c>
      <c r="N122" s="26" t="s">
        <v>91</v>
      </c>
      <c r="O122" s="24"/>
      <c r="P122" s="24" t="s">
        <v>93</v>
      </c>
      <c r="Q122" s="24" t="s">
        <v>942</v>
      </c>
      <c r="R122" s="73" t="s">
        <v>95</v>
      </c>
      <c r="S122" s="0" t="n">
        <f aca="false">IF(Recherche!$B$4="",0,IF(ISNUMBER(SEARCH(Recherche!$B$4,D122))+ISNUMBER(SEARCH(Recherche!$B$4,K122))&gt;0,1,0))</f>
        <v>0</v>
      </c>
      <c r="T122" s="0" t="str">
        <f aca="false">IF(S122=1,SUM($S$2:S122),"")</f>
        <v/>
      </c>
    </row>
    <row r="123" customFormat="false" ht="15" hidden="false" customHeight="false" outlineLevel="0" collapsed="false">
      <c r="A123" s="20" t="s">
        <v>1226</v>
      </c>
      <c r="B123" s="20" t="s">
        <v>56</v>
      </c>
      <c r="C123" s="20" t="s">
        <v>1218</v>
      </c>
      <c r="D123" s="19" t="s">
        <v>211</v>
      </c>
      <c r="E123" s="22" t="s">
        <v>91</v>
      </c>
      <c r="F123" s="74" t="s">
        <v>77</v>
      </c>
      <c r="G123" s="74" t="s">
        <v>979</v>
      </c>
      <c r="H123" s="75" t="n">
        <v>212.84</v>
      </c>
      <c r="I123" s="21" t="n">
        <v>239.15</v>
      </c>
      <c r="J123" s="52" t="n">
        <v>11</v>
      </c>
      <c r="K123" s="19" t="s">
        <v>1228</v>
      </c>
      <c r="L123" s="20" t="s">
        <v>981</v>
      </c>
      <c r="M123" s="20" t="s">
        <v>1229</v>
      </c>
      <c r="N123" s="22" t="s">
        <v>91</v>
      </c>
      <c r="O123" s="20"/>
      <c r="P123" s="20" t="s">
        <v>114</v>
      </c>
      <c r="Q123" s="20" t="s">
        <v>983</v>
      </c>
      <c r="R123" s="76"/>
      <c r="S123" s="0" t="n">
        <f aca="false">IF(Recherche!$B$4="",0,IF(ISNUMBER(SEARCH(Recherche!$B$4,D123))+ISNUMBER(SEARCH(Recherche!$B$4,K123))&gt;0,1,0))</f>
        <v>0</v>
      </c>
      <c r="T123" s="0" t="str">
        <f aca="false">IF(S123=1,SUM($S$2:S123),"")</f>
        <v/>
      </c>
    </row>
    <row r="124" customFormat="false" ht="15" hidden="false" customHeight="false" outlineLevel="0" collapsed="false">
      <c r="A124" s="24" t="s">
        <v>1230</v>
      </c>
      <c r="B124" s="24" t="s">
        <v>56</v>
      </c>
      <c r="C124" s="24" t="s">
        <v>1218</v>
      </c>
      <c r="D124" s="23" t="s">
        <v>213</v>
      </c>
      <c r="E124" s="26" t="s">
        <v>91</v>
      </c>
      <c r="F124" s="74" t="s">
        <v>77</v>
      </c>
      <c r="G124" s="74" t="s">
        <v>979</v>
      </c>
      <c r="H124" s="75" t="n">
        <v>337.88</v>
      </c>
      <c r="I124" s="25" t="n">
        <v>438.81</v>
      </c>
      <c r="J124" s="58" t="n">
        <v>23</v>
      </c>
      <c r="K124" s="23" t="s">
        <v>214</v>
      </c>
      <c r="L124" s="24" t="s">
        <v>1077</v>
      </c>
      <c r="M124" s="24" t="s">
        <v>1231</v>
      </c>
      <c r="N124" s="26" t="s">
        <v>91</v>
      </c>
      <c r="O124" s="24"/>
      <c r="P124" s="24" t="s">
        <v>114</v>
      </c>
      <c r="Q124" s="24" t="s">
        <v>983</v>
      </c>
      <c r="R124" s="73"/>
      <c r="S124" s="0" t="n">
        <f aca="false">IF(Recherche!$B$4="",0,IF(ISNUMBER(SEARCH(Recherche!$B$4,D124))+ISNUMBER(SEARCH(Recherche!$B$4,K124))&gt;0,1,0))</f>
        <v>0</v>
      </c>
      <c r="T124" s="0" t="str">
        <f aca="false">IF(S124=1,SUM($S$2:S124),"")</f>
        <v/>
      </c>
    </row>
    <row r="125" customFormat="false" ht="15" hidden="false" customHeight="false" outlineLevel="0" collapsed="false">
      <c r="A125" s="20" t="s">
        <v>1232</v>
      </c>
      <c r="B125" s="20" t="s">
        <v>56</v>
      </c>
      <c r="C125" s="20" t="s">
        <v>1233</v>
      </c>
      <c r="D125" s="19" t="s">
        <v>215</v>
      </c>
      <c r="E125" s="22" t="s">
        <v>91</v>
      </c>
      <c r="F125" s="74" t="s">
        <v>77</v>
      </c>
      <c r="G125" s="74" t="s">
        <v>979</v>
      </c>
      <c r="H125" s="75" t="n">
        <v>36.99</v>
      </c>
      <c r="I125" s="21" t="n">
        <v>36.99</v>
      </c>
      <c r="J125" s="52"/>
      <c r="K125" s="19" t="s">
        <v>216</v>
      </c>
      <c r="L125" s="20" t="s">
        <v>1234</v>
      </c>
      <c r="M125" s="20" t="s">
        <v>1235</v>
      </c>
      <c r="N125" s="22" t="s">
        <v>91</v>
      </c>
      <c r="O125" s="20"/>
      <c r="P125" s="20" t="s">
        <v>114</v>
      </c>
      <c r="Q125" s="20" t="s">
        <v>983</v>
      </c>
      <c r="R125" s="76"/>
      <c r="S125" s="0" t="n">
        <f aca="false">IF(Recherche!$B$4="",0,IF(ISNUMBER(SEARCH(Recherche!$B$4,D125))+ISNUMBER(SEARCH(Recherche!$B$4,K125))&gt;0,1,0))</f>
        <v>0</v>
      </c>
      <c r="T125" s="0" t="str">
        <f aca="false">IF(S125=1,SUM($S$2:S125),"")</f>
        <v/>
      </c>
    </row>
    <row r="126" customFormat="false" ht="23.85" hidden="false" customHeight="false" outlineLevel="0" collapsed="false">
      <c r="A126" s="24" t="s">
        <v>1232</v>
      </c>
      <c r="B126" s="24" t="s">
        <v>56</v>
      </c>
      <c r="C126" s="24" t="s">
        <v>1233</v>
      </c>
      <c r="D126" s="23" t="s">
        <v>215</v>
      </c>
      <c r="E126" s="26" t="s">
        <v>91</v>
      </c>
      <c r="F126" s="24" t="s">
        <v>76</v>
      </c>
      <c r="G126" s="24" t="s">
        <v>939</v>
      </c>
      <c r="H126" s="25" t="n">
        <v>133.8</v>
      </c>
      <c r="I126" s="25"/>
      <c r="J126" s="58"/>
      <c r="K126" s="23" t="s">
        <v>1236</v>
      </c>
      <c r="L126" s="24" t="s">
        <v>1237</v>
      </c>
      <c r="M126" s="24" t="s">
        <v>1238</v>
      </c>
      <c r="N126" s="26" t="s">
        <v>91</v>
      </c>
      <c r="O126" s="24"/>
      <c r="P126" s="24" t="s">
        <v>93</v>
      </c>
      <c r="Q126" s="24" t="s">
        <v>963</v>
      </c>
      <c r="R126" s="73" t="s">
        <v>95</v>
      </c>
      <c r="S126" s="0" t="n">
        <f aca="false">IF(Recherche!$B$4="",0,IF(ISNUMBER(SEARCH(Recherche!$B$4,D126))+ISNUMBER(SEARCH(Recherche!$B$4,K126))&gt;0,1,0))</f>
        <v>0</v>
      </c>
      <c r="T126" s="0" t="str">
        <f aca="false">IF(S126=1,SUM($S$2:S126),"")</f>
        <v/>
      </c>
    </row>
    <row r="127" customFormat="false" ht="23.85" hidden="false" customHeight="false" outlineLevel="0" collapsed="false">
      <c r="A127" s="20" t="s">
        <v>1239</v>
      </c>
      <c r="B127" s="20" t="s">
        <v>56</v>
      </c>
      <c r="C127" s="20" t="s">
        <v>1233</v>
      </c>
      <c r="D127" s="19" t="s">
        <v>217</v>
      </c>
      <c r="E127" s="22" t="s">
        <v>91</v>
      </c>
      <c r="F127" s="20" t="s">
        <v>76</v>
      </c>
      <c r="G127" s="20" t="s">
        <v>939</v>
      </c>
      <c r="H127" s="21" t="n">
        <v>164.7</v>
      </c>
      <c r="I127" s="21"/>
      <c r="J127" s="52"/>
      <c r="K127" s="19" t="s">
        <v>218</v>
      </c>
      <c r="L127" s="20" t="s">
        <v>1240</v>
      </c>
      <c r="M127" s="20" t="s">
        <v>1241</v>
      </c>
      <c r="N127" s="22" t="s">
        <v>91</v>
      </c>
      <c r="O127" s="20"/>
      <c r="P127" s="20" t="s">
        <v>93</v>
      </c>
      <c r="Q127" s="20" t="s">
        <v>963</v>
      </c>
      <c r="R127" s="76" t="s">
        <v>95</v>
      </c>
      <c r="S127" s="0" t="n">
        <f aca="false">IF(Recherche!$B$4="",0,IF(ISNUMBER(SEARCH(Recherche!$B$4,D127))+ISNUMBER(SEARCH(Recherche!$B$4,K127))&gt;0,1,0))</f>
        <v>0</v>
      </c>
      <c r="T127" s="0" t="str">
        <f aca="false">IF(S127=1,SUM($S$2:S127),"")</f>
        <v/>
      </c>
    </row>
    <row r="128" customFormat="false" ht="23.85" hidden="false" customHeight="false" outlineLevel="0" collapsed="false">
      <c r="A128" s="24" t="s">
        <v>1242</v>
      </c>
      <c r="B128" s="24" t="s">
        <v>56</v>
      </c>
      <c r="C128" s="24" t="s">
        <v>1233</v>
      </c>
      <c r="D128" s="23" t="s">
        <v>219</v>
      </c>
      <c r="E128" s="26" t="s">
        <v>91</v>
      </c>
      <c r="F128" s="24" t="s">
        <v>76</v>
      </c>
      <c r="G128" s="24" t="s">
        <v>939</v>
      </c>
      <c r="H128" s="25" t="n">
        <v>224.6</v>
      </c>
      <c r="I128" s="25"/>
      <c r="J128" s="58"/>
      <c r="K128" s="23" t="s">
        <v>220</v>
      </c>
      <c r="L128" s="24" t="s">
        <v>1243</v>
      </c>
      <c r="M128" s="24" t="s">
        <v>1244</v>
      </c>
      <c r="N128" s="26" t="s">
        <v>91</v>
      </c>
      <c r="O128" s="24"/>
      <c r="P128" s="24" t="s">
        <v>93</v>
      </c>
      <c r="Q128" s="24" t="s">
        <v>963</v>
      </c>
      <c r="R128" s="73" t="s">
        <v>95</v>
      </c>
      <c r="S128" s="0" t="n">
        <f aca="false">IF(Recherche!$B$4="",0,IF(ISNUMBER(SEARCH(Recherche!$B$4,D128))+ISNUMBER(SEARCH(Recherche!$B$4,K128))&gt;0,1,0))</f>
        <v>0</v>
      </c>
      <c r="T128" s="0" t="str">
        <f aca="false">IF(S128=1,SUM($S$2:S128),"")</f>
        <v/>
      </c>
    </row>
    <row r="129" customFormat="false" ht="15" hidden="false" customHeight="false" outlineLevel="0" collapsed="false">
      <c r="A129" s="20" t="s">
        <v>1242</v>
      </c>
      <c r="B129" s="20" t="s">
        <v>56</v>
      </c>
      <c r="C129" s="20" t="s">
        <v>1233</v>
      </c>
      <c r="D129" s="19" t="s">
        <v>219</v>
      </c>
      <c r="E129" s="22" t="s">
        <v>91</v>
      </c>
      <c r="F129" s="74" t="s">
        <v>78</v>
      </c>
      <c r="G129" s="74" t="s">
        <v>943</v>
      </c>
      <c r="H129" s="75" t="n">
        <v>549.98</v>
      </c>
      <c r="I129" s="21"/>
      <c r="J129" s="52"/>
      <c r="K129" s="19" t="s">
        <v>1245</v>
      </c>
      <c r="L129" s="20"/>
      <c r="M129" s="20" t="s">
        <v>1246</v>
      </c>
      <c r="N129" s="22"/>
      <c r="O129" s="20"/>
      <c r="P129" s="20" t="s">
        <v>93</v>
      </c>
      <c r="Q129" s="20" t="s">
        <v>1016</v>
      </c>
      <c r="R129" s="76" t="s">
        <v>95</v>
      </c>
      <c r="S129" s="0" t="n">
        <f aca="false">IF(Recherche!$B$4="",0,IF(ISNUMBER(SEARCH(Recherche!$B$4,D129))+ISNUMBER(SEARCH(Recherche!$B$4,K129))&gt;0,1,0))</f>
        <v>0</v>
      </c>
      <c r="T129" s="0" t="str">
        <f aca="false">IF(S129=1,SUM($S$2:S129),"")</f>
        <v/>
      </c>
    </row>
    <row r="130" customFormat="false" ht="23.85" hidden="false" customHeight="false" outlineLevel="0" collapsed="false">
      <c r="A130" s="24" t="s">
        <v>1247</v>
      </c>
      <c r="B130" s="24" t="s">
        <v>56</v>
      </c>
      <c r="C130" s="24" t="s">
        <v>1248</v>
      </c>
      <c r="D130" s="23" t="s">
        <v>221</v>
      </c>
      <c r="E130" s="26" t="s">
        <v>91</v>
      </c>
      <c r="F130" s="74" t="s">
        <v>77</v>
      </c>
      <c r="G130" s="74" t="s">
        <v>979</v>
      </c>
      <c r="H130" s="75" t="n">
        <v>581.48</v>
      </c>
      <c r="I130" s="25" t="n">
        <v>775.31</v>
      </c>
      <c r="J130" s="58" t="n">
        <v>25</v>
      </c>
      <c r="K130" s="23" t="s">
        <v>222</v>
      </c>
      <c r="L130" s="24" t="s">
        <v>1249</v>
      </c>
      <c r="M130" s="24" t="s">
        <v>1250</v>
      </c>
      <c r="N130" s="26" t="s">
        <v>91</v>
      </c>
      <c r="O130" s="24"/>
      <c r="P130" s="24" t="s">
        <v>114</v>
      </c>
      <c r="Q130" s="24" t="s">
        <v>983</v>
      </c>
      <c r="R130" s="73"/>
      <c r="S130" s="0" t="n">
        <f aca="false">IF(Recherche!$B$4="",0,IF(ISNUMBER(SEARCH(Recherche!$B$4,D130))+ISNUMBER(SEARCH(Recherche!$B$4,K130))&gt;0,1,0))</f>
        <v>0</v>
      </c>
      <c r="T130" s="0" t="str">
        <f aca="false">IF(S130=1,SUM($S$2:S130),"")</f>
        <v/>
      </c>
    </row>
    <row r="131" customFormat="false" ht="15" hidden="false" customHeight="false" outlineLevel="0" collapsed="false">
      <c r="A131" s="20" t="s">
        <v>1251</v>
      </c>
      <c r="B131" s="20" t="s">
        <v>56</v>
      </c>
      <c r="C131" s="20" t="s">
        <v>1248</v>
      </c>
      <c r="D131" s="19" t="s">
        <v>223</v>
      </c>
      <c r="E131" s="22" t="s">
        <v>91</v>
      </c>
      <c r="F131" s="20" t="s">
        <v>76</v>
      </c>
      <c r="G131" s="20" t="s">
        <v>939</v>
      </c>
      <c r="H131" s="21" t="n">
        <v>30.02</v>
      </c>
      <c r="I131" s="21"/>
      <c r="J131" s="52"/>
      <c r="K131" s="19" t="s">
        <v>224</v>
      </c>
      <c r="L131" s="20" t="s">
        <v>1252</v>
      </c>
      <c r="M131" s="20" t="s">
        <v>1253</v>
      </c>
      <c r="N131" s="22" t="s">
        <v>91</v>
      </c>
      <c r="O131" s="20"/>
      <c r="P131" s="20" t="s">
        <v>93</v>
      </c>
      <c r="Q131" s="20" t="s">
        <v>942</v>
      </c>
      <c r="R131" s="76" t="s">
        <v>95</v>
      </c>
      <c r="S131" s="0" t="n">
        <f aca="false">IF(Recherche!$B$4="",0,IF(ISNUMBER(SEARCH(Recherche!$B$4,D131))+ISNUMBER(SEARCH(Recherche!$B$4,K131))&gt;0,1,0))</f>
        <v>0</v>
      </c>
      <c r="T131" s="0" t="str">
        <f aca="false">IF(S131=1,SUM($S$2:S131),"")</f>
        <v/>
      </c>
    </row>
    <row r="132" customFormat="false" ht="23.85" hidden="false" customHeight="false" outlineLevel="0" collapsed="false">
      <c r="A132" s="24" t="s">
        <v>1254</v>
      </c>
      <c r="B132" s="24" t="s">
        <v>56</v>
      </c>
      <c r="C132" s="24" t="s">
        <v>1248</v>
      </c>
      <c r="D132" s="23" t="s">
        <v>225</v>
      </c>
      <c r="E132" s="26" t="s">
        <v>91</v>
      </c>
      <c r="F132" s="74" t="s">
        <v>77</v>
      </c>
      <c r="G132" s="74" t="s">
        <v>979</v>
      </c>
      <c r="H132" s="75" t="n">
        <v>854.25</v>
      </c>
      <c r="I132" s="25" t="n">
        <v>1256.25</v>
      </c>
      <c r="J132" s="58" t="n">
        <v>32</v>
      </c>
      <c r="K132" s="23" t="s">
        <v>226</v>
      </c>
      <c r="L132" s="24" t="s">
        <v>1255</v>
      </c>
      <c r="M132" s="24" t="s">
        <v>1256</v>
      </c>
      <c r="N132" s="26" t="s">
        <v>91</v>
      </c>
      <c r="O132" s="24"/>
      <c r="P132" s="24" t="s">
        <v>114</v>
      </c>
      <c r="Q132" s="24" t="s">
        <v>983</v>
      </c>
      <c r="R132" s="73"/>
      <c r="S132" s="0" t="n">
        <f aca="false">IF(Recherche!$B$4="",0,IF(ISNUMBER(SEARCH(Recherche!$B$4,D132))+ISNUMBER(SEARCH(Recherche!$B$4,K132))&gt;0,1,0))</f>
        <v>0</v>
      </c>
      <c r="T132" s="0" t="str">
        <f aca="false">IF(S132=1,SUM($S$2:S132),"")</f>
        <v/>
      </c>
    </row>
    <row r="133" customFormat="false" ht="15" hidden="false" customHeight="false" outlineLevel="0" collapsed="false">
      <c r="A133" s="20" t="s">
        <v>1257</v>
      </c>
      <c r="B133" s="20" t="s">
        <v>56</v>
      </c>
      <c r="C133" s="20" t="s">
        <v>1258</v>
      </c>
      <c r="D133" s="19" t="s">
        <v>227</v>
      </c>
      <c r="E133" s="22" t="s">
        <v>91</v>
      </c>
      <c r="F133" s="20" t="s">
        <v>76</v>
      </c>
      <c r="G133" s="20" t="s">
        <v>939</v>
      </c>
      <c r="H133" s="21" t="n">
        <v>509.9</v>
      </c>
      <c r="I133" s="21"/>
      <c r="J133" s="52"/>
      <c r="K133" s="19" t="s">
        <v>228</v>
      </c>
      <c r="L133" s="20" t="s">
        <v>1259</v>
      </c>
      <c r="M133" s="20" t="s">
        <v>1260</v>
      </c>
      <c r="N133" s="22" t="s">
        <v>91</v>
      </c>
      <c r="O133" s="20"/>
      <c r="P133" s="20" t="s">
        <v>93</v>
      </c>
      <c r="Q133" s="20" t="s">
        <v>963</v>
      </c>
      <c r="R133" s="76" t="s">
        <v>95</v>
      </c>
      <c r="S133" s="0" t="n">
        <f aca="false">IF(Recherche!$B$4="",0,IF(ISNUMBER(SEARCH(Recherche!$B$4,D133))+ISNUMBER(SEARCH(Recherche!$B$4,K133))&gt;0,1,0))</f>
        <v>0</v>
      </c>
      <c r="T133" s="0" t="str">
        <f aca="false">IF(S133=1,SUM($S$2:S133),"")</f>
        <v/>
      </c>
    </row>
    <row r="134" customFormat="false" ht="15" hidden="false" customHeight="false" outlineLevel="0" collapsed="false">
      <c r="A134" s="24" t="s">
        <v>1261</v>
      </c>
      <c r="B134" s="24" t="s">
        <v>56</v>
      </c>
      <c r="C134" s="24" t="s">
        <v>1258</v>
      </c>
      <c r="D134" s="23" t="s">
        <v>229</v>
      </c>
      <c r="E134" s="26" t="s">
        <v>91</v>
      </c>
      <c r="F134" s="24" t="s">
        <v>76</v>
      </c>
      <c r="G134" s="24" t="s">
        <v>939</v>
      </c>
      <c r="H134" s="25" t="n">
        <v>1.14</v>
      </c>
      <c r="I134" s="25"/>
      <c r="J134" s="58"/>
      <c r="K134" s="23" t="s">
        <v>230</v>
      </c>
      <c r="L134" s="24" t="s">
        <v>1259</v>
      </c>
      <c r="M134" s="24" t="s">
        <v>1262</v>
      </c>
      <c r="N134" s="26" t="s">
        <v>91</v>
      </c>
      <c r="O134" s="24"/>
      <c r="P134" s="24" t="s">
        <v>93</v>
      </c>
      <c r="Q134" s="24" t="s">
        <v>942</v>
      </c>
      <c r="R134" s="73" t="s">
        <v>95</v>
      </c>
      <c r="S134" s="0" t="n">
        <f aca="false">IF(Recherche!$B$4="",0,IF(ISNUMBER(SEARCH(Recherche!$B$4,D134))+ISNUMBER(SEARCH(Recherche!$B$4,K134))&gt;0,1,0))</f>
        <v>0</v>
      </c>
      <c r="T134" s="0" t="str">
        <f aca="false">IF(S134=1,SUM($S$2:S134),"")</f>
        <v/>
      </c>
    </row>
    <row r="135" customFormat="false" ht="23.85" hidden="false" customHeight="false" outlineLevel="0" collapsed="false">
      <c r="A135" s="20" t="s">
        <v>1261</v>
      </c>
      <c r="B135" s="20" t="s">
        <v>56</v>
      </c>
      <c r="C135" s="20" t="s">
        <v>1258</v>
      </c>
      <c r="D135" s="19" t="s">
        <v>229</v>
      </c>
      <c r="E135" s="22" t="s">
        <v>91</v>
      </c>
      <c r="F135" s="74" t="s">
        <v>78</v>
      </c>
      <c r="G135" s="74" t="s">
        <v>943</v>
      </c>
      <c r="H135" s="75" t="n">
        <v>3.03</v>
      </c>
      <c r="I135" s="21"/>
      <c r="J135" s="52"/>
      <c r="K135" s="19" t="s">
        <v>1263</v>
      </c>
      <c r="L135" s="20"/>
      <c r="M135" s="20" t="s">
        <v>1264</v>
      </c>
      <c r="N135" s="22"/>
      <c r="O135" s="20"/>
      <c r="P135" s="20" t="s">
        <v>93</v>
      </c>
      <c r="Q135" s="20" t="s">
        <v>946</v>
      </c>
      <c r="R135" s="76" t="s">
        <v>95</v>
      </c>
      <c r="S135" s="0" t="n">
        <f aca="false">IF(Recherche!$B$4="",0,IF(ISNUMBER(SEARCH(Recherche!$B$4,D135))+ISNUMBER(SEARCH(Recherche!$B$4,K135))&gt;0,1,0))</f>
        <v>0</v>
      </c>
      <c r="T135" s="0" t="str">
        <f aca="false">IF(S135=1,SUM($S$2:S135),"")</f>
        <v/>
      </c>
    </row>
    <row r="136" customFormat="false" ht="15" hidden="false" customHeight="false" outlineLevel="0" collapsed="false">
      <c r="A136" s="24" t="s">
        <v>1265</v>
      </c>
      <c r="B136" s="24" t="s">
        <v>56</v>
      </c>
      <c r="C136" s="24" t="s">
        <v>1258</v>
      </c>
      <c r="D136" s="23" t="s">
        <v>231</v>
      </c>
      <c r="E136" s="26" t="s">
        <v>91</v>
      </c>
      <c r="F136" s="24" t="s">
        <v>76</v>
      </c>
      <c r="G136" s="24" t="s">
        <v>939</v>
      </c>
      <c r="H136" s="25" t="n">
        <v>54</v>
      </c>
      <c r="I136" s="25"/>
      <c r="J136" s="58"/>
      <c r="K136" s="23" t="s">
        <v>232</v>
      </c>
      <c r="L136" s="24" t="s">
        <v>1266</v>
      </c>
      <c r="M136" s="24" t="s">
        <v>1267</v>
      </c>
      <c r="N136" s="26" t="s">
        <v>91</v>
      </c>
      <c r="O136" s="24"/>
      <c r="P136" s="24" t="s">
        <v>93</v>
      </c>
      <c r="Q136" s="24" t="s">
        <v>963</v>
      </c>
      <c r="R136" s="73" t="s">
        <v>95</v>
      </c>
      <c r="S136" s="0" t="n">
        <f aca="false">IF(Recherche!$B$4="",0,IF(ISNUMBER(SEARCH(Recherche!$B$4,D136))+ISNUMBER(SEARCH(Recherche!$B$4,K136))&gt;0,1,0))</f>
        <v>0</v>
      </c>
      <c r="T136" s="0" t="str">
        <f aca="false">IF(S136=1,SUM($S$2:S136),"")</f>
        <v/>
      </c>
    </row>
    <row r="137" customFormat="false" ht="35.05" hidden="false" customHeight="false" outlineLevel="0" collapsed="false">
      <c r="A137" s="20" t="s">
        <v>1265</v>
      </c>
      <c r="B137" s="20" t="s">
        <v>56</v>
      </c>
      <c r="C137" s="20" t="s">
        <v>1258</v>
      </c>
      <c r="D137" s="19" t="s">
        <v>231</v>
      </c>
      <c r="E137" s="22" t="s">
        <v>91</v>
      </c>
      <c r="F137" s="74" t="s">
        <v>77</v>
      </c>
      <c r="G137" s="74" t="s">
        <v>979</v>
      </c>
      <c r="H137" s="75" t="n">
        <v>123.25</v>
      </c>
      <c r="I137" s="21" t="n">
        <v>181.25</v>
      </c>
      <c r="J137" s="52" t="n">
        <v>32</v>
      </c>
      <c r="K137" s="19" t="s">
        <v>1268</v>
      </c>
      <c r="L137" s="20" t="s">
        <v>1255</v>
      </c>
      <c r="M137" s="20" t="s">
        <v>1269</v>
      </c>
      <c r="N137" s="22" t="s">
        <v>91</v>
      </c>
      <c r="O137" s="20"/>
      <c r="P137" s="20" t="s">
        <v>114</v>
      </c>
      <c r="Q137" s="20" t="s">
        <v>983</v>
      </c>
      <c r="R137" s="76"/>
      <c r="S137" s="0" t="n">
        <f aca="false">IF(Recherche!$B$4="",0,IF(ISNUMBER(SEARCH(Recherche!$B$4,D137))+ISNUMBER(SEARCH(Recherche!$B$4,K137))&gt;0,1,0))</f>
        <v>0</v>
      </c>
      <c r="T137" s="0" t="str">
        <f aca="false">IF(S137=1,SUM($S$2:S137),"")</f>
        <v/>
      </c>
    </row>
    <row r="138" customFormat="false" ht="15" hidden="false" customHeight="false" outlineLevel="0" collapsed="false">
      <c r="A138" s="24" t="s">
        <v>1270</v>
      </c>
      <c r="B138" s="24" t="s">
        <v>56</v>
      </c>
      <c r="C138" s="24" t="s">
        <v>1258</v>
      </c>
      <c r="D138" s="23" t="s">
        <v>233</v>
      </c>
      <c r="E138" s="26" t="s">
        <v>91</v>
      </c>
      <c r="F138" s="24" t="s">
        <v>76</v>
      </c>
      <c r="G138" s="24" t="s">
        <v>939</v>
      </c>
      <c r="H138" s="25" t="n">
        <v>2.2</v>
      </c>
      <c r="I138" s="25"/>
      <c r="J138" s="58"/>
      <c r="K138" s="23" t="s">
        <v>234</v>
      </c>
      <c r="L138" s="24" t="s">
        <v>1271</v>
      </c>
      <c r="M138" s="24" t="s">
        <v>1272</v>
      </c>
      <c r="N138" s="26" t="s">
        <v>91</v>
      </c>
      <c r="O138" s="24"/>
      <c r="P138" s="24" t="s">
        <v>93</v>
      </c>
      <c r="Q138" s="24" t="s">
        <v>963</v>
      </c>
      <c r="R138" s="73" t="s">
        <v>95</v>
      </c>
      <c r="S138" s="0" t="n">
        <f aca="false">IF(Recherche!$B$4="",0,IF(ISNUMBER(SEARCH(Recherche!$B$4,D138))+ISNUMBER(SEARCH(Recherche!$B$4,K138))&gt;0,1,0))</f>
        <v>0</v>
      </c>
      <c r="T138" s="0" t="str">
        <f aca="false">IF(S138=1,SUM($S$2:S138),"")</f>
        <v/>
      </c>
    </row>
    <row r="139" customFormat="false" ht="15" hidden="false" customHeight="false" outlineLevel="0" collapsed="false">
      <c r="A139" s="20" t="s">
        <v>1270</v>
      </c>
      <c r="B139" s="20" t="s">
        <v>56</v>
      </c>
      <c r="C139" s="20" t="s">
        <v>1258</v>
      </c>
      <c r="D139" s="19" t="s">
        <v>233</v>
      </c>
      <c r="E139" s="22" t="s">
        <v>91</v>
      </c>
      <c r="F139" s="74" t="s">
        <v>81</v>
      </c>
      <c r="G139" s="74" t="s">
        <v>979</v>
      </c>
      <c r="H139" s="75" t="n">
        <v>17.33</v>
      </c>
      <c r="I139" s="21" t="n">
        <v>18.24</v>
      </c>
      <c r="J139" s="52" t="n">
        <v>5</v>
      </c>
      <c r="K139" s="19" t="s">
        <v>1273</v>
      </c>
      <c r="L139" s="20" t="s">
        <v>1274</v>
      </c>
      <c r="M139" s="20" t="s">
        <v>1275</v>
      </c>
      <c r="N139" s="22" t="s">
        <v>91</v>
      </c>
      <c r="O139" s="20" t="s">
        <v>949</v>
      </c>
      <c r="P139" s="20" t="s">
        <v>119</v>
      </c>
      <c r="Q139" s="20" t="s">
        <v>1016</v>
      </c>
      <c r="R139" s="76" t="s">
        <v>95</v>
      </c>
      <c r="S139" s="0" t="n">
        <f aca="false">IF(Recherche!$B$4="",0,IF(ISNUMBER(SEARCH(Recherche!$B$4,D139))+ISNUMBER(SEARCH(Recherche!$B$4,K139))&gt;0,1,0))</f>
        <v>0</v>
      </c>
      <c r="T139" s="0" t="str">
        <f aca="false">IF(S139=1,SUM($S$2:S139),"")</f>
        <v/>
      </c>
    </row>
    <row r="140" customFormat="false" ht="35.05" hidden="false" customHeight="false" outlineLevel="0" collapsed="false">
      <c r="A140" s="24" t="s">
        <v>1270</v>
      </c>
      <c r="B140" s="24" t="s">
        <v>56</v>
      </c>
      <c r="C140" s="24" t="s">
        <v>1258</v>
      </c>
      <c r="D140" s="23" t="s">
        <v>233</v>
      </c>
      <c r="E140" s="26" t="s">
        <v>91</v>
      </c>
      <c r="F140" s="74" t="s">
        <v>77</v>
      </c>
      <c r="G140" s="74" t="s">
        <v>979</v>
      </c>
      <c r="H140" s="75" t="n">
        <v>96.53</v>
      </c>
      <c r="I140" s="25" t="n">
        <v>128.7</v>
      </c>
      <c r="J140" s="58" t="n">
        <v>25</v>
      </c>
      <c r="K140" s="23" t="s">
        <v>1276</v>
      </c>
      <c r="L140" s="24" t="s">
        <v>1249</v>
      </c>
      <c r="M140" s="24" t="s">
        <v>1277</v>
      </c>
      <c r="N140" s="26" t="s">
        <v>91</v>
      </c>
      <c r="O140" s="24"/>
      <c r="P140" s="24" t="s">
        <v>114</v>
      </c>
      <c r="Q140" s="24" t="s">
        <v>983</v>
      </c>
      <c r="R140" s="73"/>
      <c r="S140" s="0" t="n">
        <f aca="false">IF(Recherche!$B$4="",0,IF(ISNUMBER(SEARCH(Recherche!$B$4,D140))+ISNUMBER(SEARCH(Recherche!$B$4,K140))&gt;0,1,0))</f>
        <v>0</v>
      </c>
      <c r="T140" s="0" t="str">
        <f aca="false">IF(S140=1,SUM($S$2:S140),"")</f>
        <v/>
      </c>
    </row>
    <row r="141" customFormat="false" ht="15" hidden="false" customHeight="false" outlineLevel="0" collapsed="false">
      <c r="A141" s="20" t="s">
        <v>1278</v>
      </c>
      <c r="B141" s="20" t="s">
        <v>56</v>
      </c>
      <c r="C141" s="20" t="s">
        <v>1279</v>
      </c>
      <c r="D141" s="19" t="s">
        <v>235</v>
      </c>
      <c r="E141" s="22" t="s">
        <v>91</v>
      </c>
      <c r="F141" s="20" t="s">
        <v>76</v>
      </c>
      <c r="G141" s="20" t="s">
        <v>939</v>
      </c>
      <c r="H141" s="21" t="n">
        <v>472.58</v>
      </c>
      <c r="I141" s="21"/>
      <c r="J141" s="52"/>
      <c r="K141" s="19" t="s">
        <v>236</v>
      </c>
      <c r="L141" s="20" t="s">
        <v>1280</v>
      </c>
      <c r="M141" s="20" t="s">
        <v>1281</v>
      </c>
      <c r="N141" s="22" t="s">
        <v>91</v>
      </c>
      <c r="O141" s="20"/>
      <c r="P141" s="20" t="s">
        <v>93</v>
      </c>
      <c r="Q141" s="20" t="s">
        <v>963</v>
      </c>
      <c r="R141" s="76" t="s">
        <v>95</v>
      </c>
      <c r="S141" s="0" t="n">
        <f aca="false">IF(Recherche!$B$4="",0,IF(ISNUMBER(SEARCH(Recherche!$B$4,D141))+ISNUMBER(SEARCH(Recherche!$B$4,K141))&gt;0,1,0))</f>
        <v>0</v>
      </c>
      <c r="T141" s="0" t="str">
        <f aca="false">IF(S141=1,SUM($S$2:S141),"")</f>
        <v/>
      </c>
    </row>
    <row r="142" customFormat="false" ht="23.85" hidden="false" customHeight="false" outlineLevel="0" collapsed="false">
      <c r="A142" s="24" t="s">
        <v>1282</v>
      </c>
      <c r="B142" s="24" t="s">
        <v>56</v>
      </c>
      <c r="C142" s="24" t="s">
        <v>1279</v>
      </c>
      <c r="D142" s="23" t="s">
        <v>237</v>
      </c>
      <c r="E142" s="26" t="s">
        <v>91</v>
      </c>
      <c r="F142" s="24" t="s">
        <v>76</v>
      </c>
      <c r="G142" s="24" t="s">
        <v>939</v>
      </c>
      <c r="H142" s="25" t="n">
        <v>21.13</v>
      </c>
      <c r="I142" s="25"/>
      <c r="J142" s="58"/>
      <c r="K142" s="23" t="s">
        <v>238</v>
      </c>
      <c r="L142" s="24" t="s">
        <v>1283</v>
      </c>
      <c r="M142" s="24" t="s">
        <v>1284</v>
      </c>
      <c r="N142" s="26" t="s">
        <v>91</v>
      </c>
      <c r="O142" s="24"/>
      <c r="P142" s="24" t="s">
        <v>93</v>
      </c>
      <c r="Q142" s="24" t="s">
        <v>963</v>
      </c>
      <c r="R142" s="73" t="s">
        <v>95</v>
      </c>
      <c r="S142" s="0" t="n">
        <f aca="false">IF(Recherche!$B$4="",0,IF(ISNUMBER(SEARCH(Recherche!$B$4,D142))+ISNUMBER(SEARCH(Recherche!$B$4,K142))&gt;0,1,0))</f>
        <v>0</v>
      </c>
      <c r="T142" s="0" t="str">
        <f aca="false">IF(S142=1,SUM($S$2:S142),"")</f>
        <v/>
      </c>
    </row>
    <row r="143" customFormat="false" ht="23.85" hidden="false" customHeight="false" outlineLevel="0" collapsed="false">
      <c r="A143" s="20" t="s">
        <v>1285</v>
      </c>
      <c r="B143" s="20" t="s">
        <v>56</v>
      </c>
      <c r="C143" s="20" t="s">
        <v>1279</v>
      </c>
      <c r="D143" s="19" t="s">
        <v>239</v>
      </c>
      <c r="E143" s="22" t="s">
        <v>91</v>
      </c>
      <c r="F143" s="20" t="s">
        <v>76</v>
      </c>
      <c r="G143" s="20" t="s">
        <v>939</v>
      </c>
      <c r="H143" s="21" t="n">
        <v>8.91</v>
      </c>
      <c r="I143" s="21"/>
      <c r="J143" s="52"/>
      <c r="K143" s="19" t="s">
        <v>240</v>
      </c>
      <c r="L143" s="20" t="s">
        <v>1159</v>
      </c>
      <c r="M143" s="20" t="s">
        <v>1286</v>
      </c>
      <c r="N143" s="22" t="s">
        <v>91</v>
      </c>
      <c r="O143" s="20"/>
      <c r="P143" s="20" t="s">
        <v>93</v>
      </c>
      <c r="Q143" s="20" t="s">
        <v>963</v>
      </c>
      <c r="R143" s="76" t="s">
        <v>95</v>
      </c>
      <c r="S143" s="0" t="n">
        <f aca="false">IF(Recherche!$B$4="",0,IF(ISNUMBER(SEARCH(Recherche!$B$4,D143))+ISNUMBER(SEARCH(Recherche!$B$4,K143))&gt;0,1,0))</f>
        <v>0</v>
      </c>
      <c r="T143" s="0" t="str">
        <f aca="false">IF(S143=1,SUM($S$2:S143),"")</f>
        <v/>
      </c>
    </row>
    <row r="144" customFormat="false" ht="23.85" hidden="false" customHeight="false" outlineLevel="0" collapsed="false">
      <c r="A144" s="24" t="s">
        <v>1287</v>
      </c>
      <c r="B144" s="24" t="s">
        <v>56</v>
      </c>
      <c r="C144" s="24" t="s">
        <v>1279</v>
      </c>
      <c r="D144" s="23" t="s">
        <v>241</v>
      </c>
      <c r="E144" s="26" t="s">
        <v>91</v>
      </c>
      <c r="F144" s="24" t="s">
        <v>76</v>
      </c>
      <c r="G144" s="24" t="s">
        <v>939</v>
      </c>
      <c r="H144" s="25" t="n">
        <v>137.91</v>
      </c>
      <c r="I144" s="25"/>
      <c r="J144" s="58"/>
      <c r="K144" s="23" t="s">
        <v>242</v>
      </c>
      <c r="L144" s="24" t="s">
        <v>1283</v>
      </c>
      <c r="M144" s="24" t="s">
        <v>1288</v>
      </c>
      <c r="N144" s="26" t="s">
        <v>91</v>
      </c>
      <c r="O144" s="24"/>
      <c r="P144" s="24" t="s">
        <v>93</v>
      </c>
      <c r="Q144" s="24" t="s">
        <v>963</v>
      </c>
      <c r="R144" s="73" t="s">
        <v>95</v>
      </c>
      <c r="S144" s="0" t="n">
        <f aca="false">IF(Recherche!$B$4="",0,IF(ISNUMBER(SEARCH(Recherche!$B$4,D144))+ISNUMBER(SEARCH(Recherche!$B$4,K144))&gt;0,1,0))</f>
        <v>0</v>
      </c>
      <c r="T144" s="0" t="str">
        <f aca="false">IF(S144=1,SUM($S$2:S144),"")</f>
        <v/>
      </c>
    </row>
    <row r="145" customFormat="false" ht="15" hidden="false" customHeight="false" outlineLevel="0" collapsed="false">
      <c r="A145" s="20" t="s">
        <v>1289</v>
      </c>
      <c r="B145" s="20" t="s">
        <v>56</v>
      </c>
      <c r="C145" s="20" t="s">
        <v>1290</v>
      </c>
      <c r="D145" s="19" t="s">
        <v>243</v>
      </c>
      <c r="E145" s="22" t="s">
        <v>91</v>
      </c>
      <c r="F145" s="74" t="s">
        <v>77</v>
      </c>
      <c r="G145" s="74" t="s">
        <v>979</v>
      </c>
      <c r="H145" s="75" t="n">
        <v>30.81</v>
      </c>
      <c r="I145" s="21" t="n">
        <v>30.81</v>
      </c>
      <c r="J145" s="52"/>
      <c r="K145" s="19" t="s">
        <v>244</v>
      </c>
      <c r="L145" s="20" t="s">
        <v>1146</v>
      </c>
      <c r="M145" s="20" t="s">
        <v>1291</v>
      </c>
      <c r="N145" s="22" t="s">
        <v>91</v>
      </c>
      <c r="O145" s="20"/>
      <c r="P145" s="20" t="s">
        <v>114</v>
      </c>
      <c r="Q145" s="20" t="s">
        <v>983</v>
      </c>
      <c r="R145" s="76"/>
      <c r="S145" s="0" t="n">
        <f aca="false">IF(Recherche!$B$4="",0,IF(ISNUMBER(SEARCH(Recherche!$B$4,D145))+ISNUMBER(SEARCH(Recherche!$B$4,K145))&gt;0,1,0))</f>
        <v>0</v>
      </c>
      <c r="T145" s="0" t="str">
        <f aca="false">IF(S145=1,SUM($S$2:S145),"")</f>
        <v/>
      </c>
    </row>
    <row r="146" customFormat="false" ht="15" hidden="false" customHeight="false" outlineLevel="0" collapsed="false">
      <c r="A146" s="24" t="s">
        <v>1292</v>
      </c>
      <c r="B146" s="24" t="s">
        <v>56</v>
      </c>
      <c r="C146" s="24" t="s">
        <v>1290</v>
      </c>
      <c r="D146" s="23" t="s">
        <v>245</v>
      </c>
      <c r="E146" s="26" t="s">
        <v>137</v>
      </c>
      <c r="F146" s="24" t="s">
        <v>76</v>
      </c>
      <c r="G146" s="24" t="s">
        <v>939</v>
      </c>
      <c r="H146" s="25" t="n">
        <v>2.96</v>
      </c>
      <c r="I146" s="25"/>
      <c r="J146" s="58"/>
      <c r="K146" s="23" t="s">
        <v>246</v>
      </c>
      <c r="L146" s="24" t="s">
        <v>1293</v>
      </c>
      <c r="M146" s="24" t="s">
        <v>1294</v>
      </c>
      <c r="N146" s="26" t="s">
        <v>137</v>
      </c>
      <c r="O146" s="24"/>
      <c r="P146" s="24" t="s">
        <v>93</v>
      </c>
      <c r="Q146" s="24" t="s">
        <v>963</v>
      </c>
      <c r="R146" s="73" t="s">
        <v>95</v>
      </c>
      <c r="S146" s="0" t="n">
        <f aca="false">IF(Recherche!$B$4="",0,IF(ISNUMBER(SEARCH(Recherche!$B$4,D146))+ISNUMBER(SEARCH(Recherche!$B$4,K146))&gt;0,1,0))</f>
        <v>0</v>
      </c>
      <c r="T146" s="0" t="str">
        <f aca="false">IF(S146=1,SUM($S$2:S146),"")</f>
        <v/>
      </c>
    </row>
    <row r="147" customFormat="false" ht="15" hidden="false" customHeight="false" outlineLevel="0" collapsed="false">
      <c r="A147" s="20" t="s">
        <v>1292</v>
      </c>
      <c r="B147" s="20" t="s">
        <v>56</v>
      </c>
      <c r="C147" s="20" t="s">
        <v>1290</v>
      </c>
      <c r="D147" s="19" t="s">
        <v>245</v>
      </c>
      <c r="E147" s="22" t="s">
        <v>137</v>
      </c>
      <c r="F147" s="74" t="s">
        <v>81</v>
      </c>
      <c r="G147" s="74" t="s">
        <v>979</v>
      </c>
      <c r="H147" s="75" t="n">
        <v>19.7</v>
      </c>
      <c r="I147" s="21" t="n">
        <v>19.69</v>
      </c>
      <c r="J147" s="52"/>
      <c r="K147" s="19" t="s">
        <v>1295</v>
      </c>
      <c r="L147" s="20" t="s">
        <v>1072</v>
      </c>
      <c r="M147" s="20" t="s">
        <v>1296</v>
      </c>
      <c r="N147" s="22" t="s">
        <v>91</v>
      </c>
      <c r="O147" s="20" t="s">
        <v>949</v>
      </c>
      <c r="P147" s="20" t="s">
        <v>169</v>
      </c>
      <c r="Q147" s="20" t="s">
        <v>1016</v>
      </c>
      <c r="R147" s="76" t="s">
        <v>95</v>
      </c>
      <c r="S147" s="0" t="n">
        <f aca="false">IF(Recherche!$B$4="",0,IF(ISNUMBER(SEARCH(Recherche!$B$4,D147))+ISNUMBER(SEARCH(Recherche!$B$4,K147))&gt;0,1,0))</f>
        <v>0</v>
      </c>
      <c r="T147" s="0" t="str">
        <f aca="false">IF(S147=1,SUM($S$2:S147),"")</f>
        <v/>
      </c>
    </row>
    <row r="148" customFormat="false" ht="15" hidden="false" customHeight="false" outlineLevel="0" collapsed="false">
      <c r="A148" s="24" t="s">
        <v>1292</v>
      </c>
      <c r="B148" s="24" t="s">
        <v>56</v>
      </c>
      <c r="C148" s="24" t="s">
        <v>1290</v>
      </c>
      <c r="D148" s="23" t="s">
        <v>245</v>
      </c>
      <c r="E148" s="26" t="s">
        <v>137</v>
      </c>
      <c r="F148" s="24" t="s">
        <v>80</v>
      </c>
      <c r="G148" s="24" t="s">
        <v>939</v>
      </c>
      <c r="H148" s="25" t="n">
        <v>114.45</v>
      </c>
      <c r="I148" s="25"/>
      <c r="J148" s="58"/>
      <c r="K148" s="23" t="s">
        <v>1297</v>
      </c>
      <c r="L148" s="24"/>
      <c r="M148" s="24" t="s">
        <v>1298</v>
      </c>
      <c r="N148" s="26" t="s">
        <v>91</v>
      </c>
      <c r="O148" s="24"/>
      <c r="P148" s="24" t="s">
        <v>303</v>
      </c>
      <c r="Q148" s="24" t="s">
        <v>942</v>
      </c>
      <c r="R148" s="73" t="s">
        <v>95</v>
      </c>
      <c r="S148" s="0" t="n">
        <f aca="false">IF(Recherche!$B$4="",0,IF(ISNUMBER(SEARCH(Recherche!$B$4,D148))+ISNUMBER(SEARCH(Recherche!$B$4,K148))&gt;0,1,0))</f>
        <v>0</v>
      </c>
      <c r="T148" s="0" t="str">
        <f aca="false">IF(S148=1,SUM($S$2:S148),"")</f>
        <v/>
      </c>
    </row>
    <row r="149" customFormat="false" ht="15" hidden="false" customHeight="false" outlineLevel="0" collapsed="false">
      <c r="A149" s="20" t="s">
        <v>1299</v>
      </c>
      <c r="B149" s="20" t="s">
        <v>56</v>
      </c>
      <c r="C149" s="20" t="s">
        <v>1290</v>
      </c>
      <c r="D149" s="19" t="s">
        <v>247</v>
      </c>
      <c r="E149" s="22" t="s">
        <v>91</v>
      </c>
      <c r="F149" s="20" t="s">
        <v>76</v>
      </c>
      <c r="G149" s="20" t="s">
        <v>939</v>
      </c>
      <c r="H149" s="21" t="n">
        <v>23.65</v>
      </c>
      <c r="I149" s="21"/>
      <c r="J149" s="52"/>
      <c r="K149" s="19" t="s">
        <v>248</v>
      </c>
      <c r="L149" s="20" t="s">
        <v>1300</v>
      </c>
      <c r="M149" s="20" t="s">
        <v>1301</v>
      </c>
      <c r="N149" s="22" t="s">
        <v>91</v>
      </c>
      <c r="O149" s="20"/>
      <c r="P149" s="20" t="s">
        <v>93</v>
      </c>
      <c r="Q149" s="20" t="s">
        <v>942</v>
      </c>
      <c r="R149" s="76" t="s">
        <v>95</v>
      </c>
      <c r="S149" s="0" t="n">
        <f aca="false">IF(Recherche!$B$4="",0,IF(ISNUMBER(SEARCH(Recherche!$B$4,D149))+ISNUMBER(SEARCH(Recherche!$B$4,K149))&gt;0,1,0))</f>
        <v>0</v>
      </c>
      <c r="T149" s="0" t="str">
        <f aca="false">IF(S149=1,SUM($S$2:S149),"")</f>
        <v/>
      </c>
    </row>
    <row r="150" customFormat="false" ht="15" hidden="false" customHeight="false" outlineLevel="0" collapsed="false">
      <c r="A150" s="24" t="s">
        <v>1299</v>
      </c>
      <c r="B150" s="24" t="s">
        <v>56</v>
      </c>
      <c r="C150" s="24" t="s">
        <v>1290</v>
      </c>
      <c r="D150" s="23" t="s">
        <v>247</v>
      </c>
      <c r="E150" s="26" t="s">
        <v>91</v>
      </c>
      <c r="F150" s="74" t="s">
        <v>81</v>
      </c>
      <c r="G150" s="74" t="s">
        <v>979</v>
      </c>
      <c r="H150" s="75" t="n">
        <v>87.85</v>
      </c>
      <c r="I150" s="25" t="n">
        <v>97.57</v>
      </c>
      <c r="J150" s="58" t="n">
        <v>10</v>
      </c>
      <c r="K150" s="23" t="s">
        <v>1302</v>
      </c>
      <c r="L150" s="24" t="s">
        <v>1303</v>
      </c>
      <c r="M150" s="24" t="s">
        <v>1304</v>
      </c>
      <c r="N150" s="26" t="s">
        <v>91</v>
      </c>
      <c r="O150" s="24" t="s">
        <v>949</v>
      </c>
      <c r="P150" s="24" t="s">
        <v>169</v>
      </c>
      <c r="Q150" s="24" t="s">
        <v>1007</v>
      </c>
      <c r="R150" s="73" t="s">
        <v>95</v>
      </c>
      <c r="S150" s="0" t="n">
        <f aca="false">IF(Recherche!$B$4="",0,IF(ISNUMBER(SEARCH(Recherche!$B$4,D150))+ISNUMBER(SEARCH(Recherche!$B$4,K150))&gt;0,1,0))</f>
        <v>0</v>
      </c>
      <c r="T150" s="0" t="str">
        <f aca="false">IF(S150=1,SUM($S$2:S150),"")</f>
        <v/>
      </c>
    </row>
    <row r="151" customFormat="false" ht="23.85" hidden="false" customHeight="false" outlineLevel="0" collapsed="false">
      <c r="A151" s="20" t="s">
        <v>1299</v>
      </c>
      <c r="B151" s="20" t="s">
        <v>56</v>
      </c>
      <c r="C151" s="20" t="s">
        <v>1290</v>
      </c>
      <c r="D151" s="19" t="s">
        <v>247</v>
      </c>
      <c r="E151" s="22" t="s">
        <v>91</v>
      </c>
      <c r="F151" s="74" t="s">
        <v>77</v>
      </c>
      <c r="G151" s="74" t="s">
        <v>979</v>
      </c>
      <c r="H151" s="75" t="n">
        <v>237.86</v>
      </c>
      <c r="I151" s="21" t="n">
        <v>267.26</v>
      </c>
      <c r="J151" s="52" t="n">
        <v>11</v>
      </c>
      <c r="K151" s="19" t="s">
        <v>1305</v>
      </c>
      <c r="L151" s="20" t="s">
        <v>981</v>
      </c>
      <c r="M151" s="20" t="s">
        <v>1306</v>
      </c>
      <c r="N151" s="22" t="s">
        <v>91</v>
      </c>
      <c r="O151" s="20"/>
      <c r="P151" s="20" t="s">
        <v>114</v>
      </c>
      <c r="Q151" s="20" t="s">
        <v>983</v>
      </c>
      <c r="R151" s="76"/>
      <c r="S151" s="0" t="n">
        <f aca="false">IF(Recherche!$B$4="",0,IF(ISNUMBER(SEARCH(Recherche!$B$4,D151))+ISNUMBER(SEARCH(Recherche!$B$4,K151))&gt;0,1,0))</f>
        <v>0</v>
      </c>
      <c r="T151" s="0" t="str">
        <f aca="false">IF(S151=1,SUM($S$2:S151),"")</f>
        <v/>
      </c>
    </row>
    <row r="152" customFormat="false" ht="15" hidden="false" customHeight="false" outlineLevel="0" collapsed="false">
      <c r="A152" s="24" t="s">
        <v>1307</v>
      </c>
      <c r="B152" s="24" t="s">
        <v>56</v>
      </c>
      <c r="C152" s="24" t="s">
        <v>1308</v>
      </c>
      <c r="D152" s="23" t="s">
        <v>249</v>
      </c>
      <c r="E152" s="26" t="s">
        <v>91</v>
      </c>
      <c r="F152" s="74" t="s">
        <v>78</v>
      </c>
      <c r="G152" s="74" t="s">
        <v>943</v>
      </c>
      <c r="H152" s="75" t="n">
        <v>25.14</v>
      </c>
      <c r="I152" s="25"/>
      <c r="J152" s="58"/>
      <c r="K152" s="23" t="s">
        <v>250</v>
      </c>
      <c r="L152" s="24"/>
      <c r="M152" s="24" t="s">
        <v>1309</v>
      </c>
      <c r="N152" s="26" t="s">
        <v>91</v>
      </c>
      <c r="O152" s="24" t="s">
        <v>949</v>
      </c>
      <c r="P152" s="24" t="s">
        <v>93</v>
      </c>
      <c r="Q152" s="24" t="s">
        <v>946</v>
      </c>
      <c r="R152" s="73" t="s">
        <v>95</v>
      </c>
      <c r="S152" s="0" t="n">
        <f aca="false">IF(Recherche!$B$4="",0,IF(ISNUMBER(SEARCH(Recherche!$B$4,D152))+ISNUMBER(SEARCH(Recherche!$B$4,K152))&gt;0,1,0))</f>
        <v>0</v>
      </c>
      <c r="T152" s="0" t="str">
        <f aca="false">IF(S152=1,SUM($S$2:S152),"")</f>
        <v/>
      </c>
    </row>
    <row r="153" customFormat="false" ht="15" hidden="false" customHeight="false" outlineLevel="0" collapsed="false">
      <c r="A153" s="20" t="s">
        <v>1307</v>
      </c>
      <c r="B153" s="20" t="s">
        <v>56</v>
      </c>
      <c r="C153" s="20" t="s">
        <v>1308</v>
      </c>
      <c r="D153" s="19" t="s">
        <v>249</v>
      </c>
      <c r="E153" s="22" t="s">
        <v>91</v>
      </c>
      <c r="F153" s="74" t="s">
        <v>81</v>
      </c>
      <c r="G153" s="74" t="s">
        <v>979</v>
      </c>
      <c r="H153" s="75" t="n">
        <v>36.37</v>
      </c>
      <c r="I153" s="21" t="n">
        <v>38.29</v>
      </c>
      <c r="J153" s="52" t="n">
        <v>5</v>
      </c>
      <c r="K153" s="19" t="s">
        <v>1310</v>
      </c>
      <c r="L153" s="20" t="s">
        <v>1311</v>
      </c>
      <c r="M153" s="20" t="s">
        <v>1312</v>
      </c>
      <c r="N153" s="22" t="s">
        <v>91</v>
      </c>
      <c r="O153" s="20" t="s">
        <v>949</v>
      </c>
      <c r="P153" s="20" t="s">
        <v>169</v>
      </c>
      <c r="Q153" s="20" t="s">
        <v>1007</v>
      </c>
      <c r="R153" s="76" t="s">
        <v>95</v>
      </c>
      <c r="S153" s="0" t="n">
        <f aca="false">IF(Recherche!$B$4="",0,IF(ISNUMBER(SEARCH(Recherche!$B$4,D153))+ISNUMBER(SEARCH(Recherche!$B$4,K153))&gt;0,1,0))</f>
        <v>0</v>
      </c>
      <c r="T153" s="0" t="str">
        <f aca="false">IF(S153=1,SUM($S$2:S153),"")</f>
        <v/>
      </c>
    </row>
    <row r="154" customFormat="false" ht="15" hidden="false" customHeight="false" outlineLevel="0" collapsed="false">
      <c r="A154" s="24" t="s">
        <v>1313</v>
      </c>
      <c r="B154" s="24" t="s">
        <v>56</v>
      </c>
      <c r="C154" s="24" t="s">
        <v>1308</v>
      </c>
      <c r="D154" s="23" t="s">
        <v>251</v>
      </c>
      <c r="E154" s="26" t="s">
        <v>91</v>
      </c>
      <c r="F154" s="74" t="s">
        <v>78</v>
      </c>
      <c r="G154" s="74" t="s">
        <v>943</v>
      </c>
      <c r="H154" s="75" t="n">
        <v>2488.05</v>
      </c>
      <c r="I154" s="25"/>
      <c r="J154" s="58"/>
      <c r="K154" s="23" t="s">
        <v>252</v>
      </c>
      <c r="L154" s="24"/>
      <c r="M154" s="24" t="s">
        <v>1314</v>
      </c>
      <c r="N154" s="26" t="s">
        <v>91</v>
      </c>
      <c r="O154" s="24" t="s">
        <v>949</v>
      </c>
      <c r="P154" s="24" t="s">
        <v>93</v>
      </c>
      <c r="Q154" s="24" t="s">
        <v>946</v>
      </c>
      <c r="R154" s="73" t="s">
        <v>95</v>
      </c>
      <c r="S154" s="0" t="n">
        <f aca="false">IF(Recherche!$B$4="",0,IF(ISNUMBER(SEARCH(Recherche!$B$4,D154))+ISNUMBER(SEARCH(Recherche!$B$4,K154))&gt;0,1,0))</f>
        <v>0</v>
      </c>
      <c r="T154" s="0" t="str">
        <f aca="false">IF(S154=1,SUM($S$2:S154),"")</f>
        <v/>
      </c>
    </row>
    <row r="155" customFormat="false" ht="23.85" hidden="false" customHeight="false" outlineLevel="0" collapsed="false">
      <c r="A155" s="20" t="s">
        <v>1315</v>
      </c>
      <c r="B155" s="20" t="s">
        <v>57</v>
      </c>
      <c r="C155" s="20" t="s">
        <v>1316</v>
      </c>
      <c r="D155" s="19" t="s">
        <v>253</v>
      </c>
      <c r="E155" s="22" t="s">
        <v>91</v>
      </c>
      <c r="F155" s="20" t="s">
        <v>76</v>
      </c>
      <c r="G155" s="20" t="s">
        <v>939</v>
      </c>
      <c r="H155" s="21" t="n">
        <v>11.39</v>
      </c>
      <c r="I155" s="21"/>
      <c r="J155" s="52"/>
      <c r="K155" s="19" t="s">
        <v>254</v>
      </c>
      <c r="L155" s="20" t="s">
        <v>1317</v>
      </c>
      <c r="M155" s="20" t="s">
        <v>1318</v>
      </c>
      <c r="N155" s="22" t="s">
        <v>91</v>
      </c>
      <c r="O155" s="20"/>
      <c r="P155" s="20" t="s">
        <v>93</v>
      </c>
      <c r="Q155" s="20" t="s">
        <v>1085</v>
      </c>
      <c r="R155" s="76" t="s">
        <v>95</v>
      </c>
      <c r="S155" s="0" t="n">
        <f aca="false">IF(Recherche!$B$4="",0,IF(ISNUMBER(SEARCH(Recherche!$B$4,D155))+ISNUMBER(SEARCH(Recherche!$B$4,K155))&gt;0,1,0))</f>
        <v>0</v>
      </c>
      <c r="T155" s="0" t="str">
        <f aca="false">IF(S155=1,SUM($S$2:S155),"")</f>
        <v/>
      </c>
    </row>
    <row r="156" customFormat="false" ht="15" hidden="false" customHeight="false" outlineLevel="0" collapsed="false">
      <c r="A156" s="24" t="s">
        <v>1315</v>
      </c>
      <c r="B156" s="24" t="s">
        <v>57</v>
      </c>
      <c r="C156" s="24" t="s">
        <v>1316</v>
      </c>
      <c r="D156" s="23" t="s">
        <v>253</v>
      </c>
      <c r="E156" s="26" t="s">
        <v>91</v>
      </c>
      <c r="F156" s="74" t="s">
        <v>81</v>
      </c>
      <c r="G156" s="74" t="s">
        <v>979</v>
      </c>
      <c r="H156" s="75" t="n">
        <v>37.42</v>
      </c>
      <c r="I156" s="25" t="n">
        <v>41.58</v>
      </c>
      <c r="J156" s="58" t="n">
        <v>10</v>
      </c>
      <c r="K156" s="23" t="s">
        <v>1319</v>
      </c>
      <c r="L156" s="24" t="s">
        <v>1320</v>
      </c>
      <c r="M156" s="24" t="s">
        <v>1321</v>
      </c>
      <c r="N156" s="26" t="s">
        <v>1216</v>
      </c>
      <c r="O156" s="24" t="s">
        <v>1216</v>
      </c>
      <c r="P156" s="24" t="s">
        <v>169</v>
      </c>
      <c r="Q156" s="24" t="s">
        <v>1016</v>
      </c>
      <c r="R156" s="73" t="s">
        <v>95</v>
      </c>
      <c r="S156" s="0" t="n">
        <f aca="false">IF(Recherche!$B$4="",0,IF(ISNUMBER(SEARCH(Recherche!$B$4,D156))+ISNUMBER(SEARCH(Recherche!$B$4,K156))&gt;0,1,0))</f>
        <v>0</v>
      </c>
      <c r="T156" s="0" t="str">
        <f aca="false">IF(S156=1,SUM($S$2:S156),"")</f>
        <v/>
      </c>
    </row>
    <row r="157" customFormat="false" ht="23.85" hidden="false" customHeight="false" outlineLevel="0" collapsed="false">
      <c r="A157" s="20" t="s">
        <v>1315</v>
      </c>
      <c r="B157" s="20" t="s">
        <v>57</v>
      </c>
      <c r="C157" s="20" t="s">
        <v>1316</v>
      </c>
      <c r="D157" s="19" t="s">
        <v>253</v>
      </c>
      <c r="E157" s="22" t="s">
        <v>91</v>
      </c>
      <c r="F157" s="20" t="s">
        <v>80</v>
      </c>
      <c r="G157" s="20" t="s">
        <v>939</v>
      </c>
      <c r="H157" s="21" t="n">
        <v>118.84</v>
      </c>
      <c r="I157" s="21"/>
      <c r="J157" s="52"/>
      <c r="K157" s="19" t="s">
        <v>1322</v>
      </c>
      <c r="L157" s="20"/>
      <c r="M157" s="20" t="s">
        <v>1323</v>
      </c>
      <c r="N157" s="22" t="s">
        <v>91</v>
      </c>
      <c r="O157" s="20"/>
      <c r="P157" s="20" t="s">
        <v>303</v>
      </c>
      <c r="Q157" s="20" t="s">
        <v>963</v>
      </c>
      <c r="R157" s="76" t="s">
        <v>95</v>
      </c>
      <c r="S157" s="0" t="n">
        <f aca="false">IF(Recherche!$B$4="",0,IF(ISNUMBER(SEARCH(Recherche!$B$4,D157))+ISNUMBER(SEARCH(Recherche!$B$4,K157))&gt;0,1,0))</f>
        <v>0</v>
      </c>
      <c r="T157" s="0" t="str">
        <f aca="false">IF(S157=1,SUM($S$2:S157),"")</f>
        <v/>
      </c>
    </row>
    <row r="158" customFormat="false" ht="23.85" hidden="false" customHeight="false" outlineLevel="0" collapsed="false">
      <c r="A158" s="24" t="s">
        <v>1324</v>
      </c>
      <c r="B158" s="24" t="s">
        <v>57</v>
      </c>
      <c r="C158" s="24" t="s">
        <v>1316</v>
      </c>
      <c r="D158" s="23" t="s">
        <v>255</v>
      </c>
      <c r="E158" s="26" t="s">
        <v>91</v>
      </c>
      <c r="F158" s="24" t="s">
        <v>76</v>
      </c>
      <c r="G158" s="24" t="s">
        <v>939</v>
      </c>
      <c r="H158" s="25" t="n">
        <v>112.71</v>
      </c>
      <c r="I158" s="25"/>
      <c r="J158" s="58"/>
      <c r="K158" s="23" t="s">
        <v>256</v>
      </c>
      <c r="L158" s="24" t="s">
        <v>1159</v>
      </c>
      <c r="M158" s="24" t="s">
        <v>1325</v>
      </c>
      <c r="N158" s="26" t="s">
        <v>91</v>
      </c>
      <c r="O158" s="24"/>
      <c r="P158" s="24" t="s">
        <v>93</v>
      </c>
      <c r="Q158" s="24" t="s">
        <v>1085</v>
      </c>
      <c r="R158" s="73" t="s">
        <v>95</v>
      </c>
      <c r="S158" s="0" t="n">
        <f aca="false">IF(Recherche!$B$4="",0,IF(ISNUMBER(SEARCH(Recherche!$B$4,D158))+ISNUMBER(SEARCH(Recherche!$B$4,K158))&gt;0,1,0))</f>
        <v>0</v>
      </c>
      <c r="T158" s="0" t="str">
        <f aca="false">IF(S158=1,SUM($S$2:S158),"")</f>
        <v/>
      </c>
    </row>
    <row r="159" customFormat="false" ht="23.85" hidden="false" customHeight="false" outlineLevel="0" collapsed="false">
      <c r="A159" s="20" t="s">
        <v>1326</v>
      </c>
      <c r="B159" s="20" t="s">
        <v>57</v>
      </c>
      <c r="C159" s="20" t="s">
        <v>1316</v>
      </c>
      <c r="D159" s="19" t="s">
        <v>257</v>
      </c>
      <c r="E159" s="22" t="s">
        <v>91</v>
      </c>
      <c r="F159" s="20" t="s">
        <v>76</v>
      </c>
      <c r="G159" s="20" t="s">
        <v>939</v>
      </c>
      <c r="H159" s="21" t="n">
        <v>27.39</v>
      </c>
      <c r="I159" s="21"/>
      <c r="J159" s="52"/>
      <c r="K159" s="19" t="s">
        <v>258</v>
      </c>
      <c r="L159" s="20" t="s">
        <v>1159</v>
      </c>
      <c r="M159" s="20" t="s">
        <v>1327</v>
      </c>
      <c r="N159" s="22" t="s">
        <v>91</v>
      </c>
      <c r="O159" s="20"/>
      <c r="P159" s="20" t="s">
        <v>93</v>
      </c>
      <c r="Q159" s="20" t="s">
        <v>1052</v>
      </c>
      <c r="R159" s="76" t="s">
        <v>95</v>
      </c>
      <c r="S159" s="0" t="n">
        <f aca="false">IF(Recherche!$B$4="",0,IF(ISNUMBER(SEARCH(Recherche!$B$4,D159))+ISNUMBER(SEARCH(Recherche!$B$4,K159))&gt;0,1,0))</f>
        <v>0</v>
      </c>
      <c r="T159" s="0" t="str">
        <f aca="false">IF(S159=1,SUM($S$2:S159),"")</f>
        <v/>
      </c>
    </row>
    <row r="160" customFormat="false" ht="23.85" hidden="false" customHeight="false" outlineLevel="0" collapsed="false">
      <c r="A160" s="24" t="s">
        <v>1328</v>
      </c>
      <c r="B160" s="24" t="s">
        <v>57</v>
      </c>
      <c r="C160" s="24" t="s">
        <v>1316</v>
      </c>
      <c r="D160" s="23" t="s">
        <v>259</v>
      </c>
      <c r="E160" s="26" t="s">
        <v>91</v>
      </c>
      <c r="F160" s="74" t="s">
        <v>78</v>
      </c>
      <c r="G160" s="74" t="s">
        <v>943</v>
      </c>
      <c r="H160" s="75" t="n">
        <v>41.94</v>
      </c>
      <c r="I160" s="25"/>
      <c r="J160" s="58"/>
      <c r="K160" s="23" t="s">
        <v>260</v>
      </c>
      <c r="L160" s="24"/>
      <c r="M160" s="24" t="s">
        <v>1329</v>
      </c>
      <c r="N160" s="26" t="s">
        <v>91</v>
      </c>
      <c r="O160" s="24"/>
      <c r="P160" s="24" t="s">
        <v>93</v>
      </c>
      <c r="Q160" s="24" t="s">
        <v>946</v>
      </c>
      <c r="R160" s="73"/>
      <c r="S160" s="0" t="n">
        <f aca="false">IF(Recherche!$B$4="",0,IF(ISNUMBER(SEARCH(Recherche!$B$4,D160))+ISNUMBER(SEARCH(Recherche!$B$4,K160))&gt;0,1,0))</f>
        <v>0</v>
      </c>
      <c r="T160" s="0" t="str">
        <f aca="false">IF(S160=1,SUM($S$2:S160),"")</f>
        <v/>
      </c>
    </row>
    <row r="161" customFormat="false" ht="23.85" hidden="false" customHeight="false" outlineLevel="0" collapsed="false">
      <c r="A161" s="20" t="s">
        <v>1330</v>
      </c>
      <c r="B161" s="20" t="s">
        <v>57</v>
      </c>
      <c r="C161" s="20" t="s">
        <v>1316</v>
      </c>
      <c r="D161" s="19" t="s">
        <v>261</v>
      </c>
      <c r="E161" s="22" t="s">
        <v>91</v>
      </c>
      <c r="F161" s="20" t="s">
        <v>76</v>
      </c>
      <c r="G161" s="20" t="s">
        <v>939</v>
      </c>
      <c r="H161" s="21" t="n">
        <v>20.6</v>
      </c>
      <c r="I161" s="21"/>
      <c r="J161" s="52"/>
      <c r="K161" s="19" t="s">
        <v>262</v>
      </c>
      <c r="L161" s="20" t="s">
        <v>1317</v>
      </c>
      <c r="M161" s="20" t="s">
        <v>1331</v>
      </c>
      <c r="N161" s="22" t="s">
        <v>91</v>
      </c>
      <c r="O161" s="20"/>
      <c r="P161" s="20" t="s">
        <v>93</v>
      </c>
      <c r="Q161" s="20" t="s">
        <v>1052</v>
      </c>
      <c r="R161" s="76" t="s">
        <v>95</v>
      </c>
      <c r="S161" s="0" t="n">
        <f aca="false">IF(Recherche!$B$4="",0,IF(ISNUMBER(SEARCH(Recherche!$B$4,D161))+ISNUMBER(SEARCH(Recherche!$B$4,K161))&gt;0,1,0))</f>
        <v>0</v>
      </c>
      <c r="T161" s="0" t="str">
        <f aca="false">IF(S161=1,SUM($S$2:S161),"")</f>
        <v/>
      </c>
    </row>
    <row r="162" customFormat="false" ht="23.85" hidden="false" customHeight="false" outlineLevel="0" collapsed="false">
      <c r="A162" s="24" t="s">
        <v>1332</v>
      </c>
      <c r="B162" s="24" t="s">
        <v>57</v>
      </c>
      <c r="C162" s="24" t="s">
        <v>1316</v>
      </c>
      <c r="D162" s="23" t="s">
        <v>263</v>
      </c>
      <c r="E162" s="26" t="s">
        <v>91</v>
      </c>
      <c r="F162" s="24" t="s">
        <v>76</v>
      </c>
      <c r="G162" s="24" t="s">
        <v>939</v>
      </c>
      <c r="H162" s="25" t="n">
        <v>39.6</v>
      </c>
      <c r="I162" s="25"/>
      <c r="J162" s="58"/>
      <c r="K162" s="23" t="s">
        <v>264</v>
      </c>
      <c r="L162" s="24" t="s">
        <v>1159</v>
      </c>
      <c r="M162" s="24" t="s">
        <v>1333</v>
      </c>
      <c r="N162" s="26" t="s">
        <v>91</v>
      </c>
      <c r="O162" s="24"/>
      <c r="P162" s="24" t="s">
        <v>93</v>
      </c>
      <c r="Q162" s="24" t="s">
        <v>942</v>
      </c>
      <c r="R162" s="73" t="s">
        <v>95</v>
      </c>
      <c r="S162" s="0" t="n">
        <f aca="false">IF(Recherche!$B$4="",0,IF(ISNUMBER(SEARCH(Recherche!$B$4,D162))+ISNUMBER(SEARCH(Recherche!$B$4,K162))&gt;0,1,0))</f>
        <v>0</v>
      </c>
      <c r="T162" s="0" t="str">
        <f aca="false">IF(S162=1,SUM($S$2:S162),"")</f>
        <v/>
      </c>
    </row>
    <row r="163" customFormat="false" ht="15" hidden="false" customHeight="false" outlineLevel="0" collapsed="false">
      <c r="A163" s="20" t="s">
        <v>1334</v>
      </c>
      <c r="B163" s="20" t="s">
        <v>57</v>
      </c>
      <c r="C163" s="20" t="s">
        <v>1316</v>
      </c>
      <c r="D163" s="19" t="s">
        <v>265</v>
      </c>
      <c r="E163" s="22" t="s">
        <v>91</v>
      </c>
      <c r="F163" s="74" t="s">
        <v>81</v>
      </c>
      <c r="G163" s="74" t="s">
        <v>979</v>
      </c>
      <c r="H163" s="75" t="n">
        <v>23.4</v>
      </c>
      <c r="I163" s="21" t="n">
        <v>24.42</v>
      </c>
      <c r="J163" s="52" t="n">
        <v>4.2</v>
      </c>
      <c r="K163" s="19" t="s">
        <v>266</v>
      </c>
      <c r="L163" s="20" t="s">
        <v>1335</v>
      </c>
      <c r="M163" s="20" t="s">
        <v>1336</v>
      </c>
      <c r="N163" s="22" t="s">
        <v>91</v>
      </c>
      <c r="O163" s="20" t="s">
        <v>949</v>
      </c>
      <c r="P163" s="20" t="s">
        <v>169</v>
      </c>
      <c r="Q163" s="20" t="s">
        <v>1016</v>
      </c>
      <c r="R163" s="76" t="s">
        <v>95</v>
      </c>
      <c r="S163" s="0" t="n">
        <f aca="false">IF(Recherche!$B$4="",0,IF(ISNUMBER(SEARCH(Recherche!$B$4,D163))+ISNUMBER(SEARCH(Recherche!$B$4,K163))&gt;0,1,0))</f>
        <v>0</v>
      </c>
      <c r="T163" s="0" t="str">
        <f aca="false">IF(S163=1,SUM($S$2:S163),"")</f>
        <v/>
      </c>
    </row>
    <row r="164" customFormat="false" ht="23.85" hidden="false" customHeight="false" outlineLevel="0" collapsed="false">
      <c r="A164" s="24" t="s">
        <v>1334</v>
      </c>
      <c r="B164" s="24" t="s">
        <v>57</v>
      </c>
      <c r="C164" s="24" t="s">
        <v>1316</v>
      </c>
      <c r="D164" s="23" t="s">
        <v>265</v>
      </c>
      <c r="E164" s="26" t="s">
        <v>91</v>
      </c>
      <c r="F164" s="24" t="s">
        <v>80</v>
      </c>
      <c r="G164" s="24" t="s">
        <v>939</v>
      </c>
      <c r="H164" s="25" t="n">
        <v>34.34</v>
      </c>
      <c r="I164" s="25"/>
      <c r="J164" s="58"/>
      <c r="K164" s="23" t="s">
        <v>1337</v>
      </c>
      <c r="L164" s="24"/>
      <c r="M164" s="24" t="s">
        <v>1338</v>
      </c>
      <c r="N164" s="26" t="s">
        <v>91</v>
      </c>
      <c r="O164" s="24"/>
      <c r="P164" s="24" t="s">
        <v>303</v>
      </c>
      <c r="Q164" s="24" t="s">
        <v>963</v>
      </c>
      <c r="R164" s="73" t="s">
        <v>95</v>
      </c>
      <c r="S164" s="0" t="n">
        <f aca="false">IF(Recherche!$B$4="",0,IF(ISNUMBER(SEARCH(Recherche!$B$4,D164))+ISNUMBER(SEARCH(Recherche!$B$4,K164))&gt;0,1,0))</f>
        <v>0</v>
      </c>
      <c r="T164" s="0" t="str">
        <f aca="false">IF(S164=1,SUM($S$2:S164),"")</f>
        <v/>
      </c>
    </row>
    <row r="165" customFormat="false" ht="23.85" hidden="false" customHeight="false" outlineLevel="0" collapsed="false">
      <c r="A165" s="20" t="s">
        <v>1334</v>
      </c>
      <c r="B165" s="20" t="s">
        <v>57</v>
      </c>
      <c r="C165" s="20" t="s">
        <v>1316</v>
      </c>
      <c r="D165" s="19" t="s">
        <v>265</v>
      </c>
      <c r="E165" s="22" t="s">
        <v>91</v>
      </c>
      <c r="F165" s="74" t="s">
        <v>78</v>
      </c>
      <c r="G165" s="74" t="s">
        <v>943</v>
      </c>
      <c r="H165" s="75" t="n">
        <v>121.28</v>
      </c>
      <c r="I165" s="21"/>
      <c r="J165" s="52"/>
      <c r="K165" s="19" t="s">
        <v>1339</v>
      </c>
      <c r="L165" s="20"/>
      <c r="M165" s="20" t="s">
        <v>1340</v>
      </c>
      <c r="N165" s="22" t="s">
        <v>91</v>
      </c>
      <c r="O165" s="20"/>
      <c r="P165" s="20" t="s">
        <v>93</v>
      </c>
      <c r="Q165" s="20" t="s">
        <v>1016</v>
      </c>
      <c r="R165" s="76"/>
      <c r="S165" s="0" t="n">
        <f aca="false">IF(Recherche!$B$4="",0,IF(ISNUMBER(SEARCH(Recherche!$B$4,D165))+ISNUMBER(SEARCH(Recherche!$B$4,K165))&gt;0,1,0))</f>
        <v>0</v>
      </c>
      <c r="T165" s="0" t="str">
        <f aca="false">IF(S165=1,SUM($S$2:S165),"")</f>
        <v/>
      </c>
    </row>
    <row r="166" customFormat="false" ht="23.85" hidden="false" customHeight="false" outlineLevel="0" collapsed="false">
      <c r="A166" s="24" t="s">
        <v>1341</v>
      </c>
      <c r="B166" s="24" t="s">
        <v>57</v>
      </c>
      <c r="C166" s="24" t="s">
        <v>1316</v>
      </c>
      <c r="D166" s="23" t="s">
        <v>267</v>
      </c>
      <c r="E166" s="26" t="s">
        <v>137</v>
      </c>
      <c r="F166" s="74" t="s">
        <v>78</v>
      </c>
      <c r="G166" s="74" t="s">
        <v>943</v>
      </c>
      <c r="H166" s="75" t="n">
        <v>8.9</v>
      </c>
      <c r="I166" s="25"/>
      <c r="J166" s="58"/>
      <c r="K166" s="23" t="s">
        <v>268</v>
      </c>
      <c r="L166" s="24"/>
      <c r="M166" s="24" t="s">
        <v>1342</v>
      </c>
      <c r="N166" s="26" t="s">
        <v>137</v>
      </c>
      <c r="O166" s="24" t="s">
        <v>1343</v>
      </c>
      <c r="P166" s="24" t="s">
        <v>93</v>
      </c>
      <c r="Q166" s="24" t="s">
        <v>946</v>
      </c>
      <c r="R166" s="73"/>
      <c r="S166" s="0" t="n">
        <f aca="false">IF(Recherche!$B$4="",0,IF(ISNUMBER(SEARCH(Recherche!$B$4,D166))+ISNUMBER(SEARCH(Recherche!$B$4,K166))&gt;0,1,0))</f>
        <v>0</v>
      </c>
      <c r="T166" s="0" t="str">
        <f aca="false">IF(S166=1,SUM($S$2:S166),"")</f>
        <v/>
      </c>
    </row>
    <row r="167" customFormat="false" ht="15" hidden="false" customHeight="false" outlineLevel="0" collapsed="false">
      <c r="A167" s="20" t="s">
        <v>1344</v>
      </c>
      <c r="B167" s="20" t="s">
        <v>57</v>
      </c>
      <c r="C167" s="20" t="s">
        <v>1316</v>
      </c>
      <c r="D167" s="19" t="s">
        <v>269</v>
      </c>
      <c r="E167" s="22" t="s">
        <v>91</v>
      </c>
      <c r="F167" s="20" t="s">
        <v>76</v>
      </c>
      <c r="G167" s="20" t="s">
        <v>939</v>
      </c>
      <c r="H167" s="21" t="n">
        <v>158.77</v>
      </c>
      <c r="I167" s="21"/>
      <c r="J167" s="52"/>
      <c r="K167" s="19" t="s">
        <v>270</v>
      </c>
      <c r="L167" s="20" t="s">
        <v>1159</v>
      </c>
      <c r="M167" s="20" t="s">
        <v>1345</v>
      </c>
      <c r="N167" s="22" t="s">
        <v>91</v>
      </c>
      <c r="O167" s="20"/>
      <c r="P167" s="20" t="s">
        <v>93</v>
      </c>
      <c r="Q167" s="20" t="s">
        <v>942</v>
      </c>
      <c r="R167" s="76" t="s">
        <v>95</v>
      </c>
      <c r="S167" s="0" t="n">
        <f aca="false">IF(Recherche!$B$4="",0,IF(ISNUMBER(SEARCH(Recherche!$B$4,D167))+ISNUMBER(SEARCH(Recherche!$B$4,K167))&gt;0,1,0))</f>
        <v>0</v>
      </c>
      <c r="T167" s="0" t="str">
        <f aca="false">IF(S167=1,SUM($S$2:S167),"")</f>
        <v/>
      </c>
    </row>
    <row r="168" customFormat="false" ht="23.85" hidden="false" customHeight="false" outlineLevel="0" collapsed="false">
      <c r="A168" s="24" t="s">
        <v>1346</v>
      </c>
      <c r="B168" s="24" t="s">
        <v>57</v>
      </c>
      <c r="C168" s="24" t="s">
        <v>1347</v>
      </c>
      <c r="D168" s="23" t="s">
        <v>271</v>
      </c>
      <c r="E168" s="26" t="s">
        <v>91</v>
      </c>
      <c r="F168" s="24" t="s">
        <v>80</v>
      </c>
      <c r="G168" s="24" t="s">
        <v>939</v>
      </c>
      <c r="H168" s="25" t="n">
        <v>1.58</v>
      </c>
      <c r="I168" s="25"/>
      <c r="J168" s="58"/>
      <c r="K168" s="23" t="s">
        <v>1348</v>
      </c>
      <c r="L168" s="24"/>
      <c r="M168" s="24" t="s">
        <v>1349</v>
      </c>
      <c r="N168" s="26" t="s">
        <v>91</v>
      </c>
      <c r="O168" s="24"/>
      <c r="P168" s="24" t="s">
        <v>303</v>
      </c>
      <c r="Q168" s="24" t="s">
        <v>942</v>
      </c>
      <c r="R168" s="73" t="s">
        <v>95</v>
      </c>
      <c r="S168" s="0" t="n">
        <f aca="false">IF(Recherche!$B$4="",0,IF(ISNUMBER(SEARCH(Recherche!$B$4,D168))+ISNUMBER(SEARCH(Recherche!$B$4,K168))&gt;0,1,0))</f>
        <v>0</v>
      </c>
      <c r="T168" s="0" t="str">
        <f aca="false">IF(S168=1,SUM($S$2:S168),"")</f>
        <v/>
      </c>
    </row>
    <row r="169" customFormat="false" ht="23.85" hidden="false" customHeight="false" outlineLevel="0" collapsed="false">
      <c r="A169" s="20" t="s">
        <v>1346</v>
      </c>
      <c r="B169" s="20" t="s">
        <v>57</v>
      </c>
      <c r="C169" s="20" t="s">
        <v>1347</v>
      </c>
      <c r="D169" s="19" t="s">
        <v>271</v>
      </c>
      <c r="E169" s="22" t="s">
        <v>91</v>
      </c>
      <c r="F169" s="20" t="s">
        <v>76</v>
      </c>
      <c r="G169" s="20" t="s">
        <v>939</v>
      </c>
      <c r="H169" s="21" t="n">
        <v>50.9</v>
      </c>
      <c r="I169" s="21"/>
      <c r="J169" s="52"/>
      <c r="K169" s="19" t="s">
        <v>272</v>
      </c>
      <c r="L169" s="20" t="s">
        <v>1159</v>
      </c>
      <c r="M169" s="20" t="s">
        <v>1350</v>
      </c>
      <c r="N169" s="22" t="s">
        <v>91</v>
      </c>
      <c r="O169" s="20"/>
      <c r="P169" s="20" t="s">
        <v>93</v>
      </c>
      <c r="Q169" s="20" t="s">
        <v>942</v>
      </c>
      <c r="R169" s="76" t="s">
        <v>95</v>
      </c>
      <c r="S169" s="0" t="n">
        <f aca="false">IF(Recherche!$B$4="",0,IF(ISNUMBER(SEARCH(Recherche!$B$4,D169))+ISNUMBER(SEARCH(Recherche!$B$4,K169))&gt;0,1,0))</f>
        <v>0</v>
      </c>
      <c r="T169" s="0" t="str">
        <f aca="false">IF(S169=1,SUM($S$2:S169),"")</f>
        <v/>
      </c>
    </row>
    <row r="170" customFormat="false" ht="15" hidden="false" customHeight="false" outlineLevel="0" collapsed="false">
      <c r="A170" s="24" t="s">
        <v>1351</v>
      </c>
      <c r="B170" s="24" t="s">
        <v>57</v>
      </c>
      <c r="C170" s="24" t="s">
        <v>1347</v>
      </c>
      <c r="D170" s="23" t="s">
        <v>273</v>
      </c>
      <c r="E170" s="26" t="s">
        <v>91</v>
      </c>
      <c r="F170" s="24" t="s">
        <v>76</v>
      </c>
      <c r="G170" s="24" t="s">
        <v>939</v>
      </c>
      <c r="H170" s="25" t="n">
        <v>2.58</v>
      </c>
      <c r="I170" s="25"/>
      <c r="J170" s="58"/>
      <c r="K170" s="23" t="s">
        <v>274</v>
      </c>
      <c r="L170" s="24" t="s">
        <v>1159</v>
      </c>
      <c r="M170" s="24" t="s">
        <v>1352</v>
      </c>
      <c r="N170" s="26" t="s">
        <v>91</v>
      </c>
      <c r="O170" s="24"/>
      <c r="P170" s="24" t="s">
        <v>93</v>
      </c>
      <c r="Q170" s="24" t="s">
        <v>942</v>
      </c>
      <c r="R170" s="73" t="s">
        <v>95</v>
      </c>
      <c r="S170" s="0" t="n">
        <f aca="false">IF(Recherche!$B$4="",0,IF(ISNUMBER(SEARCH(Recherche!$B$4,D170))+ISNUMBER(SEARCH(Recherche!$B$4,K170))&gt;0,1,0))</f>
        <v>0</v>
      </c>
      <c r="T170" s="0" t="str">
        <f aca="false">IF(S170=1,SUM($S$2:S170),"")</f>
        <v/>
      </c>
    </row>
    <row r="171" customFormat="false" ht="23.85" hidden="false" customHeight="false" outlineLevel="0" collapsed="false">
      <c r="A171" s="20" t="s">
        <v>1353</v>
      </c>
      <c r="B171" s="20" t="s">
        <v>57</v>
      </c>
      <c r="C171" s="20" t="s">
        <v>1347</v>
      </c>
      <c r="D171" s="19" t="s">
        <v>275</v>
      </c>
      <c r="E171" s="22" t="s">
        <v>91</v>
      </c>
      <c r="F171" s="20" t="s">
        <v>76</v>
      </c>
      <c r="G171" s="20" t="s">
        <v>939</v>
      </c>
      <c r="H171" s="21" t="n">
        <v>38.38</v>
      </c>
      <c r="I171" s="21"/>
      <c r="J171" s="52"/>
      <c r="K171" s="19" t="s">
        <v>276</v>
      </c>
      <c r="L171" s="20" t="s">
        <v>1159</v>
      </c>
      <c r="M171" s="20" t="s">
        <v>1354</v>
      </c>
      <c r="N171" s="22" t="s">
        <v>91</v>
      </c>
      <c r="O171" s="20"/>
      <c r="P171" s="20" t="s">
        <v>93</v>
      </c>
      <c r="Q171" s="20" t="s">
        <v>1052</v>
      </c>
      <c r="R171" s="76" t="s">
        <v>95</v>
      </c>
      <c r="S171" s="0" t="n">
        <f aca="false">IF(Recherche!$B$4="",0,IF(ISNUMBER(SEARCH(Recherche!$B$4,D171))+ISNUMBER(SEARCH(Recherche!$B$4,K171))&gt;0,1,0))</f>
        <v>0</v>
      </c>
      <c r="T171" s="0" t="str">
        <f aca="false">IF(S171=1,SUM($S$2:S171),"")</f>
        <v/>
      </c>
    </row>
    <row r="172" customFormat="false" ht="23.85" hidden="false" customHeight="false" outlineLevel="0" collapsed="false">
      <c r="A172" s="24" t="s">
        <v>1355</v>
      </c>
      <c r="B172" s="24" t="s">
        <v>57</v>
      </c>
      <c r="C172" s="24" t="s">
        <v>1356</v>
      </c>
      <c r="D172" s="23" t="s">
        <v>277</v>
      </c>
      <c r="E172" s="26" t="s">
        <v>91</v>
      </c>
      <c r="F172" s="24" t="s">
        <v>80</v>
      </c>
      <c r="G172" s="24" t="s">
        <v>939</v>
      </c>
      <c r="H172" s="25" t="n">
        <v>34.34</v>
      </c>
      <c r="I172" s="25"/>
      <c r="J172" s="58"/>
      <c r="K172" s="23" t="s">
        <v>1337</v>
      </c>
      <c r="L172" s="24"/>
      <c r="M172" s="24" t="s">
        <v>1338</v>
      </c>
      <c r="N172" s="26" t="s">
        <v>91</v>
      </c>
      <c r="O172" s="24"/>
      <c r="P172" s="24" t="s">
        <v>303</v>
      </c>
      <c r="Q172" s="24" t="s">
        <v>1085</v>
      </c>
      <c r="R172" s="73" t="s">
        <v>95</v>
      </c>
      <c r="S172" s="0" t="n">
        <f aca="false">IF(Recherche!$B$4="",0,IF(ISNUMBER(SEARCH(Recherche!$B$4,D172))+ISNUMBER(SEARCH(Recherche!$B$4,K172))&gt;0,1,0))</f>
        <v>0</v>
      </c>
      <c r="T172" s="0" t="str">
        <f aca="false">IF(S172=1,SUM($S$2:S172),"")</f>
        <v/>
      </c>
    </row>
    <row r="173" customFormat="false" ht="35.05" hidden="false" customHeight="false" outlineLevel="0" collapsed="false">
      <c r="A173" s="20" t="s">
        <v>1355</v>
      </c>
      <c r="B173" s="20" t="s">
        <v>57</v>
      </c>
      <c r="C173" s="20" t="s">
        <v>1356</v>
      </c>
      <c r="D173" s="19" t="s">
        <v>277</v>
      </c>
      <c r="E173" s="22" t="s">
        <v>91</v>
      </c>
      <c r="F173" s="74" t="s">
        <v>81</v>
      </c>
      <c r="G173" s="74" t="s">
        <v>979</v>
      </c>
      <c r="H173" s="75" t="n">
        <v>104.9</v>
      </c>
      <c r="I173" s="21" t="n">
        <v>110.16</v>
      </c>
      <c r="J173" s="52" t="n">
        <v>4.8</v>
      </c>
      <c r="K173" s="19" t="s">
        <v>278</v>
      </c>
      <c r="L173" s="20" t="s">
        <v>1357</v>
      </c>
      <c r="M173" s="20" t="s">
        <v>1358</v>
      </c>
      <c r="N173" s="22" t="s">
        <v>91</v>
      </c>
      <c r="O173" s="20" t="s">
        <v>949</v>
      </c>
      <c r="P173" s="20" t="s">
        <v>119</v>
      </c>
      <c r="Q173" s="20" t="s">
        <v>1007</v>
      </c>
      <c r="R173" s="76" t="s">
        <v>95</v>
      </c>
      <c r="S173" s="0" t="n">
        <f aca="false">IF(Recherche!$B$4="",0,IF(ISNUMBER(SEARCH(Recherche!$B$4,D173))+ISNUMBER(SEARCH(Recherche!$B$4,K173))&gt;0,1,0))</f>
        <v>0</v>
      </c>
      <c r="T173" s="0" t="str">
        <f aca="false">IF(S173=1,SUM($S$2:S173),"")</f>
        <v/>
      </c>
    </row>
    <row r="174" customFormat="false" ht="23.85" hidden="false" customHeight="false" outlineLevel="0" collapsed="false">
      <c r="A174" s="24" t="s">
        <v>1355</v>
      </c>
      <c r="B174" s="24" t="s">
        <v>57</v>
      </c>
      <c r="C174" s="24" t="s">
        <v>1356</v>
      </c>
      <c r="D174" s="23" t="s">
        <v>277</v>
      </c>
      <c r="E174" s="26" t="s">
        <v>91</v>
      </c>
      <c r="F174" s="24" t="s">
        <v>76</v>
      </c>
      <c r="G174" s="24" t="s">
        <v>939</v>
      </c>
      <c r="H174" s="25" t="n">
        <v>420.54</v>
      </c>
      <c r="I174" s="25"/>
      <c r="J174" s="58"/>
      <c r="K174" s="23" t="s">
        <v>1359</v>
      </c>
      <c r="L174" s="24" t="s">
        <v>1159</v>
      </c>
      <c r="M174" s="24" t="s">
        <v>1360</v>
      </c>
      <c r="N174" s="26" t="s">
        <v>91</v>
      </c>
      <c r="O174" s="24"/>
      <c r="P174" s="24" t="s">
        <v>93</v>
      </c>
      <c r="Q174" s="24" t="s">
        <v>942</v>
      </c>
      <c r="R174" s="73" t="s">
        <v>95</v>
      </c>
      <c r="S174" s="0" t="n">
        <f aca="false">IF(Recherche!$B$4="",0,IF(ISNUMBER(SEARCH(Recherche!$B$4,D174))+ISNUMBER(SEARCH(Recherche!$B$4,K174))&gt;0,1,0))</f>
        <v>0</v>
      </c>
      <c r="T174" s="0" t="str">
        <f aca="false">IF(S174=1,SUM($S$2:S174),"")</f>
        <v/>
      </c>
    </row>
    <row r="175" customFormat="false" ht="23.85" hidden="false" customHeight="false" outlineLevel="0" collapsed="false">
      <c r="A175" s="20" t="s">
        <v>1361</v>
      </c>
      <c r="B175" s="20" t="s">
        <v>57</v>
      </c>
      <c r="C175" s="20" t="s">
        <v>1356</v>
      </c>
      <c r="D175" s="19" t="s">
        <v>279</v>
      </c>
      <c r="E175" s="22" t="s">
        <v>91</v>
      </c>
      <c r="F175" s="20" t="s">
        <v>76</v>
      </c>
      <c r="G175" s="20" t="s">
        <v>939</v>
      </c>
      <c r="H175" s="21" t="n">
        <v>36.93</v>
      </c>
      <c r="I175" s="21"/>
      <c r="J175" s="52"/>
      <c r="K175" s="19" t="s">
        <v>280</v>
      </c>
      <c r="L175" s="20" t="s">
        <v>1159</v>
      </c>
      <c r="M175" s="20" t="s">
        <v>1362</v>
      </c>
      <c r="N175" s="22" t="s">
        <v>91</v>
      </c>
      <c r="O175" s="20"/>
      <c r="P175" s="20" t="s">
        <v>93</v>
      </c>
      <c r="Q175" s="20" t="s">
        <v>1085</v>
      </c>
      <c r="R175" s="76" t="s">
        <v>95</v>
      </c>
      <c r="S175" s="0" t="n">
        <f aca="false">IF(Recherche!$B$4="",0,IF(ISNUMBER(SEARCH(Recherche!$B$4,D175))+ISNUMBER(SEARCH(Recherche!$B$4,K175))&gt;0,1,0))</f>
        <v>0</v>
      </c>
      <c r="T175" s="0" t="str">
        <f aca="false">IF(S175=1,SUM($S$2:S175),"")</f>
        <v/>
      </c>
    </row>
    <row r="176" customFormat="false" ht="15" hidden="false" customHeight="false" outlineLevel="0" collapsed="false">
      <c r="A176" s="24" t="s">
        <v>1363</v>
      </c>
      <c r="B176" s="24" t="s">
        <v>57</v>
      </c>
      <c r="C176" s="24" t="s">
        <v>1356</v>
      </c>
      <c r="D176" s="23" t="s">
        <v>281</v>
      </c>
      <c r="E176" s="26" t="s">
        <v>91</v>
      </c>
      <c r="F176" s="24" t="s">
        <v>76</v>
      </c>
      <c r="G176" s="24" t="s">
        <v>939</v>
      </c>
      <c r="H176" s="25" t="n">
        <v>891.91</v>
      </c>
      <c r="I176" s="25"/>
      <c r="J176" s="58"/>
      <c r="K176" s="23" t="s">
        <v>282</v>
      </c>
      <c r="L176" s="24"/>
      <c r="M176" s="24" t="s">
        <v>1364</v>
      </c>
      <c r="N176" s="26" t="s">
        <v>91</v>
      </c>
      <c r="O176" s="24"/>
      <c r="P176" s="24" t="s">
        <v>93</v>
      </c>
      <c r="Q176" s="24" t="s">
        <v>942</v>
      </c>
      <c r="R176" s="73" t="s">
        <v>95</v>
      </c>
      <c r="S176" s="0" t="n">
        <f aca="false">IF(Recherche!$B$4="",0,IF(ISNUMBER(SEARCH(Recherche!$B$4,D176))+ISNUMBER(SEARCH(Recherche!$B$4,K176))&gt;0,1,0))</f>
        <v>0</v>
      </c>
      <c r="T176" s="0" t="str">
        <f aca="false">IF(S176=1,SUM($S$2:S176),"")</f>
        <v/>
      </c>
    </row>
    <row r="177" customFormat="false" ht="23.85" hidden="false" customHeight="false" outlineLevel="0" collapsed="false">
      <c r="A177" s="20" t="s">
        <v>1365</v>
      </c>
      <c r="B177" s="20" t="s">
        <v>57</v>
      </c>
      <c r="C177" s="20" t="s">
        <v>1366</v>
      </c>
      <c r="D177" s="19" t="s">
        <v>283</v>
      </c>
      <c r="E177" s="22" t="s">
        <v>91</v>
      </c>
      <c r="F177" s="74" t="s">
        <v>78</v>
      </c>
      <c r="G177" s="74" t="s">
        <v>943</v>
      </c>
      <c r="H177" s="75" t="n">
        <v>58.62</v>
      </c>
      <c r="I177" s="21"/>
      <c r="J177" s="52"/>
      <c r="K177" s="19" t="s">
        <v>284</v>
      </c>
      <c r="L177" s="20"/>
      <c r="M177" s="20" t="s">
        <v>1367</v>
      </c>
      <c r="N177" s="22" t="s">
        <v>91</v>
      </c>
      <c r="O177" s="20" t="s">
        <v>949</v>
      </c>
      <c r="P177" s="20" t="s">
        <v>93</v>
      </c>
      <c r="Q177" s="20" t="s">
        <v>946</v>
      </c>
      <c r="R177" s="76" t="s">
        <v>95</v>
      </c>
      <c r="S177" s="0" t="n">
        <f aca="false">IF(Recherche!$B$4="",0,IF(ISNUMBER(SEARCH(Recherche!$B$4,D177))+ISNUMBER(SEARCH(Recherche!$B$4,K177))&gt;0,1,0))</f>
        <v>0</v>
      </c>
      <c r="T177" s="0" t="str">
        <f aca="false">IF(S177=1,SUM($S$2:S177),"")</f>
        <v/>
      </c>
    </row>
    <row r="178" customFormat="false" ht="23.85" hidden="false" customHeight="false" outlineLevel="0" collapsed="false">
      <c r="A178" s="24" t="s">
        <v>1365</v>
      </c>
      <c r="B178" s="24" t="s">
        <v>57</v>
      </c>
      <c r="C178" s="24" t="s">
        <v>1366</v>
      </c>
      <c r="D178" s="23" t="s">
        <v>283</v>
      </c>
      <c r="E178" s="26" t="s">
        <v>91</v>
      </c>
      <c r="F178" s="24" t="s">
        <v>76</v>
      </c>
      <c r="G178" s="24" t="s">
        <v>939</v>
      </c>
      <c r="H178" s="25" t="n">
        <v>69.9</v>
      </c>
      <c r="I178" s="25"/>
      <c r="J178" s="58"/>
      <c r="K178" s="23" t="s">
        <v>1368</v>
      </c>
      <c r="L178" s="24" t="s">
        <v>969</v>
      </c>
      <c r="M178" s="24" t="s">
        <v>1369</v>
      </c>
      <c r="N178" s="26" t="s">
        <v>91</v>
      </c>
      <c r="O178" s="24"/>
      <c r="P178" s="24" t="s">
        <v>93</v>
      </c>
      <c r="Q178" s="24" t="s">
        <v>1085</v>
      </c>
      <c r="R178" s="73" t="s">
        <v>95</v>
      </c>
      <c r="S178" s="0" t="n">
        <f aca="false">IF(Recherche!$B$4="",0,IF(ISNUMBER(SEARCH(Recherche!$B$4,D178))+ISNUMBER(SEARCH(Recherche!$B$4,K178))&gt;0,1,0))</f>
        <v>0</v>
      </c>
      <c r="T178" s="0" t="str">
        <f aca="false">IF(S178=1,SUM($S$2:S178),"")</f>
        <v/>
      </c>
    </row>
    <row r="179" customFormat="false" ht="23.85" hidden="false" customHeight="false" outlineLevel="0" collapsed="false">
      <c r="A179" s="20" t="s">
        <v>1365</v>
      </c>
      <c r="B179" s="20" t="s">
        <v>57</v>
      </c>
      <c r="C179" s="20" t="s">
        <v>1366</v>
      </c>
      <c r="D179" s="19" t="s">
        <v>283</v>
      </c>
      <c r="E179" s="22" t="s">
        <v>91</v>
      </c>
      <c r="F179" s="74" t="s">
        <v>77</v>
      </c>
      <c r="G179" s="74" t="s">
        <v>979</v>
      </c>
      <c r="H179" s="75" t="n">
        <v>414.16</v>
      </c>
      <c r="I179" s="21" t="n">
        <v>465.35</v>
      </c>
      <c r="J179" s="52" t="n">
        <v>11</v>
      </c>
      <c r="K179" s="19" t="s">
        <v>1370</v>
      </c>
      <c r="L179" s="20" t="s">
        <v>981</v>
      </c>
      <c r="M179" s="20" t="s">
        <v>1371</v>
      </c>
      <c r="N179" s="22" t="s">
        <v>91</v>
      </c>
      <c r="O179" s="20"/>
      <c r="P179" s="20" t="s">
        <v>114</v>
      </c>
      <c r="Q179" s="20" t="s">
        <v>983</v>
      </c>
      <c r="R179" s="76"/>
      <c r="S179" s="0" t="n">
        <f aca="false">IF(Recherche!$B$4="",0,IF(ISNUMBER(SEARCH(Recherche!$B$4,D179))+ISNUMBER(SEARCH(Recherche!$B$4,K179))&gt;0,1,0))</f>
        <v>0</v>
      </c>
      <c r="T179" s="0" t="str">
        <f aca="false">IF(S179=1,SUM($S$2:S179),"")</f>
        <v/>
      </c>
    </row>
    <row r="180" customFormat="false" ht="23.85" hidden="false" customHeight="false" outlineLevel="0" collapsed="false">
      <c r="A180" s="24" t="s">
        <v>1372</v>
      </c>
      <c r="B180" s="24" t="s">
        <v>57</v>
      </c>
      <c r="C180" s="24" t="s">
        <v>1366</v>
      </c>
      <c r="D180" s="23" t="s">
        <v>285</v>
      </c>
      <c r="E180" s="26" t="s">
        <v>91</v>
      </c>
      <c r="F180" s="74" t="s">
        <v>78</v>
      </c>
      <c r="G180" s="74" t="s">
        <v>943</v>
      </c>
      <c r="H180" s="75" t="n">
        <v>123.64</v>
      </c>
      <c r="I180" s="25"/>
      <c r="J180" s="58"/>
      <c r="K180" s="23" t="s">
        <v>286</v>
      </c>
      <c r="L180" s="24"/>
      <c r="M180" s="24" t="s">
        <v>1373</v>
      </c>
      <c r="N180" s="26" t="s">
        <v>91</v>
      </c>
      <c r="O180" s="24"/>
      <c r="P180" s="24" t="s">
        <v>93</v>
      </c>
      <c r="Q180" s="24" t="s">
        <v>946</v>
      </c>
      <c r="R180" s="73"/>
      <c r="S180" s="0" t="n">
        <f aca="false">IF(Recherche!$B$4="",0,IF(ISNUMBER(SEARCH(Recherche!$B$4,D180))+ISNUMBER(SEARCH(Recherche!$B$4,K180))&gt;0,1,0))</f>
        <v>0</v>
      </c>
      <c r="T180" s="0" t="str">
        <f aca="false">IF(S180=1,SUM($S$2:S180),"")</f>
        <v/>
      </c>
    </row>
    <row r="181" customFormat="false" ht="23.85" hidden="false" customHeight="false" outlineLevel="0" collapsed="false">
      <c r="A181" s="20" t="s">
        <v>1374</v>
      </c>
      <c r="B181" s="20" t="s">
        <v>57</v>
      </c>
      <c r="C181" s="20" t="s">
        <v>1366</v>
      </c>
      <c r="D181" s="19" t="s">
        <v>287</v>
      </c>
      <c r="E181" s="22" t="s">
        <v>91</v>
      </c>
      <c r="F181" s="74" t="s">
        <v>78</v>
      </c>
      <c r="G181" s="74" t="s">
        <v>943</v>
      </c>
      <c r="H181" s="75" t="n">
        <v>120.61</v>
      </c>
      <c r="I181" s="21"/>
      <c r="J181" s="52"/>
      <c r="K181" s="19" t="s">
        <v>288</v>
      </c>
      <c r="L181" s="20"/>
      <c r="M181" s="20" t="s">
        <v>1375</v>
      </c>
      <c r="N181" s="22" t="s">
        <v>91</v>
      </c>
      <c r="O181" s="20"/>
      <c r="P181" s="20" t="s">
        <v>93</v>
      </c>
      <c r="Q181" s="20" t="s">
        <v>1016</v>
      </c>
      <c r="R181" s="76"/>
      <c r="S181" s="0" t="n">
        <f aca="false">IF(Recherche!$B$4="",0,IF(ISNUMBER(SEARCH(Recherche!$B$4,D181))+ISNUMBER(SEARCH(Recherche!$B$4,K181))&gt;0,1,0))</f>
        <v>0</v>
      </c>
      <c r="T181" s="0" t="str">
        <f aca="false">IF(S181=1,SUM($S$2:S181),"")</f>
        <v/>
      </c>
    </row>
    <row r="182" customFormat="false" ht="15" hidden="false" customHeight="false" outlineLevel="0" collapsed="false">
      <c r="A182" s="24" t="s">
        <v>1374</v>
      </c>
      <c r="B182" s="24" t="s">
        <v>57</v>
      </c>
      <c r="C182" s="24" t="s">
        <v>1366</v>
      </c>
      <c r="D182" s="23" t="s">
        <v>287</v>
      </c>
      <c r="E182" s="26" t="s">
        <v>91</v>
      </c>
      <c r="F182" s="74" t="s">
        <v>77</v>
      </c>
      <c r="G182" s="74" t="s">
        <v>979</v>
      </c>
      <c r="H182" s="75" t="n">
        <v>234.11</v>
      </c>
      <c r="I182" s="25" t="n">
        <v>234.11</v>
      </c>
      <c r="J182" s="58"/>
      <c r="K182" s="23" t="s">
        <v>1376</v>
      </c>
      <c r="L182" s="24" t="s">
        <v>1234</v>
      </c>
      <c r="M182" s="24" t="s">
        <v>1377</v>
      </c>
      <c r="N182" s="26" t="s">
        <v>91</v>
      </c>
      <c r="O182" s="24"/>
      <c r="P182" s="24" t="s">
        <v>114</v>
      </c>
      <c r="Q182" s="24" t="s">
        <v>983</v>
      </c>
      <c r="R182" s="73"/>
      <c r="S182" s="0" t="n">
        <f aca="false">IF(Recherche!$B$4="",0,IF(ISNUMBER(SEARCH(Recherche!$B$4,D182))+ISNUMBER(SEARCH(Recherche!$B$4,K182))&gt;0,1,0))</f>
        <v>0</v>
      </c>
      <c r="T182" s="0" t="str">
        <f aca="false">IF(S182=1,SUM($S$2:S182),"")</f>
        <v/>
      </c>
    </row>
    <row r="183" customFormat="false" ht="15" hidden="false" customHeight="false" outlineLevel="0" collapsed="false">
      <c r="A183" s="20" t="s">
        <v>1378</v>
      </c>
      <c r="B183" s="20" t="s">
        <v>57</v>
      </c>
      <c r="C183" s="20" t="s">
        <v>1366</v>
      </c>
      <c r="D183" s="19" t="s">
        <v>289</v>
      </c>
      <c r="E183" s="22" t="s">
        <v>91</v>
      </c>
      <c r="F183" s="74" t="s">
        <v>82</v>
      </c>
      <c r="G183" s="74" t="s">
        <v>943</v>
      </c>
      <c r="H183" s="75" t="n">
        <v>13.77</v>
      </c>
      <c r="I183" s="21"/>
      <c r="J183" s="52"/>
      <c r="K183" s="19" t="s">
        <v>291</v>
      </c>
      <c r="L183" s="20"/>
      <c r="M183" s="20" t="s">
        <v>1379</v>
      </c>
      <c r="N183" s="22" t="s">
        <v>91</v>
      </c>
      <c r="O183" s="20"/>
      <c r="P183" s="20" t="s">
        <v>290</v>
      </c>
      <c r="Q183" s="20" t="s">
        <v>1380</v>
      </c>
      <c r="R183" s="76" t="s">
        <v>95</v>
      </c>
      <c r="S183" s="0" t="n">
        <f aca="false">IF(Recherche!$B$4="",0,IF(ISNUMBER(SEARCH(Recherche!$B$4,D183))+ISNUMBER(SEARCH(Recherche!$B$4,K183))&gt;0,1,0))</f>
        <v>0</v>
      </c>
      <c r="T183" s="0" t="str">
        <f aca="false">IF(S183=1,SUM($S$2:S183),"")</f>
        <v/>
      </c>
    </row>
    <row r="184" customFormat="false" ht="23.85" hidden="false" customHeight="false" outlineLevel="0" collapsed="false">
      <c r="A184" s="24" t="s">
        <v>1381</v>
      </c>
      <c r="B184" s="24" t="s">
        <v>58</v>
      </c>
      <c r="C184" s="24" t="s">
        <v>1382</v>
      </c>
      <c r="D184" s="23" t="s">
        <v>292</v>
      </c>
      <c r="E184" s="26" t="s">
        <v>145</v>
      </c>
      <c r="F184" s="24" t="s">
        <v>76</v>
      </c>
      <c r="G184" s="24" t="s">
        <v>939</v>
      </c>
      <c r="H184" s="25" t="n">
        <v>1.59</v>
      </c>
      <c r="I184" s="25"/>
      <c r="J184" s="58"/>
      <c r="K184" s="23" t="s">
        <v>293</v>
      </c>
      <c r="L184" s="24" t="s">
        <v>1383</v>
      </c>
      <c r="M184" s="24" t="s">
        <v>1384</v>
      </c>
      <c r="N184" s="26" t="s">
        <v>145</v>
      </c>
      <c r="O184" s="24"/>
      <c r="P184" s="24" t="s">
        <v>93</v>
      </c>
      <c r="Q184" s="24" t="s">
        <v>963</v>
      </c>
      <c r="R184" s="73" t="s">
        <v>95</v>
      </c>
      <c r="S184" s="0" t="n">
        <f aca="false">IF(Recherche!$B$4="",0,IF(ISNUMBER(SEARCH(Recherche!$B$4,D184))+ISNUMBER(SEARCH(Recherche!$B$4,K184))&gt;0,1,0))</f>
        <v>0</v>
      </c>
      <c r="T184" s="0" t="str">
        <f aca="false">IF(S184=1,SUM($S$2:S184),"")</f>
        <v/>
      </c>
    </row>
    <row r="185" customFormat="false" ht="15" hidden="false" customHeight="false" outlineLevel="0" collapsed="false">
      <c r="A185" s="20" t="s">
        <v>1381</v>
      </c>
      <c r="B185" s="20" t="s">
        <v>58</v>
      </c>
      <c r="C185" s="20" t="s">
        <v>1382</v>
      </c>
      <c r="D185" s="19" t="s">
        <v>292</v>
      </c>
      <c r="E185" s="22" t="s">
        <v>145</v>
      </c>
      <c r="F185" s="74" t="s">
        <v>79</v>
      </c>
      <c r="G185" s="74" t="s">
        <v>943</v>
      </c>
      <c r="H185" s="75" t="n">
        <v>16.9</v>
      </c>
      <c r="I185" s="21"/>
      <c r="J185" s="52"/>
      <c r="K185" s="19" t="s">
        <v>1385</v>
      </c>
      <c r="L185" s="20"/>
      <c r="M185" s="20" t="s">
        <v>1386</v>
      </c>
      <c r="N185" s="22" t="s">
        <v>91</v>
      </c>
      <c r="O185" s="20"/>
      <c r="P185" s="20" t="s">
        <v>313</v>
      </c>
      <c r="Q185" s="20" t="s">
        <v>1387</v>
      </c>
      <c r="R185" s="76" t="s">
        <v>95</v>
      </c>
      <c r="S185" s="0" t="n">
        <f aca="false">IF(Recherche!$B$4="",0,IF(ISNUMBER(SEARCH(Recherche!$B$4,D185))+ISNUMBER(SEARCH(Recherche!$B$4,K185))&gt;0,1,0))</f>
        <v>0</v>
      </c>
      <c r="T185" s="0" t="str">
        <f aca="false">IF(S185=1,SUM($S$2:S185),"")</f>
        <v/>
      </c>
    </row>
    <row r="186" customFormat="false" ht="23.85" hidden="false" customHeight="false" outlineLevel="0" collapsed="false">
      <c r="A186" s="24" t="s">
        <v>1381</v>
      </c>
      <c r="B186" s="24" t="s">
        <v>58</v>
      </c>
      <c r="C186" s="24" t="s">
        <v>1382</v>
      </c>
      <c r="D186" s="23" t="s">
        <v>292</v>
      </c>
      <c r="E186" s="26" t="s">
        <v>145</v>
      </c>
      <c r="F186" s="74" t="s">
        <v>81</v>
      </c>
      <c r="G186" s="74" t="s">
        <v>979</v>
      </c>
      <c r="H186" s="75" t="n">
        <v>24.23</v>
      </c>
      <c r="I186" s="25" t="n">
        <v>25.35</v>
      </c>
      <c r="J186" s="58" t="n">
        <v>4.4</v>
      </c>
      <c r="K186" s="23" t="s">
        <v>1388</v>
      </c>
      <c r="L186" s="24" t="s">
        <v>1389</v>
      </c>
      <c r="M186" s="24" t="s">
        <v>1390</v>
      </c>
      <c r="N186" s="26" t="s">
        <v>91</v>
      </c>
      <c r="O186" s="24" t="s">
        <v>949</v>
      </c>
      <c r="P186" s="24" t="s">
        <v>119</v>
      </c>
      <c r="Q186" s="24" t="s">
        <v>1007</v>
      </c>
      <c r="R186" s="73" t="s">
        <v>95</v>
      </c>
      <c r="S186" s="0" t="n">
        <f aca="false">IF(Recherche!$B$4="",0,IF(ISNUMBER(SEARCH(Recherche!$B$4,D186))+ISNUMBER(SEARCH(Recherche!$B$4,K186))&gt;0,1,0))</f>
        <v>0</v>
      </c>
      <c r="T186" s="0" t="str">
        <f aca="false">IF(S186=1,SUM($S$2:S186),"")</f>
        <v/>
      </c>
    </row>
    <row r="187" customFormat="false" ht="15" hidden="false" customHeight="false" outlineLevel="0" collapsed="false">
      <c r="A187" s="20" t="s">
        <v>1391</v>
      </c>
      <c r="B187" s="20" t="s">
        <v>58</v>
      </c>
      <c r="C187" s="20" t="s">
        <v>1382</v>
      </c>
      <c r="D187" s="19" t="s">
        <v>294</v>
      </c>
      <c r="E187" s="22" t="s">
        <v>145</v>
      </c>
      <c r="F187" s="74" t="s">
        <v>79</v>
      </c>
      <c r="G187" s="74" t="s">
        <v>943</v>
      </c>
      <c r="H187" s="75" t="n">
        <v>16.9</v>
      </c>
      <c r="I187" s="21"/>
      <c r="J187" s="52"/>
      <c r="K187" s="19" t="s">
        <v>1385</v>
      </c>
      <c r="L187" s="20"/>
      <c r="M187" s="20" t="s">
        <v>1386</v>
      </c>
      <c r="N187" s="22" t="s">
        <v>91</v>
      </c>
      <c r="O187" s="20"/>
      <c r="P187" s="20" t="s">
        <v>313</v>
      </c>
      <c r="Q187" s="20" t="s">
        <v>1387</v>
      </c>
      <c r="R187" s="76" t="s">
        <v>95</v>
      </c>
      <c r="S187" s="0" t="n">
        <f aca="false">IF(Recherche!$B$4="",0,IF(ISNUMBER(SEARCH(Recherche!$B$4,D187))+ISNUMBER(SEARCH(Recherche!$B$4,K187))&gt;0,1,0))</f>
        <v>0</v>
      </c>
      <c r="T187" s="0" t="str">
        <f aca="false">IF(S187=1,SUM($S$2:S187),"")</f>
        <v/>
      </c>
    </row>
    <row r="188" customFormat="false" ht="23.85" hidden="false" customHeight="false" outlineLevel="0" collapsed="false">
      <c r="A188" s="24" t="s">
        <v>1391</v>
      </c>
      <c r="B188" s="24" t="s">
        <v>58</v>
      </c>
      <c r="C188" s="24" t="s">
        <v>1382</v>
      </c>
      <c r="D188" s="23" t="s">
        <v>294</v>
      </c>
      <c r="E188" s="26" t="s">
        <v>145</v>
      </c>
      <c r="F188" s="74" t="s">
        <v>81</v>
      </c>
      <c r="G188" s="74" t="s">
        <v>979</v>
      </c>
      <c r="H188" s="75" t="n">
        <v>24.23</v>
      </c>
      <c r="I188" s="25" t="n">
        <v>25.35</v>
      </c>
      <c r="J188" s="58" t="n">
        <v>4.4</v>
      </c>
      <c r="K188" s="23" t="s">
        <v>1388</v>
      </c>
      <c r="L188" s="24" t="s">
        <v>1389</v>
      </c>
      <c r="M188" s="24" t="s">
        <v>1390</v>
      </c>
      <c r="N188" s="26" t="s">
        <v>91</v>
      </c>
      <c r="O188" s="24" t="s">
        <v>949</v>
      </c>
      <c r="P188" s="24" t="s">
        <v>119</v>
      </c>
      <c r="Q188" s="24" t="s">
        <v>1007</v>
      </c>
      <c r="R188" s="73" t="s">
        <v>95</v>
      </c>
      <c r="S188" s="0" t="n">
        <f aca="false">IF(Recherche!$B$4="",0,IF(ISNUMBER(SEARCH(Recherche!$B$4,D188))+ISNUMBER(SEARCH(Recherche!$B$4,K188))&gt;0,1,0))</f>
        <v>0</v>
      </c>
      <c r="T188" s="0" t="str">
        <f aca="false">IF(S188=1,SUM($S$2:S188),"")</f>
        <v/>
      </c>
    </row>
    <row r="189" customFormat="false" ht="35.05" hidden="false" customHeight="false" outlineLevel="0" collapsed="false">
      <c r="A189" s="20" t="s">
        <v>1391</v>
      </c>
      <c r="B189" s="20" t="s">
        <v>58</v>
      </c>
      <c r="C189" s="20" t="s">
        <v>1382</v>
      </c>
      <c r="D189" s="19" t="s">
        <v>294</v>
      </c>
      <c r="E189" s="22" t="s">
        <v>145</v>
      </c>
      <c r="F189" s="74" t="s">
        <v>77</v>
      </c>
      <c r="G189" s="74" t="s">
        <v>979</v>
      </c>
      <c r="H189" s="75" t="n">
        <v>68.66</v>
      </c>
      <c r="I189" s="21" t="n">
        <v>96.71</v>
      </c>
      <c r="J189" s="52" t="n">
        <v>29</v>
      </c>
      <c r="K189" s="19" t="s">
        <v>1392</v>
      </c>
      <c r="L189" s="20" t="s">
        <v>1393</v>
      </c>
      <c r="M189" s="20" t="s">
        <v>1394</v>
      </c>
      <c r="N189" s="22" t="s">
        <v>91</v>
      </c>
      <c r="O189" s="20"/>
      <c r="P189" s="20" t="s">
        <v>114</v>
      </c>
      <c r="Q189" s="20" t="s">
        <v>983</v>
      </c>
      <c r="R189" s="76"/>
      <c r="S189" s="0" t="n">
        <f aca="false">IF(Recherche!$B$4="",0,IF(ISNUMBER(SEARCH(Recherche!$B$4,D189))+ISNUMBER(SEARCH(Recherche!$B$4,K189))&gt;0,1,0))</f>
        <v>0</v>
      </c>
      <c r="T189" s="0" t="str">
        <f aca="false">IF(S189=1,SUM($S$2:S189),"")</f>
        <v/>
      </c>
    </row>
    <row r="190" customFormat="false" ht="15" hidden="false" customHeight="false" outlineLevel="0" collapsed="false">
      <c r="A190" s="24" t="s">
        <v>1391</v>
      </c>
      <c r="B190" s="24" t="s">
        <v>58</v>
      </c>
      <c r="C190" s="24" t="s">
        <v>1382</v>
      </c>
      <c r="D190" s="23" t="s">
        <v>294</v>
      </c>
      <c r="E190" s="26" t="s">
        <v>145</v>
      </c>
      <c r="F190" s="24" t="s">
        <v>76</v>
      </c>
      <c r="G190" s="24" t="s">
        <v>939</v>
      </c>
      <c r="H190" s="25" t="n">
        <v>91.61</v>
      </c>
      <c r="I190" s="25"/>
      <c r="J190" s="58"/>
      <c r="K190" s="23" t="s">
        <v>295</v>
      </c>
      <c r="L190" s="24" t="s">
        <v>1395</v>
      </c>
      <c r="M190" s="24" t="s">
        <v>1396</v>
      </c>
      <c r="N190" s="26" t="s">
        <v>145</v>
      </c>
      <c r="O190" s="24"/>
      <c r="P190" s="24" t="s">
        <v>93</v>
      </c>
      <c r="Q190" s="24" t="s">
        <v>1085</v>
      </c>
      <c r="R190" s="73" t="s">
        <v>95</v>
      </c>
      <c r="S190" s="0" t="n">
        <f aca="false">IF(Recherche!$B$4="",0,IF(ISNUMBER(SEARCH(Recherche!$B$4,D190))+ISNUMBER(SEARCH(Recherche!$B$4,K190))&gt;0,1,0))</f>
        <v>0</v>
      </c>
      <c r="T190" s="0" t="str">
        <f aca="false">IF(S190=1,SUM($S$2:S190),"")</f>
        <v/>
      </c>
    </row>
    <row r="191" customFormat="false" ht="15" hidden="false" customHeight="false" outlineLevel="0" collapsed="false">
      <c r="A191" s="20" t="s">
        <v>1397</v>
      </c>
      <c r="B191" s="20" t="s">
        <v>58</v>
      </c>
      <c r="C191" s="20" t="s">
        <v>1382</v>
      </c>
      <c r="D191" s="19" t="s">
        <v>296</v>
      </c>
      <c r="E191" s="22" t="s">
        <v>137</v>
      </c>
      <c r="F191" s="74" t="s">
        <v>81</v>
      </c>
      <c r="G191" s="74" t="s">
        <v>979</v>
      </c>
      <c r="H191" s="75" t="n">
        <v>2.77</v>
      </c>
      <c r="I191" s="21" t="n">
        <v>2.9</v>
      </c>
      <c r="J191" s="52" t="n">
        <v>4.5</v>
      </c>
      <c r="K191" s="19" t="s">
        <v>1398</v>
      </c>
      <c r="L191" s="20" t="s">
        <v>1389</v>
      </c>
      <c r="M191" s="20" t="s">
        <v>1399</v>
      </c>
      <c r="N191" s="22" t="s">
        <v>91</v>
      </c>
      <c r="O191" s="20" t="s">
        <v>949</v>
      </c>
      <c r="P191" s="20" t="s">
        <v>119</v>
      </c>
      <c r="Q191" s="20" t="s">
        <v>1007</v>
      </c>
      <c r="R191" s="76" t="s">
        <v>95</v>
      </c>
      <c r="S191" s="0" t="n">
        <f aca="false">IF(Recherche!$B$4="",0,IF(ISNUMBER(SEARCH(Recherche!$B$4,D191))+ISNUMBER(SEARCH(Recherche!$B$4,K191))&gt;0,1,0))</f>
        <v>0</v>
      </c>
      <c r="T191" s="0" t="str">
        <f aca="false">IF(S191=1,SUM($S$2:S191),"")</f>
        <v/>
      </c>
    </row>
    <row r="192" customFormat="false" ht="15" hidden="false" customHeight="false" outlineLevel="0" collapsed="false">
      <c r="A192" s="24" t="s">
        <v>1397</v>
      </c>
      <c r="B192" s="24" t="s">
        <v>58</v>
      </c>
      <c r="C192" s="24" t="s">
        <v>1382</v>
      </c>
      <c r="D192" s="23" t="s">
        <v>296</v>
      </c>
      <c r="E192" s="26" t="s">
        <v>137</v>
      </c>
      <c r="F192" s="24" t="s">
        <v>76</v>
      </c>
      <c r="G192" s="24" t="s">
        <v>939</v>
      </c>
      <c r="H192" s="25" t="n">
        <v>4.03</v>
      </c>
      <c r="I192" s="25"/>
      <c r="J192" s="58"/>
      <c r="K192" s="23" t="s">
        <v>297</v>
      </c>
      <c r="L192" s="24" t="s">
        <v>1400</v>
      </c>
      <c r="M192" s="24" t="s">
        <v>1401</v>
      </c>
      <c r="N192" s="26" t="s">
        <v>137</v>
      </c>
      <c r="O192" s="24"/>
      <c r="P192" s="24" t="s">
        <v>93</v>
      </c>
      <c r="Q192" s="24" t="s">
        <v>942</v>
      </c>
      <c r="R192" s="73" t="s">
        <v>95</v>
      </c>
      <c r="S192" s="0" t="n">
        <f aca="false">IF(Recherche!$B$4="",0,IF(ISNUMBER(SEARCH(Recherche!$B$4,D192))+ISNUMBER(SEARCH(Recherche!$B$4,K192))&gt;0,1,0))</f>
        <v>0</v>
      </c>
      <c r="T192" s="0" t="str">
        <f aca="false">IF(S192=1,SUM($S$2:S192),"")</f>
        <v/>
      </c>
    </row>
    <row r="193" customFormat="false" ht="15" hidden="false" customHeight="false" outlineLevel="0" collapsed="false">
      <c r="A193" s="20" t="s">
        <v>1397</v>
      </c>
      <c r="B193" s="20" t="s">
        <v>58</v>
      </c>
      <c r="C193" s="20" t="s">
        <v>1382</v>
      </c>
      <c r="D193" s="19" t="s">
        <v>296</v>
      </c>
      <c r="E193" s="22" t="s">
        <v>137</v>
      </c>
      <c r="F193" s="74" t="s">
        <v>77</v>
      </c>
      <c r="G193" s="74" t="s">
        <v>979</v>
      </c>
      <c r="H193" s="75" t="n">
        <v>5.86</v>
      </c>
      <c r="I193" s="21" t="n">
        <v>5.86</v>
      </c>
      <c r="J193" s="52"/>
      <c r="K193" s="19" t="s">
        <v>1402</v>
      </c>
      <c r="L193" s="20" t="s">
        <v>1403</v>
      </c>
      <c r="M193" s="20" t="s">
        <v>1404</v>
      </c>
      <c r="N193" s="22" t="s">
        <v>91</v>
      </c>
      <c r="O193" s="20"/>
      <c r="P193" s="20" t="s">
        <v>114</v>
      </c>
      <c r="Q193" s="20" t="s">
        <v>983</v>
      </c>
      <c r="R193" s="76"/>
      <c r="S193" s="0" t="n">
        <f aca="false">IF(Recherche!$B$4="",0,IF(ISNUMBER(SEARCH(Recherche!$B$4,D193))+ISNUMBER(SEARCH(Recherche!$B$4,K193))&gt;0,1,0))</f>
        <v>0</v>
      </c>
      <c r="T193" s="0" t="str">
        <f aca="false">IF(S193=1,SUM($S$2:S193),"")</f>
        <v/>
      </c>
    </row>
    <row r="194" customFormat="false" ht="15" hidden="false" customHeight="false" outlineLevel="0" collapsed="false">
      <c r="A194" s="24" t="s">
        <v>1397</v>
      </c>
      <c r="B194" s="24" t="s">
        <v>58</v>
      </c>
      <c r="C194" s="24" t="s">
        <v>1382</v>
      </c>
      <c r="D194" s="23" t="s">
        <v>296</v>
      </c>
      <c r="E194" s="26" t="s">
        <v>137</v>
      </c>
      <c r="F194" s="24" t="s">
        <v>80</v>
      </c>
      <c r="G194" s="24" t="s">
        <v>939</v>
      </c>
      <c r="H194" s="25" t="n">
        <v>159.69</v>
      </c>
      <c r="I194" s="25"/>
      <c r="J194" s="58"/>
      <c r="K194" s="23" t="s">
        <v>1405</v>
      </c>
      <c r="L194" s="24"/>
      <c r="M194" s="24" t="s">
        <v>1406</v>
      </c>
      <c r="N194" s="26" t="s">
        <v>91</v>
      </c>
      <c r="O194" s="24"/>
      <c r="P194" s="24" t="s">
        <v>303</v>
      </c>
      <c r="Q194" s="24" t="s">
        <v>942</v>
      </c>
      <c r="R194" s="73" t="s">
        <v>95</v>
      </c>
      <c r="S194" s="0" t="n">
        <f aca="false">IF(Recherche!$B$4="",0,IF(ISNUMBER(SEARCH(Recherche!$B$4,D194))+ISNUMBER(SEARCH(Recherche!$B$4,K194))&gt;0,1,0))</f>
        <v>0</v>
      </c>
      <c r="T194" s="0" t="str">
        <f aca="false">IF(S194=1,SUM($S$2:S194),"")</f>
        <v/>
      </c>
    </row>
    <row r="195" customFormat="false" ht="15" hidden="false" customHeight="false" outlineLevel="0" collapsed="false">
      <c r="A195" s="20" t="s">
        <v>1407</v>
      </c>
      <c r="B195" s="20" t="s">
        <v>58</v>
      </c>
      <c r="C195" s="20" t="s">
        <v>1382</v>
      </c>
      <c r="D195" s="19" t="s">
        <v>298</v>
      </c>
      <c r="E195" s="22" t="s">
        <v>137</v>
      </c>
      <c r="F195" s="74" t="s">
        <v>81</v>
      </c>
      <c r="G195" s="74" t="s">
        <v>979</v>
      </c>
      <c r="H195" s="75" t="n">
        <v>2.77</v>
      </c>
      <c r="I195" s="21" t="n">
        <v>2.9</v>
      </c>
      <c r="J195" s="52" t="n">
        <v>4.5</v>
      </c>
      <c r="K195" s="19" t="s">
        <v>1398</v>
      </c>
      <c r="L195" s="20" t="s">
        <v>1389</v>
      </c>
      <c r="M195" s="20" t="s">
        <v>1399</v>
      </c>
      <c r="N195" s="22" t="s">
        <v>91</v>
      </c>
      <c r="O195" s="20" t="s">
        <v>949</v>
      </c>
      <c r="P195" s="20" t="s">
        <v>119</v>
      </c>
      <c r="Q195" s="20" t="s">
        <v>1007</v>
      </c>
      <c r="R195" s="76" t="s">
        <v>95</v>
      </c>
      <c r="S195" s="0" t="n">
        <f aca="false">IF(Recherche!$B$4="",0,IF(ISNUMBER(SEARCH(Recherche!$B$4,D195))+ISNUMBER(SEARCH(Recherche!$B$4,K195))&gt;0,1,0))</f>
        <v>0</v>
      </c>
      <c r="T195" s="0" t="str">
        <f aca="false">IF(S195=1,SUM($S$2:S195),"")</f>
        <v/>
      </c>
    </row>
    <row r="196" customFormat="false" ht="15" hidden="false" customHeight="false" outlineLevel="0" collapsed="false">
      <c r="A196" s="24" t="s">
        <v>1407</v>
      </c>
      <c r="B196" s="24" t="s">
        <v>58</v>
      </c>
      <c r="C196" s="24" t="s">
        <v>1382</v>
      </c>
      <c r="D196" s="23" t="s">
        <v>298</v>
      </c>
      <c r="E196" s="26" t="s">
        <v>137</v>
      </c>
      <c r="F196" s="24" t="s">
        <v>76</v>
      </c>
      <c r="G196" s="24" t="s">
        <v>939</v>
      </c>
      <c r="H196" s="25" t="n">
        <v>4.03</v>
      </c>
      <c r="I196" s="25"/>
      <c r="J196" s="58"/>
      <c r="K196" s="23" t="s">
        <v>299</v>
      </c>
      <c r="L196" s="24" t="s">
        <v>1400</v>
      </c>
      <c r="M196" s="24" t="s">
        <v>1408</v>
      </c>
      <c r="N196" s="26" t="s">
        <v>137</v>
      </c>
      <c r="O196" s="24"/>
      <c r="P196" s="24" t="s">
        <v>93</v>
      </c>
      <c r="Q196" s="24" t="s">
        <v>942</v>
      </c>
      <c r="R196" s="73" t="s">
        <v>95</v>
      </c>
      <c r="S196" s="0" t="n">
        <f aca="false">IF(Recherche!$B$4="",0,IF(ISNUMBER(SEARCH(Recherche!$B$4,D196))+ISNUMBER(SEARCH(Recherche!$B$4,K196))&gt;0,1,0))</f>
        <v>0</v>
      </c>
      <c r="T196" s="0" t="str">
        <f aca="false">IF(S196=1,SUM($S$2:S196),"")</f>
        <v/>
      </c>
    </row>
    <row r="197" customFormat="false" ht="15" hidden="false" customHeight="false" outlineLevel="0" collapsed="false">
      <c r="A197" s="20" t="s">
        <v>1407</v>
      </c>
      <c r="B197" s="20" t="s">
        <v>58</v>
      </c>
      <c r="C197" s="20" t="s">
        <v>1382</v>
      </c>
      <c r="D197" s="19" t="s">
        <v>298</v>
      </c>
      <c r="E197" s="22" t="s">
        <v>137</v>
      </c>
      <c r="F197" s="74" t="s">
        <v>77</v>
      </c>
      <c r="G197" s="74" t="s">
        <v>979</v>
      </c>
      <c r="H197" s="75" t="n">
        <v>5.86</v>
      </c>
      <c r="I197" s="21" t="n">
        <v>5.86</v>
      </c>
      <c r="J197" s="52"/>
      <c r="K197" s="19" t="s">
        <v>1402</v>
      </c>
      <c r="L197" s="20" t="s">
        <v>1403</v>
      </c>
      <c r="M197" s="20" t="s">
        <v>1404</v>
      </c>
      <c r="N197" s="22" t="s">
        <v>91</v>
      </c>
      <c r="O197" s="20"/>
      <c r="P197" s="20" t="s">
        <v>114</v>
      </c>
      <c r="Q197" s="20" t="s">
        <v>983</v>
      </c>
      <c r="R197" s="76"/>
      <c r="S197" s="0" t="n">
        <f aca="false">IF(Recherche!$B$4="",0,IF(ISNUMBER(SEARCH(Recherche!$B$4,D197))+ISNUMBER(SEARCH(Recherche!$B$4,K197))&gt;0,1,0))</f>
        <v>0</v>
      </c>
      <c r="T197" s="0" t="str">
        <f aca="false">IF(S197=1,SUM($S$2:S197),"")</f>
        <v/>
      </c>
    </row>
    <row r="198" customFormat="false" ht="15" hidden="false" customHeight="false" outlineLevel="0" collapsed="false">
      <c r="A198" s="24" t="s">
        <v>1407</v>
      </c>
      <c r="B198" s="24" t="s">
        <v>58</v>
      </c>
      <c r="C198" s="24" t="s">
        <v>1382</v>
      </c>
      <c r="D198" s="23" t="s">
        <v>298</v>
      </c>
      <c r="E198" s="26" t="s">
        <v>137</v>
      </c>
      <c r="F198" s="24" t="s">
        <v>80</v>
      </c>
      <c r="G198" s="24" t="s">
        <v>939</v>
      </c>
      <c r="H198" s="25" t="n">
        <v>55.35</v>
      </c>
      <c r="I198" s="25"/>
      <c r="J198" s="58"/>
      <c r="K198" s="23" t="s">
        <v>1409</v>
      </c>
      <c r="L198" s="24"/>
      <c r="M198" s="24" t="s">
        <v>1410</v>
      </c>
      <c r="N198" s="26" t="s">
        <v>91</v>
      </c>
      <c r="O198" s="24"/>
      <c r="P198" s="24" t="s">
        <v>303</v>
      </c>
      <c r="Q198" s="24" t="s">
        <v>942</v>
      </c>
      <c r="R198" s="73" t="s">
        <v>95</v>
      </c>
      <c r="S198" s="0" t="n">
        <f aca="false">IF(Recherche!$B$4="",0,IF(ISNUMBER(SEARCH(Recherche!$B$4,D198))+ISNUMBER(SEARCH(Recherche!$B$4,K198))&gt;0,1,0))</f>
        <v>0</v>
      </c>
      <c r="T198" s="0" t="str">
        <f aca="false">IF(S198=1,SUM($S$2:S198),"")</f>
        <v/>
      </c>
    </row>
    <row r="199" customFormat="false" ht="23.85" hidden="false" customHeight="false" outlineLevel="0" collapsed="false">
      <c r="A199" s="20" t="s">
        <v>1411</v>
      </c>
      <c r="B199" s="20" t="s">
        <v>58</v>
      </c>
      <c r="C199" s="20" t="s">
        <v>1382</v>
      </c>
      <c r="D199" s="19" t="s">
        <v>300</v>
      </c>
      <c r="E199" s="22" t="s">
        <v>137</v>
      </c>
      <c r="F199" s="20" t="s">
        <v>76</v>
      </c>
      <c r="G199" s="20" t="s">
        <v>939</v>
      </c>
      <c r="H199" s="21" t="n">
        <v>1.48</v>
      </c>
      <c r="I199" s="21"/>
      <c r="J199" s="52"/>
      <c r="K199" s="19" t="s">
        <v>301</v>
      </c>
      <c r="L199" s="20" t="s">
        <v>1383</v>
      </c>
      <c r="M199" s="20" t="s">
        <v>1412</v>
      </c>
      <c r="N199" s="22" t="s">
        <v>137</v>
      </c>
      <c r="O199" s="20"/>
      <c r="P199" s="20" t="s">
        <v>93</v>
      </c>
      <c r="Q199" s="20" t="s">
        <v>963</v>
      </c>
      <c r="R199" s="76" t="s">
        <v>95</v>
      </c>
      <c r="S199" s="0" t="n">
        <f aca="false">IF(Recherche!$B$4="",0,IF(ISNUMBER(SEARCH(Recherche!$B$4,D199))+ISNUMBER(SEARCH(Recherche!$B$4,K199))&gt;0,1,0))</f>
        <v>0</v>
      </c>
      <c r="T199" s="0" t="str">
        <f aca="false">IF(S199=1,SUM($S$2:S199),"")</f>
        <v/>
      </c>
    </row>
    <row r="200" customFormat="false" ht="23.85" hidden="false" customHeight="false" outlineLevel="0" collapsed="false">
      <c r="A200" s="24" t="s">
        <v>1411</v>
      </c>
      <c r="B200" s="24" t="s">
        <v>58</v>
      </c>
      <c r="C200" s="24" t="s">
        <v>1382</v>
      </c>
      <c r="D200" s="23" t="s">
        <v>300</v>
      </c>
      <c r="E200" s="26" t="s">
        <v>137</v>
      </c>
      <c r="F200" s="74" t="s">
        <v>79</v>
      </c>
      <c r="G200" s="74" t="s">
        <v>943</v>
      </c>
      <c r="H200" s="75" t="n">
        <v>5.58</v>
      </c>
      <c r="I200" s="25"/>
      <c r="J200" s="58"/>
      <c r="K200" s="23" t="s">
        <v>1413</v>
      </c>
      <c r="L200" s="24"/>
      <c r="M200" s="24" t="s">
        <v>1414</v>
      </c>
      <c r="N200" s="26" t="s">
        <v>553</v>
      </c>
      <c r="O200" s="24"/>
      <c r="P200" s="24" t="s">
        <v>313</v>
      </c>
      <c r="Q200" s="24" t="s">
        <v>1387</v>
      </c>
      <c r="R200" s="73" t="s">
        <v>95</v>
      </c>
      <c r="S200" s="0" t="n">
        <f aca="false">IF(Recherche!$B$4="",0,IF(ISNUMBER(SEARCH(Recherche!$B$4,D200))+ISNUMBER(SEARCH(Recherche!$B$4,K200))&gt;0,1,0))</f>
        <v>0</v>
      </c>
      <c r="T200" s="0" t="str">
        <f aca="false">IF(S200=1,SUM($S$2:S200),"")</f>
        <v/>
      </c>
    </row>
    <row r="201" customFormat="false" ht="15" hidden="false" customHeight="false" outlineLevel="0" collapsed="false">
      <c r="A201" s="20" t="s">
        <v>1411</v>
      </c>
      <c r="B201" s="20" t="s">
        <v>58</v>
      </c>
      <c r="C201" s="20" t="s">
        <v>1382</v>
      </c>
      <c r="D201" s="19" t="s">
        <v>300</v>
      </c>
      <c r="E201" s="22" t="s">
        <v>137</v>
      </c>
      <c r="F201" s="74" t="s">
        <v>77</v>
      </c>
      <c r="G201" s="74" t="s">
        <v>979</v>
      </c>
      <c r="H201" s="75" t="n">
        <v>6.14</v>
      </c>
      <c r="I201" s="21" t="n">
        <v>6.14</v>
      </c>
      <c r="J201" s="52"/>
      <c r="K201" s="19" t="s">
        <v>1415</v>
      </c>
      <c r="L201" s="20" t="s">
        <v>1416</v>
      </c>
      <c r="M201" s="20" t="s">
        <v>1417</v>
      </c>
      <c r="N201" s="22" t="s">
        <v>91</v>
      </c>
      <c r="O201" s="20"/>
      <c r="P201" s="20" t="s">
        <v>114</v>
      </c>
      <c r="Q201" s="20" t="s">
        <v>983</v>
      </c>
      <c r="R201" s="76"/>
      <c r="S201" s="0" t="n">
        <f aca="false">IF(Recherche!$B$4="",0,IF(ISNUMBER(SEARCH(Recherche!$B$4,D201))+ISNUMBER(SEARCH(Recherche!$B$4,K201))&gt;0,1,0))</f>
        <v>0</v>
      </c>
      <c r="T201" s="0" t="str">
        <f aca="false">IF(S201=1,SUM($S$2:S201),"")</f>
        <v/>
      </c>
    </row>
    <row r="202" customFormat="false" ht="15" hidden="false" customHeight="false" outlineLevel="0" collapsed="false">
      <c r="A202" s="24" t="s">
        <v>1411</v>
      </c>
      <c r="B202" s="24" t="s">
        <v>58</v>
      </c>
      <c r="C202" s="24" t="s">
        <v>1382</v>
      </c>
      <c r="D202" s="23" t="s">
        <v>300</v>
      </c>
      <c r="E202" s="26" t="s">
        <v>137</v>
      </c>
      <c r="F202" s="74" t="s">
        <v>81</v>
      </c>
      <c r="G202" s="74" t="s">
        <v>979</v>
      </c>
      <c r="H202" s="75" t="n">
        <v>15.1</v>
      </c>
      <c r="I202" s="25" t="n">
        <v>15.9</v>
      </c>
      <c r="J202" s="58" t="n">
        <v>5</v>
      </c>
      <c r="K202" s="23" t="s">
        <v>1418</v>
      </c>
      <c r="L202" s="24" t="s">
        <v>1274</v>
      </c>
      <c r="M202" s="24" t="s">
        <v>1419</v>
      </c>
      <c r="N202" s="26" t="s">
        <v>91</v>
      </c>
      <c r="O202" s="24" t="s">
        <v>949</v>
      </c>
      <c r="P202" s="24" t="s">
        <v>119</v>
      </c>
      <c r="Q202" s="24" t="s">
        <v>1016</v>
      </c>
      <c r="R202" s="73" t="s">
        <v>95</v>
      </c>
      <c r="S202" s="0" t="n">
        <f aca="false">IF(Recherche!$B$4="",0,IF(ISNUMBER(SEARCH(Recherche!$B$4,D202))+ISNUMBER(SEARCH(Recherche!$B$4,K202))&gt;0,1,0))</f>
        <v>0</v>
      </c>
      <c r="T202" s="0" t="str">
        <f aca="false">IF(S202=1,SUM($S$2:S202),"")</f>
        <v/>
      </c>
    </row>
    <row r="203" customFormat="false" ht="23.85" hidden="false" customHeight="false" outlineLevel="0" collapsed="false">
      <c r="A203" s="20" t="s">
        <v>1420</v>
      </c>
      <c r="B203" s="20" t="s">
        <v>58</v>
      </c>
      <c r="C203" s="20" t="s">
        <v>1421</v>
      </c>
      <c r="D203" s="19" t="s">
        <v>302</v>
      </c>
      <c r="E203" s="22" t="s">
        <v>91</v>
      </c>
      <c r="F203" s="20" t="s">
        <v>80</v>
      </c>
      <c r="G203" s="20" t="s">
        <v>939</v>
      </c>
      <c r="H203" s="21" t="n">
        <v>3.82</v>
      </c>
      <c r="I203" s="21"/>
      <c r="J203" s="52"/>
      <c r="K203" s="19" t="s">
        <v>304</v>
      </c>
      <c r="L203" s="20"/>
      <c r="M203" s="20" t="s">
        <v>1422</v>
      </c>
      <c r="N203" s="22" t="s">
        <v>91</v>
      </c>
      <c r="O203" s="20"/>
      <c r="P203" s="20" t="s">
        <v>303</v>
      </c>
      <c r="Q203" s="20" t="s">
        <v>942</v>
      </c>
      <c r="R203" s="76" t="s">
        <v>95</v>
      </c>
      <c r="S203" s="0" t="n">
        <f aca="false">IF(Recherche!$B$4="",0,IF(ISNUMBER(SEARCH(Recherche!$B$4,D203))+ISNUMBER(SEARCH(Recherche!$B$4,K203))&gt;0,1,0))</f>
        <v>0</v>
      </c>
      <c r="T203" s="0" t="str">
        <f aca="false">IF(S203=1,SUM($S$2:S203),"")</f>
        <v/>
      </c>
    </row>
    <row r="204" customFormat="false" ht="23.85" hidden="false" customHeight="false" outlineLevel="0" collapsed="false">
      <c r="A204" s="24" t="s">
        <v>1420</v>
      </c>
      <c r="B204" s="24" t="s">
        <v>58</v>
      </c>
      <c r="C204" s="24" t="s">
        <v>1421</v>
      </c>
      <c r="D204" s="23" t="s">
        <v>302</v>
      </c>
      <c r="E204" s="26" t="s">
        <v>91</v>
      </c>
      <c r="F204" s="74" t="s">
        <v>81</v>
      </c>
      <c r="G204" s="74" t="s">
        <v>979</v>
      </c>
      <c r="H204" s="75" t="n">
        <v>5.27</v>
      </c>
      <c r="I204" s="25" t="n">
        <v>5.52</v>
      </c>
      <c r="J204" s="58" t="n">
        <v>4.5</v>
      </c>
      <c r="K204" s="23" t="s">
        <v>1423</v>
      </c>
      <c r="L204" s="24" t="s">
        <v>1389</v>
      </c>
      <c r="M204" s="24" t="s">
        <v>1424</v>
      </c>
      <c r="N204" s="26" t="s">
        <v>91</v>
      </c>
      <c r="O204" s="24" t="s">
        <v>949</v>
      </c>
      <c r="P204" s="24" t="s">
        <v>119</v>
      </c>
      <c r="Q204" s="24" t="s">
        <v>1007</v>
      </c>
      <c r="R204" s="73" t="s">
        <v>95</v>
      </c>
      <c r="S204" s="0" t="n">
        <f aca="false">IF(Recherche!$B$4="",0,IF(ISNUMBER(SEARCH(Recherche!$B$4,D204))+ISNUMBER(SEARCH(Recherche!$B$4,K204))&gt;0,1,0))</f>
        <v>0</v>
      </c>
      <c r="T204" s="0" t="str">
        <f aca="false">IF(S204=1,SUM($S$2:S204),"")</f>
        <v/>
      </c>
    </row>
    <row r="205" customFormat="false" ht="15" hidden="false" customHeight="false" outlineLevel="0" collapsed="false">
      <c r="A205" s="20" t="s">
        <v>1420</v>
      </c>
      <c r="B205" s="20" t="s">
        <v>58</v>
      </c>
      <c r="C205" s="20" t="s">
        <v>1421</v>
      </c>
      <c r="D205" s="19" t="s">
        <v>302</v>
      </c>
      <c r="E205" s="22" t="s">
        <v>91</v>
      </c>
      <c r="F205" s="74" t="s">
        <v>79</v>
      </c>
      <c r="G205" s="74" t="s">
        <v>943</v>
      </c>
      <c r="H205" s="75" t="n">
        <v>6.34</v>
      </c>
      <c r="I205" s="21"/>
      <c r="J205" s="52"/>
      <c r="K205" s="19" t="s">
        <v>1425</v>
      </c>
      <c r="L205" s="20"/>
      <c r="M205" s="20" t="s">
        <v>1426</v>
      </c>
      <c r="N205" s="22" t="s">
        <v>91</v>
      </c>
      <c r="O205" s="20"/>
      <c r="P205" s="20" t="s">
        <v>313</v>
      </c>
      <c r="Q205" s="20" t="s">
        <v>1387</v>
      </c>
      <c r="R205" s="76" t="s">
        <v>95</v>
      </c>
      <c r="S205" s="0" t="n">
        <f aca="false">IF(Recherche!$B$4="",0,IF(ISNUMBER(SEARCH(Recherche!$B$4,D205))+ISNUMBER(SEARCH(Recherche!$B$4,K205))&gt;0,1,0))</f>
        <v>0</v>
      </c>
      <c r="T205" s="0" t="str">
        <f aca="false">IF(S205=1,SUM($S$2:S205),"")</f>
        <v/>
      </c>
    </row>
    <row r="206" customFormat="false" ht="23.85" hidden="false" customHeight="false" outlineLevel="0" collapsed="false">
      <c r="A206" s="24" t="s">
        <v>1420</v>
      </c>
      <c r="B206" s="24" t="s">
        <v>58</v>
      </c>
      <c r="C206" s="24" t="s">
        <v>1421</v>
      </c>
      <c r="D206" s="23" t="s">
        <v>302</v>
      </c>
      <c r="E206" s="26" t="s">
        <v>91</v>
      </c>
      <c r="F206" s="24" t="s">
        <v>76</v>
      </c>
      <c r="G206" s="24" t="s">
        <v>939</v>
      </c>
      <c r="H206" s="25" t="n">
        <v>10.25</v>
      </c>
      <c r="I206" s="25"/>
      <c r="J206" s="58"/>
      <c r="K206" s="23" t="s">
        <v>1427</v>
      </c>
      <c r="L206" s="24" t="s">
        <v>1428</v>
      </c>
      <c r="M206" s="24" t="s">
        <v>1429</v>
      </c>
      <c r="N206" s="26" t="s">
        <v>91</v>
      </c>
      <c r="O206" s="24"/>
      <c r="P206" s="24" t="s">
        <v>93</v>
      </c>
      <c r="Q206" s="24" t="s">
        <v>1085</v>
      </c>
      <c r="R206" s="73" t="s">
        <v>95</v>
      </c>
      <c r="S206" s="0" t="n">
        <f aca="false">IF(Recherche!$B$4="",0,IF(ISNUMBER(SEARCH(Recherche!$B$4,D206))+ISNUMBER(SEARCH(Recherche!$B$4,K206))&gt;0,1,0))</f>
        <v>0</v>
      </c>
      <c r="T206" s="0" t="str">
        <f aca="false">IF(S206=1,SUM($S$2:S206),"")</f>
        <v/>
      </c>
    </row>
    <row r="207" customFormat="false" ht="23.85" hidden="false" customHeight="false" outlineLevel="0" collapsed="false">
      <c r="A207" s="20" t="s">
        <v>1420</v>
      </c>
      <c r="B207" s="20" t="s">
        <v>58</v>
      </c>
      <c r="C207" s="20" t="s">
        <v>1421</v>
      </c>
      <c r="D207" s="19" t="s">
        <v>302</v>
      </c>
      <c r="E207" s="22" t="s">
        <v>91</v>
      </c>
      <c r="F207" s="74" t="s">
        <v>77</v>
      </c>
      <c r="G207" s="74" t="s">
        <v>979</v>
      </c>
      <c r="H207" s="75" t="n">
        <v>53.24</v>
      </c>
      <c r="I207" s="21" t="n">
        <v>53.24</v>
      </c>
      <c r="J207" s="52"/>
      <c r="K207" s="19" t="s">
        <v>1430</v>
      </c>
      <c r="L207" s="20" t="s">
        <v>1431</v>
      </c>
      <c r="M207" s="20" t="s">
        <v>1432</v>
      </c>
      <c r="N207" s="22" t="s">
        <v>91</v>
      </c>
      <c r="O207" s="20"/>
      <c r="P207" s="20" t="s">
        <v>114</v>
      </c>
      <c r="Q207" s="20" t="s">
        <v>983</v>
      </c>
      <c r="R207" s="76"/>
      <c r="S207" s="0" t="n">
        <f aca="false">IF(Recherche!$B$4="",0,IF(ISNUMBER(SEARCH(Recherche!$B$4,D207))+ISNUMBER(SEARCH(Recherche!$B$4,K207))&gt;0,1,0))</f>
        <v>0</v>
      </c>
      <c r="T207" s="0" t="str">
        <f aca="false">IF(S207=1,SUM($S$2:S207),"")</f>
        <v/>
      </c>
    </row>
    <row r="208" customFormat="false" ht="23.85" hidden="false" customHeight="false" outlineLevel="0" collapsed="false">
      <c r="A208" s="24" t="s">
        <v>1433</v>
      </c>
      <c r="B208" s="24" t="s">
        <v>58</v>
      </c>
      <c r="C208" s="24" t="s">
        <v>1421</v>
      </c>
      <c r="D208" s="23" t="s">
        <v>305</v>
      </c>
      <c r="E208" s="26" t="s">
        <v>91</v>
      </c>
      <c r="F208" s="24" t="s">
        <v>76</v>
      </c>
      <c r="G208" s="24" t="s">
        <v>939</v>
      </c>
      <c r="H208" s="25" t="n">
        <v>8.55</v>
      </c>
      <c r="I208" s="25"/>
      <c r="J208" s="58"/>
      <c r="K208" s="23" t="s">
        <v>306</v>
      </c>
      <c r="L208" s="24" t="s">
        <v>1428</v>
      </c>
      <c r="M208" s="24" t="s">
        <v>1434</v>
      </c>
      <c r="N208" s="26" t="s">
        <v>91</v>
      </c>
      <c r="O208" s="24"/>
      <c r="P208" s="24" t="s">
        <v>93</v>
      </c>
      <c r="Q208" s="24" t="s">
        <v>1052</v>
      </c>
      <c r="R208" s="73" t="s">
        <v>95</v>
      </c>
      <c r="S208" s="0" t="n">
        <f aca="false">IF(Recherche!$B$4="",0,IF(ISNUMBER(SEARCH(Recherche!$B$4,D208))+ISNUMBER(SEARCH(Recherche!$B$4,K208))&gt;0,1,0))</f>
        <v>0</v>
      </c>
      <c r="T208" s="0" t="str">
        <f aca="false">IF(S208=1,SUM($S$2:S208),"")</f>
        <v/>
      </c>
    </row>
    <row r="209" customFormat="false" ht="15" hidden="false" customHeight="false" outlineLevel="0" collapsed="false">
      <c r="A209" s="20" t="s">
        <v>1435</v>
      </c>
      <c r="B209" s="20" t="s">
        <v>58</v>
      </c>
      <c r="C209" s="20" t="s">
        <v>1421</v>
      </c>
      <c r="D209" s="19" t="s">
        <v>307</v>
      </c>
      <c r="E209" s="22" t="s">
        <v>91</v>
      </c>
      <c r="F209" s="20" t="s">
        <v>76</v>
      </c>
      <c r="G209" s="20" t="s">
        <v>939</v>
      </c>
      <c r="H209" s="21" t="n">
        <v>1.73</v>
      </c>
      <c r="I209" s="21"/>
      <c r="J209" s="52"/>
      <c r="K209" s="19" t="s">
        <v>308</v>
      </c>
      <c r="L209" s="20" t="s">
        <v>1383</v>
      </c>
      <c r="M209" s="20" t="s">
        <v>1436</v>
      </c>
      <c r="N209" s="22" t="s">
        <v>91</v>
      </c>
      <c r="O209" s="20"/>
      <c r="P209" s="20" t="s">
        <v>93</v>
      </c>
      <c r="Q209" s="20" t="s">
        <v>942</v>
      </c>
      <c r="R209" s="76" t="s">
        <v>95</v>
      </c>
      <c r="S209" s="0" t="n">
        <f aca="false">IF(Recherche!$B$4="",0,IF(ISNUMBER(SEARCH(Recherche!$B$4,D209))+ISNUMBER(SEARCH(Recherche!$B$4,K209))&gt;0,1,0))</f>
        <v>0</v>
      </c>
      <c r="T209" s="0" t="str">
        <f aca="false">IF(S209=1,SUM($S$2:S209),"")</f>
        <v/>
      </c>
    </row>
    <row r="210" customFormat="false" ht="15" hidden="false" customHeight="false" outlineLevel="0" collapsed="false">
      <c r="A210" s="24" t="s">
        <v>1435</v>
      </c>
      <c r="B210" s="24" t="s">
        <v>58</v>
      </c>
      <c r="C210" s="24" t="s">
        <v>1421</v>
      </c>
      <c r="D210" s="23" t="s">
        <v>307</v>
      </c>
      <c r="E210" s="26" t="s">
        <v>91</v>
      </c>
      <c r="F210" s="24" t="s">
        <v>80</v>
      </c>
      <c r="G210" s="24" t="s">
        <v>939</v>
      </c>
      <c r="H210" s="25" t="n">
        <v>2.06</v>
      </c>
      <c r="I210" s="25"/>
      <c r="J210" s="58"/>
      <c r="K210" s="23" t="s">
        <v>1437</v>
      </c>
      <c r="L210" s="24"/>
      <c r="M210" s="24" t="s">
        <v>1438</v>
      </c>
      <c r="N210" s="26" t="s">
        <v>91</v>
      </c>
      <c r="O210" s="24"/>
      <c r="P210" s="24" t="s">
        <v>303</v>
      </c>
      <c r="Q210" s="24" t="s">
        <v>942</v>
      </c>
      <c r="R210" s="73" t="s">
        <v>95</v>
      </c>
      <c r="S210" s="0" t="n">
        <f aca="false">IF(Recherche!$B$4="",0,IF(ISNUMBER(SEARCH(Recherche!$B$4,D210))+ISNUMBER(SEARCH(Recherche!$B$4,K210))&gt;0,1,0))</f>
        <v>0</v>
      </c>
      <c r="T210" s="0" t="str">
        <f aca="false">IF(S210=1,SUM($S$2:S210),"")</f>
        <v/>
      </c>
    </row>
    <row r="211" customFormat="false" ht="15" hidden="false" customHeight="false" outlineLevel="0" collapsed="false">
      <c r="A211" s="20" t="s">
        <v>1435</v>
      </c>
      <c r="B211" s="20" t="s">
        <v>58</v>
      </c>
      <c r="C211" s="20" t="s">
        <v>1421</v>
      </c>
      <c r="D211" s="19" t="s">
        <v>307</v>
      </c>
      <c r="E211" s="22" t="s">
        <v>91</v>
      </c>
      <c r="F211" s="74" t="s">
        <v>79</v>
      </c>
      <c r="G211" s="74" t="s">
        <v>943</v>
      </c>
      <c r="H211" s="75" t="n">
        <v>20.22</v>
      </c>
      <c r="I211" s="21"/>
      <c r="J211" s="52"/>
      <c r="K211" s="19" t="s">
        <v>1439</v>
      </c>
      <c r="L211" s="20"/>
      <c r="M211" s="20" t="s">
        <v>1440</v>
      </c>
      <c r="N211" s="22" t="s">
        <v>1441</v>
      </c>
      <c r="O211" s="20"/>
      <c r="P211" s="20" t="s">
        <v>313</v>
      </c>
      <c r="Q211" s="20" t="s">
        <v>1016</v>
      </c>
      <c r="R211" s="76" t="s">
        <v>95</v>
      </c>
      <c r="S211" s="0" t="n">
        <f aca="false">IF(Recherche!$B$4="",0,IF(ISNUMBER(SEARCH(Recherche!$B$4,D211))+ISNUMBER(SEARCH(Recherche!$B$4,K211))&gt;0,1,0))</f>
        <v>0</v>
      </c>
      <c r="T211" s="0" t="str">
        <f aca="false">IF(S211=1,SUM($S$2:S211),"")</f>
        <v/>
      </c>
    </row>
    <row r="212" customFormat="false" ht="15" hidden="false" customHeight="false" outlineLevel="0" collapsed="false">
      <c r="A212" s="24" t="s">
        <v>1442</v>
      </c>
      <c r="B212" s="24" t="s">
        <v>58</v>
      </c>
      <c r="C212" s="24" t="s">
        <v>1421</v>
      </c>
      <c r="D212" s="23" t="s">
        <v>309</v>
      </c>
      <c r="E212" s="26" t="s">
        <v>91</v>
      </c>
      <c r="F212" s="24" t="s">
        <v>76</v>
      </c>
      <c r="G212" s="24" t="s">
        <v>939</v>
      </c>
      <c r="H212" s="25" t="n">
        <v>1.73</v>
      </c>
      <c r="I212" s="25"/>
      <c r="J212" s="58"/>
      <c r="K212" s="23" t="s">
        <v>308</v>
      </c>
      <c r="L212" s="24" t="s">
        <v>1383</v>
      </c>
      <c r="M212" s="24" t="s">
        <v>1436</v>
      </c>
      <c r="N212" s="26" t="s">
        <v>91</v>
      </c>
      <c r="O212" s="24"/>
      <c r="P212" s="24" t="s">
        <v>93</v>
      </c>
      <c r="Q212" s="24" t="s">
        <v>963</v>
      </c>
      <c r="R212" s="73" t="s">
        <v>95</v>
      </c>
      <c r="S212" s="0" t="n">
        <f aca="false">IF(Recherche!$B$4="",0,IF(ISNUMBER(SEARCH(Recherche!$B$4,D212))+ISNUMBER(SEARCH(Recherche!$B$4,K212))&gt;0,1,0))</f>
        <v>0</v>
      </c>
      <c r="T212" s="0" t="str">
        <f aca="false">IF(S212=1,SUM($S$2:S212),"")</f>
        <v/>
      </c>
    </row>
    <row r="213" customFormat="false" ht="23.85" hidden="false" customHeight="false" outlineLevel="0" collapsed="false">
      <c r="A213" s="20" t="s">
        <v>1442</v>
      </c>
      <c r="B213" s="20" t="s">
        <v>58</v>
      </c>
      <c r="C213" s="20" t="s">
        <v>1421</v>
      </c>
      <c r="D213" s="19" t="s">
        <v>309</v>
      </c>
      <c r="E213" s="22" t="s">
        <v>91</v>
      </c>
      <c r="F213" s="74" t="s">
        <v>81</v>
      </c>
      <c r="G213" s="74" t="s">
        <v>979</v>
      </c>
      <c r="H213" s="75" t="n">
        <v>6.1</v>
      </c>
      <c r="I213" s="21" t="n">
        <v>6.39</v>
      </c>
      <c r="J213" s="52" t="n">
        <v>4.5</v>
      </c>
      <c r="K213" s="19" t="s">
        <v>1443</v>
      </c>
      <c r="L213" s="20" t="s">
        <v>1389</v>
      </c>
      <c r="M213" s="20" t="s">
        <v>1444</v>
      </c>
      <c r="N213" s="22" t="s">
        <v>91</v>
      </c>
      <c r="O213" s="20" t="s">
        <v>949</v>
      </c>
      <c r="P213" s="20" t="s">
        <v>119</v>
      </c>
      <c r="Q213" s="20" t="s">
        <v>1007</v>
      </c>
      <c r="R213" s="76" t="s">
        <v>95</v>
      </c>
      <c r="S213" s="0" t="n">
        <f aca="false">IF(Recherche!$B$4="",0,IF(ISNUMBER(SEARCH(Recherche!$B$4,D213))+ISNUMBER(SEARCH(Recherche!$B$4,K213))&gt;0,1,0))</f>
        <v>0</v>
      </c>
      <c r="T213" s="0" t="str">
        <f aca="false">IF(S213=1,SUM($S$2:S213),"")</f>
        <v/>
      </c>
    </row>
    <row r="214" customFormat="false" ht="15" hidden="false" customHeight="false" outlineLevel="0" collapsed="false">
      <c r="A214" s="24" t="s">
        <v>1445</v>
      </c>
      <c r="B214" s="24" t="s">
        <v>58</v>
      </c>
      <c r="C214" s="24" t="s">
        <v>1421</v>
      </c>
      <c r="D214" s="23" t="s">
        <v>310</v>
      </c>
      <c r="E214" s="26" t="s">
        <v>91</v>
      </c>
      <c r="F214" s="24" t="s">
        <v>76</v>
      </c>
      <c r="G214" s="24" t="s">
        <v>939</v>
      </c>
      <c r="H214" s="25" t="n">
        <v>2.75</v>
      </c>
      <c r="I214" s="25"/>
      <c r="J214" s="58"/>
      <c r="K214" s="23" t="s">
        <v>311</v>
      </c>
      <c r="L214" s="24" t="s">
        <v>1446</v>
      </c>
      <c r="M214" s="24" t="s">
        <v>1447</v>
      </c>
      <c r="N214" s="26" t="s">
        <v>91</v>
      </c>
      <c r="O214" s="24"/>
      <c r="P214" s="24" t="s">
        <v>93</v>
      </c>
      <c r="Q214" s="24" t="s">
        <v>1052</v>
      </c>
      <c r="R214" s="73" t="s">
        <v>95</v>
      </c>
      <c r="S214" s="0" t="n">
        <f aca="false">IF(Recherche!$B$4="",0,IF(ISNUMBER(SEARCH(Recherche!$B$4,D214))+ISNUMBER(SEARCH(Recherche!$B$4,K214))&gt;0,1,0))</f>
        <v>0</v>
      </c>
      <c r="T214" s="0" t="str">
        <f aca="false">IF(S214=1,SUM($S$2:S214),"")</f>
        <v/>
      </c>
    </row>
    <row r="215" customFormat="false" ht="15" hidden="false" customHeight="false" outlineLevel="0" collapsed="false">
      <c r="A215" s="20" t="s">
        <v>1445</v>
      </c>
      <c r="B215" s="20" t="s">
        <v>58</v>
      </c>
      <c r="C215" s="20" t="s">
        <v>1421</v>
      </c>
      <c r="D215" s="19" t="s">
        <v>310</v>
      </c>
      <c r="E215" s="22" t="s">
        <v>91</v>
      </c>
      <c r="F215" s="74" t="s">
        <v>81</v>
      </c>
      <c r="G215" s="74" t="s">
        <v>979</v>
      </c>
      <c r="H215" s="75" t="n">
        <v>4.95</v>
      </c>
      <c r="I215" s="21" t="n">
        <v>5.18</v>
      </c>
      <c r="J215" s="52" t="n">
        <v>4.4</v>
      </c>
      <c r="K215" s="19" t="s">
        <v>1448</v>
      </c>
      <c r="L215" s="20" t="s">
        <v>1389</v>
      </c>
      <c r="M215" s="20" t="s">
        <v>1449</v>
      </c>
      <c r="N215" s="22" t="s">
        <v>91</v>
      </c>
      <c r="O215" s="20" t="s">
        <v>949</v>
      </c>
      <c r="P215" s="20" t="s">
        <v>119</v>
      </c>
      <c r="Q215" s="20" t="s">
        <v>1007</v>
      </c>
      <c r="R215" s="76" t="s">
        <v>95</v>
      </c>
      <c r="S215" s="0" t="n">
        <f aca="false">IF(Recherche!$B$4="",0,IF(ISNUMBER(SEARCH(Recherche!$B$4,D215))+ISNUMBER(SEARCH(Recherche!$B$4,K215))&gt;0,1,0))</f>
        <v>0</v>
      </c>
      <c r="T215" s="0" t="str">
        <f aca="false">IF(S215=1,SUM($S$2:S215),"")</f>
        <v/>
      </c>
    </row>
    <row r="216" customFormat="false" ht="15" hidden="false" customHeight="false" outlineLevel="0" collapsed="false">
      <c r="A216" s="24" t="s">
        <v>1445</v>
      </c>
      <c r="B216" s="24" t="s">
        <v>58</v>
      </c>
      <c r="C216" s="24" t="s">
        <v>1421</v>
      </c>
      <c r="D216" s="23" t="s">
        <v>310</v>
      </c>
      <c r="E216" s="26" t="s">
        <v>91</v>
      </c>
      <c r="F216" s="74" t="s">
        <v>79</v>
      </c>
      <c r="G216" s="74" t="s">
        <v>943</v>
      </c>
      <c r="H216" s="75" t="n">
        <v>7.97</v>
      </c>
      <c r="I216" s="25"/>
      <c r="J216" s="58"/>
      <c r="K216" s="23" t="s">
        <v>1450</v>
      </c>
      <c r="L216" s="24"/>
      <c r="M216" s="24" t="s">
        <v>1451</v>
      </c>
      <c r="N216" s="26" t="s">
        <v>91</v>
      </c>
      <c r="O216" s="24"/>
      <c r="P216" s="24" t="s">
        <v>313</v>
      </c>
      <c r="Q216" s="24" t="s">
        <v>1387</v>
      </c>
      <c r="R216" s="73" t="s">
        <v>95</v>
      </c>
      <c r="S216" s="0" t="n">
        <f aca="false">IF(Recherche!$B$4="",0,IF(ISNUMBER(SEARCH(Recherche!$B$4,D216))+ISNUMBER(SEARCH(Recherche!$B$4,K216))&gt;0,1,0))</f>
        <v>0</v>
      </c>
      <c r="T216" s="0" t="str">
        <f aca="false">IF(S216=1,SUM($S$2:S216),"")</f>
        <v/>
      </c>
    </row>
    <row r="217" customFormat="false" ht="23.85" hidden="false" customHeight="false" outlineLevel="0" collapsed="false">
      <c r="A217" s="20" t="s">
        <v>1445</v>
      </c>
      <c r="B217" s="20" t="s">
        <v>58</v>
      </c>
      <c r="C217" s="20" t="s">
        <v>1421</v>
      </c>
      <c r="D217" s="19" t="s">
        <v>310</v>
      </c>
      <c r="E217" s="22" t="s">
        <v>91</v>
      </c>
      <c r="F217" s="20" t="s">
        <v>80</v>
      </c>
      <c r="G217" s="20" t="s">
        <v>939</v>
      </c>
      <c r="H217" s="21" t="n">
        <v>12.06</v>
      </c>
      <c r="I217" s="21"/>
      <c r="J217" s="52"/>
      <c r="K217" s="19" t="s">
        <v>1452</v>
      </c>
      <c r="L217" s="20"/>
      <c r="M217" s="20" t="s">
        <v>1453</v>
      </c>
      <c r="N217" s="22" t="s">
        <v>91</v>
      </c>
      <c r="O217" s="20"/>
      <c r="P217" s="20" t="s">
        <v>303</v>
      </c>
      <c r="Q217" s="20" t="s">
        <v>942</v>
      </c>
      <c r="R217" s="76" t="s">
        <v>95</v>
      </c>
      <c r="S217" s="0" t="n">
        <f aca="false">IF(Recherche!$B$4="",0,IF(ISNUMBER(SEARCH(Recherche!$B$4,D217))+ISNUMBER(SEARCH(Recherche!$B$4,K217))&gt;0,1,0))</f>
        <v>0</v>
      </c>
      <c r="T217" s="0" t="str">
        <f aca="false">IF(S217=1,SUM($S$2:S217),"")</f>
        <v/>
      </c>
    </row>
    <row r="218" customFormat="false" ht="15" hidden="false" customHeight="false" outlineLevel="0" collapsed="false">
      <c r="A218" s="24" t="s">
        <v>1454</v>
      </c>
      <c r="B218" s="24" t="s">
        <v>58</v>
      </c>
      <c r="C218" s="24" t="s">
        <v>1421</v>
      </c>
      <c r="D218" s="23" t="s">
        <v>312</v>
      </c>
      <c r="E218" s="26" t="s">
        <v>91</v>
      </c>
      <c r="F218" s="74" t="s">
        <v>79</v>
      </c>
      <c r="G218" s="74" t="s">
        <v>943</v>
      </c>
      <c r="H218" s="75" t="n">
        <v>11.14</v>
      </c>
      <c r="I218" s="25"/>
      <c r="J218" s="58"/>
      <c r="K218" s="23" t="s">
        <v>314</v>
      </c>
      <c r="L218" s="24"/>
      <c r="M218" s="24" t="s">
        <v>1455</v>
      </c>
      <c r="N218" s="26" t="s">
        <v>91</v>
      </c>
      <c r="O218" s="24"/>
      <c r="P218" s="24" t="s">
        <v>313</v>
      </c>
      <c r="Q218" s="24" t="s">
        <v>1016</v>
      </c>
      <c r="R218" s="73" t="s">
        <v>95</v>
      </c>
      <c r="S218" s="0" t="n">
        <f aca="false">IF(Recherche!$B$4="",0,IF(ISNUMBER(SEARCH(Recherche!$B$4,D218))+ISNUMBER(SEARCH(Recherche!$B$4,K218))&gt;0,1,0))</f>
        <v>0</v>
      </c>
      <c r="T218" s="0" t="str">
        <f aca="false">IF(S218=1,SUM($S$2:S218),"")</f>
        <v/>
      </c>
    </row>
    <row r="219" customFormat="false" ht="15" hidden="false" customHeight="false" outlineLevel="0" collapsed="false">
      <c r="A219" s="20" t="s">
        <v>1454</v>
      </c>
      <c r="B219" s="20" t="s">
        <v>58</v>
      </c>
      <c r="C219" s="20" t="s">
        <v>1421</v>
      </c>
      <c r="D219" s="19" t="s">
        <v>312</v>
      </c>
      <c r="E219" s="22" t="s">
        <v>91</v>
      </c>
      <c r="F219" s="20" t="s">
        <v>80</v>
      </c>
      <c r="G219" s="20" t="s">
        <v>939</v>
      </c>
      <c r="H219" s="21" t="n">
        <v>12.38</v>
      </c>
      <c r="I219" s="21"/>
      <c r="J219" s="52"/>
      <c r="K219" s="19" t="s">
        <v>1456</v>
      </c>
      <c r="L219" s="20"/>
      <c r="M219" s="20" t="s">
        <v>1457</v>
      </c>
      <c r="N219" s="22" t="s">
        <v>91</v>
      </c>
      <c r="O219" s="20"/>
      <c r="P219" s="20" t="s">
        <v>303</v>
      </c>
      <c r="Q219" s="20" t="s">
        <v>963</v>
      </c>
      <c r="R219" s="76" t="s">
        <v>95</v>
      </c>
      <c r="S219" s="0" t="n">
        <f aca="false">IF(Recherche!$B$4="",0,IF(ISNUMBER(SEARCH(Recherche!$B$4,D219))+ISNUMBER(SEARCH(Recherche!$B$4,K219))&gt;0,1,0))</f>
        <v>0</v>
      </c>
      <c r="T219" s="0" t="str">
        <f aca="false">IF(S219=1,SUM($S$2:S219),"")</f>
        <v/>
      </c>
    </row>
    <row r="220" customFormat="false" ht="15" hidden="false" customHeight="false" outlineLevel="0" collapsed="false">
      <c r="A220" s="24" t="s">
        <v>1454</v>
      </c>
      <c r="B220" s="24" t="s">
        <v>58</v>
      </c>
      <c r="C220" s="24" t="s">
        <v>1421</v>
      </c>
      <c r="D220" s="23" t="s">
        <v>312</v>
      </c>
      <c r="E220" s="26" t="s">
        <v>91</v>
      </c>
      <c r="F220" s="24" t="s">
        <v>76</v>
      </c>
      <c r="G220" s="24" t="s">
        <v>939</v>
      </c>
      <c r="H220" s="25" t="n">
        <v>12.4</v>
      </c>
      <c r="I220" s="25"/>
      <c r="J220" s="58"/>
      <c r="K220" s="23" t="s">
        <v>1458</v>
      </c>
      <c r="L220" s="24" t="s">
        <v>1459</v>
      </c>
      <c r="M220" s="24" t="s">
        <v>1460</v>
      </c>
      <c r="N220" s="26" t="s">
        <v>91</v>
      </c>
      <c r="O220" s="24"/>
      <c r="P220" s="24" t="s">
        <v>93</v>
      </c>
      <c r="Q220" s="24" t="s">
        <v>963</v>
      </c>
      <c r="R220" s="73" t="s">
        <v>95</v>
      </c>
      <c r="S220" s="0" t="n">
        <f aca="false">IF(Recherche!$B$4="",0,IF(ISNUMBER(SEARCH(Recherche!$B$4,D220))+ISNUMBER(SEARCH(Recherche!$B$4,K220))&gt;0,1,0))</f>
        <v>0</v>
      </c>
      <c r="T220" s="0" t="str">
        <f aca="false">IF(S220=1,SUM($S$2:S220),"")</f>
        <v/>
      </c>
    </row>
    <row r="221" customFormat="false" ht="15" hidden="false" customHeight="false" outlineLevel="0" collapsed="false">
      <c r="A221" s="20" t="s">
        <v>1454</v>
      </c>
      <c r="B221" s="20" t="s">
        <v>58</v>
      </c>
      <c r="C221" s="20" t="s">
        <v>1421</v>
      </c>
      <c r="D221" s="19" t="s">
        <v>312</v>
      </c>
      <c r="E221" s="22" t="s">
        <v>91</v>
      </c>
      <c r="F221" s="74" t="s">
        <v>81</v>
      </c>
      <c r="G221" s="74" t="s">
        <v>979</v>
      </c>
      <c r="H221" s="75" t="n">
        <v>16.3</v>
      </c>
      <c r="I221" s="21" t="n">
        <v>17.18</v>
      </c>
      <c r="J221" s="52" t="n">
        <v>5.1</v>
      </c>
      <c r="K221" s="19" t="s">
        <v>1461</v>
      </c>
      <c r="L221" s="20" t="s">
        <v>1389</v>
      </c>
      <c r="M221" s="20" t="s">
        <v>1462</v>
      </c>
      <c r="N221" s="22" t="s">
        <v>91</v>
      </c>
      <c r="O221" s="20" t="s">
        <v>949</v>
      </c>
      <c r="P221" s="20" t="s">
        <v>119</v>
      </c>
      <c r="Q221" s="20" t="s">
        <v>1016</v>
      </c>
      <c r="R221" s="76" t="s">
        <v>95</v>
      </c>
      <c r="S221" s="0" t="n">
        <f aca="false">IF(Recherche!$B$4="",0,IF(ISNUMBER(SEARCH(Recherche!$B$4,D221))+ISNUMBER(SEARCH(Recherche!$B$4,K221))&gt;0,1,0))</f>
        <v>0</v>
      </c>
      <c r="T221" s="0" t="str">
        <f aca="false">IF(S221=1,SUM($S$2:S221),"")</f>
        <v/>
      </c>
    </row>
    <row r="222" customFormat="false" ht="23.85" hidden="false" customHeight="false" outlineLevel="0" collapsed="false">
      <c r="A222" s="24" t="s">
        <v>1463</v>
      </c>
      <c r="B222" s="24" t="s">
        <v>58</v>
      </c>
      <c r="C222" s="24" t="s">
        <v>1464</v>
      </c>
      <c r="D222" s="23" t="s">
        <v>315</v>
      </c>
      <c r="E222" s="26" t="s">
        <v>91</v>
      </c>
      <c r="F222" s="74" t="s">
        <v>81</v>
      </c>
      <c r="G222" s="74" t="s">
        <v>979</v>
      </c>
      <c r="H222" s="75" t="n">
        <v>7.57</v>
      </c>
      <c r="I222" s="25" t="n">
        <v>7.91</v>
      </c>
      <c r="J222" s="58" t="n">
        <v>4.3</v>
      </c>
      <c r="K222" s="23" t="s">
        <v>316</v>
      </c>
      <c r="L222" s="24" t="s">
        <v>1389</v>
      </c>
      <c r="M222" s="24" t="s">
        <v>1465</v>
      </c>
      <c r="N222" s="26" t="s">
        <v>91</v>
      </c>
      <c r="O222" s="24" t="s">
        <v>75</v>
      </c>
      <c r="P222" s="24" t="s">
        <v>119</v>
      </c>
      <c r="Q222" s="24" t="s">
        <v>1007</v>
      </c>
      <c r="R222" s="73" t="s">
        <v>95</v>
      </c>
      <c r="S222" s="0" t="n">
        <f aca="false">IF(Recherche!$B$4="",0,IF(ISNUMBER(SEARCH(Recherche!$B$4,D222))+ISNUMBER(SEARCH(Recherche!$B$4,K222))&gt;0,1,0))</f>
        <v>0</v>
      </c>
      <c r="T222" s="0" t="str">
        <f aca="false">IF(S222=1,SUM($S$2:S222),"")</f>
        <v/>
      </c>
    </row>
    <row r="223" customFormat="false" ht="23.85" hidden="false" customHeight="false" outlineLevel="0" collapsed="false">
      <c r="A223" s="20" t="s">
        <v>1463</v>
      </c>
      <c r="B223" s="20" t="s">
        <v>58</v>
      </c>
      <c r="C223" s="20" t="s">
        <v>1464</v>
      </c>
      <c r="D223" s="19" t="s">
        <v>315</v>
      </c>
      <c r="E223" s="22" t="s">
        <v>91</v>
      </c>
      <c r="F223" s="20" t="s">
        <v>76</v>
      </c>
      <c r="G223" s="20" t="s">
        <v>939</v>
      </c>
      <c r="H223" s="21" t="n">
        <v>55.61</v>
      </c>
      <c r="I223" s="21"/>
      <c r="J223" s="52"/>
      <c r="K223" s="19" t="s">
        <v>1466</v>
      </c>
      <c r="L223" s="20" t="s">
        <v>1139</v>
      </c>
      <c r="M223" s="20" t="s">
        <v>1467</v>
      </c>
      <c r="N223" s="22" t="s">
        <v>91</v>
      </c>
      <c r="O223" s="20"/>
      <c r="P223" s="20" t="s">
        <v>93</v>
      </c>
      <c r="Q223" s="20" t="s">
        <v>1052</v>
      </c>
      <c r="R223" s="76" t="s">
        <v>95</v>
      </c>
      <c r="S223" s="0" t="n">
        <f aca="false">IF(Recherche!$B$4="",0,IF(ISNUMBER(SEARCH(Recherche!$B$4,D223))+ISNUMBER(SEARCH(Recherche!$B$4,K223))&gt;0,1,0))</f>
        <v>0</v>
      </c>
      <c r="T223" s="0" t="str">
        <f aca="false">IF(S223=1,SUM($S$2:S223),"")</f>
        <v/>
      </c>
    </row>
    <row r="224" customFormat="false" ht="23.85" hidden="false" customHeight="false" outlineLevel="0" collapsed="false">
      <c r="A224" s="24" t="s">
        <v>1468</v>
      </c>
      <c r="B224" s="24" t="s">
        <v>58</v>
      </c>
      <c r="C224" s="24" t="s">
        <v>1464</v>
      </c>
      <c r="D224" s="23" t="s">
        <v>317</v>
      </c>
      <c r="E224" s="26" t="s">
        <v>91</v>
      </c>
      <c r="F224" s="24" t="s">
        <v>80</v>
      </c>
      <c r="G224" s="24" t="s">
        <v>939</v>
      </c>
      <c r="H224" s="25" t="n">
        <v>9.26</v>
      </c>
      <c r="I224" s="25"/>
      <c r="J224" s="58"/>
      <c r="K224" s="23" t="s">
        <v>318</v>
      </c>
      <c r="L224" s="24"/>
      <c r="M224" s="24" t="s">
        <v>1469</v>
      </c>
      <c r="N224" s="26" t="s">
        <v>91</v>
      </c>
      <c r="O224" s="24"/>
      <c r="P224" s="24" t="s">
        <v>303</v>
      </c>
      <c r="Q224" s="24" t="s">
        <v>942</v>
      </c>
      <c r="R224" s="73" t="s">
        <v>95</v>
      </c>
      <c r="S224" s="0" t="n">
        <f aca="false">IF(Recherche!$B$4="",0,IF(ISNUMBER(SEARCH(Recherche!$B$4,D224))+ISNUMBER(SEARCH(Recherche!$B$4,K224))&gt;0,1,0))</f>
        <v>0</v>
      </c>
      <c r="T224" s="0" t="str">
        <f aca="false">IF(S224=1,SUM($S$2:S224),"")</f>
        <v/>
      </c>
    </row>
    <row r="225" customFormat="false" ht="15" hidden="false" customHeight="false" outlineLevel="0" collapsed="false">
      <c r="A225" s="20" t="s">
        <v>1470</v>
      </c>
      <c r="B225" s="20" t="s">
        <v>58</v>
      </c>
      <c r="C225" s="20" t="s">
        <v>1464</v>
      </c>
      <c r="D225" s="19" t="s">
        <v>319</v>
      </c>
      <c r="E225" s="22" t="s">
        <v>91</v>
      </c>
      <c r="F225" s="74" t="s">
        <v>81</v>
      </c>
      <c r="G225" s="74" t="s">
        <v>979</v>
      </c>
      <c r="H225" s="75" t="n">
        <v>31.86</v>
      </c>
      <c r="I225" s="21" t="n">
        <v>42.44</v>
      </c>
      <c r="J225" s="52" t="n">
        <v>24.9</v>
      </c>
      <c r="K225" s="19" t="s">
        <v>320</v>
      </c>
      <c r="L225" s="20" t="s">
        <v>1471</v>
      </c>
      <c r="M225" s="20" t="s">
        <v>1472</v>
      </c>
      <c r="N225" s="22" t="s">
        <v>91</v>
      </c>
      <c r="O225" s="20" t="s">
        <v>949</v>
      </c>
      <c r="P225" s="20" t="s">
        <v>169</v>
      </c>
      <c r="Q225" s="20" t="s">
        <v>1007</v>
      </c>
      <c r="R225" s="76" t="s">
        <v>95</v>
      </c>
      <c r="S225" s="0" t="n">
        <f aca="false">IF(Recherche!$B$4="",0,IF(ISNUMBER(SEARCH(Recherche!$B$4,D225))+ISNUMBER(SEARCH(Recherche!$B$4,K225))&gt;0,1,0))</f>
        <v>0</v>
      </c>
      <c r="T225" s="0" t="str">
        <f aca="false">IF(S225=1,SUM($S$2:S225),"")</f>
        <v/>
      </c>
    </row>
    <row r="226" customFormat="false" ht="15" hidden="false" customHeight="false" outlineLevel="0" collapsed="false">
      <c r="A226" s="24" t="s">
        <v>1470</v>
      </c>
      <c r="B226" s="24" t="s">
        <v>58</v>
      </c>
      <c r="C226" s="24" t="s">
        <v>1464</v>
      </c>
      <c r="D226" s="23" t="s">
        <v>319</v>
      </c>
      <c r="E226" s="26" t="s">
        <v>91</v>
      </c>
      <c r="F226" s="74" t="s">
        <v>79</v>
      </c>
      <c r="G226" s="74" t="s">
        <v>943</v>
      </c>
      <c r="H226" s="75" t="n">
        <v>39.03</v>
      </c>
      <c r="I226" s="25"/>
      <c r="J226" s="58"/>
      <c r="K226" s="23" t="s">
        <v>1473</v>
      </c>
      <c r="L226" s="24"/>
      <c r="M226" s="24" t="s">
        <v>1474</v>
      </c>
      <c r="N226" s="26" t="s">
        <v>91</v>
      </c>
      <c r="O226" s="24"/>
      <c r="P226" s="24" t="s">
        <v>313</v>
      </c>
      <c r="Q226" s="24" t="s">
        <v>1387</v>
      </c>
      <c r="R226" s="73" t="s">
        <v>95</v>
      </c>
      <c r="S226" s="0" t="n">
        <f aca="false">IF(Recherche!$B$4="",0,IF(ISNUMBER(SEARCH(Recherche!$B$4,D226))+ISNUMBER(SEARCH(Recherche!$B$4,K226))&gt;0,1,0))</f>
        <v>0</v>
      </c>
      <c r="T226" s="0" t="str">
        <f aca="false">IF(S226=1,SUM($S$2:S226),"")</f>
        <v/>
      </c>
    </row>
    <row r="227" customFormat="false" ht="23.85" hidden="false" customHeight="false" outlineLevel="0" collapsed="false">
      <c r="A227" s="20" t="s">
        <v>1470</v>
      </c>
      <c r="B227" s="20" t="s">
        <v>58</v>
      </c>
      <c r="C227" s="20" t="s">
        <v>1464</v>
      </c>
      <c r="D227" s="19" t="s">
        <v>319</v>
      </c>
      <c r="E227" s="22" t="s">
        <v>91</v>
      </c>
      <c r="F227" s="20" t="s">
        <v>76</v>
      </c>
      <c r="G227" s="20" t="s">
        <v>939</v>
      </c>
      <c r="H227" s="21" t="n">
        <v>68.87</v>
      </c>
      <c r="I227" s="21"/>
      <c r="J227" s="52"/>
      <c r="K227" s="19" t="s">
        <v>1475</v>
      </c>
      <c r="L227" s="20" t="s">
        <v>1476</v>
      </c>
      <c r="M227" s="20" t="s">
        <v>1477</v>
      </c>
      <c r="N227" s="22" t="s">
        <v>91</v>
      </c>
      <c r="O227" s="20"/>
      <c r="P227" s="20" t="s">
        <v>93</v>
      </c>
      <c r="Q227" s="20" t="s">
        <v>942</v>
      </c>
      <c r="R227" s="76" t="s">
        <v>95</v>
      </c>
      <c r="S227" s="0" t="n">
        <f aca="false">IF(Recherche!$B$4="",0,IF(ISNUMBER(SEARCH(Recherche!$B$4,D227))+ISNUMBER(SEARCH(Recherche!$B$4,K227))&gt;0,1,0))</f>
        <v>0</v>
      </c>
      <c r="T227" s="0" t="str">
        <f aca="false">IF(S227=1,SUM($S$2:S227),"")</f>
        <v/>
      </c>
    </row>
    <row r="228" customFormat="false" ht="23.85" hidden="false" customHeight="false" outlineLevel="0" collapsed="false">
      <c r="A228" s="24" t="s">
        <v>1470</v>
      </c>
      <c r="B228" s="24" t="s">
        <v>58</v>
      </c>
      <c r="C228" s="24" t="s">
        <v>1464</v>
      </c>
      <c r="D228" s="23" t="s">
        <v>319</v>
      </c>
      <c r="E228" s="26" t="s">
        <v>91</v>
      </c>
      <c r="F228" s="24" t="s">
        <v>80</v>
      </c>
      <c r="G228" s="24" t="s">
        <v>939</v>
      </c>
      <c r="H228" s="25" t="n">
        <v>76.55</v>
      </c>
      <c r="I228" s="25"/>
      <c r="J228" s="58"/>
      <c r="K228" s="23" t="s">
        <v>1478</v>
      </c>
      <c r="L228" s="24"/>
      <c r="M228" s="24" t="s">
        <v>1479</v>
      </c>
      <c r="N228" s="26" t="s">
        <v>91</v>
      </c>
      <c r="O228" s="24"/>
      <c r="P228" s="24" t="s">
        <v>303</v>
      </c>
      <c r="Q228" s="24" t="s">
        <v>942</v>
      </c>
      <c r="R228" s="73" t="s">
        <v>95</v>
      </c>
      <c r="S228" s="0" t="n">
        <f aca="false">IF(Recherche!$B$4="",0,IF(ISNUMBER(SEARCH(Recherche!$B$4,D228))+ISNUMBER(SEARCH(Recherche!$B$4,K228))&gt;0,1,0))</f>
        <v>0</v>
      </c>
      <c r="T228" s="0" t="str">
        <f aca="false">IF(S228=1,SUM($S$2:S228),"")</f>
        <v/>
      </c>
    </row>
    <row r="229" customFormat="false" ht="23.85" hidden="false" customHeight="false" outlineLevel="0" collapsed="false">
      <c r="A229" s="20" t="s">
        <v>1470</v>
      </c>
      <c r="B229" s="20" t="s">
        <v>58</v>
      </c>
      <c r="C229" s="20" t="s">
        <v>1464</v>
      </c>
      <c r="D229" s="19" t="s">
        <v>319</v>
      </c>
      <c r="E229" s="22" t="s">
        <v>91</v>
      </c>
      <c r="F229" s="74" t="s">
        <v>77</v>
      </c>
      <c r="G229" s="74" t="s">
        <v>979</v>
      </c>
      <c r="H229" s="75" t="n">
        <v>212.95</v>
      </c>
      <c r="I229" s="21" t="n">
        <v>212.95</v>
      </c>
      <c r="J229" s="52"/>
      <c r="K229" s="19" t="s">
        <v>1480</v>
      </c>
      <c r="L229" s="20" t="s">
        <v>1481</v>
      </c>
      <c r="M229" s="20" t="s">
        <v>1482</v>
      </c>
      <c r="N229" s="22" t="s">
        <v>91</v>
      </c>
      <c r="O229" s="20"/>
      <c r="P229" s="20" t="s">
        <v>114</v>
      </c>
      <c r="Q229" s="20" t="s">
        <v>983</v>
      </c>
      <c r="R229" s="76"/>
      <c r="S229" s="0" t="n">
        <f aca="false">IF(Recherche!$B$4="",0,IF(ISNUMBER(SEARCH(Recherche!$B$4,D229))+ISNUMBER(SEARCH(Recherche!$B$4,K229))&gt;0,1,0))</f>
        <v>0</v>
      </c>
      <c r="T229" s="0" t="str">
        <f aca="false">IF(S229=1,SUM($S$2:S229),"")</f>
        <v/>
      </c>
    </row>
    <row r="230" customFormat="false" ht="15" hidden="false" customHeight="false" outlineLevel="0" collapsed="false">
      <c r="A230" s="24" t="s">
        <v>1483</v>
      </c>
      <c r="B230" s="24" t="s">
        <v>58</v>
      </c>
      <c r="C230" s="24" t="s">
        <v>1464</v>
      </c>
      <c r="D230" s="23" t="s">
        <v>321</v>
      </c>
      <c r="E230" s="26" t="s">
        <v>91</v>
      </c>
      <c r="F230" s="24" t="s">
        <v>80</v>
      </c>
      <c r="G230" s="24" t="s">
        <v>939</v>
      </c>
      <c r="H230" s="25" t="n">
        <v>50.06</v>
      </c>
      <c r="I230" s="25"/>
      <c r="J230" s="58"/>
      <c r="K230" s="23" t="s">
        <v>322</v>
      </c>
      <c r="L230" s="24"/>
      <c r="M230" s="24" t="s">
        <v>1484</v>
      </c>
      <c r="N230" s="26" t="s">
        <v>91</v>
      </c>
      <c r="O230" s="24"/>
      <c r="P230" s="24" t="s">
        <v>303</v>
      </c>
      <c r="Q230" s="24" t="s">
        <v>1085</v>
      </c>
      <c r="R230" s="73" t="s">
        <v>95</v>
      </c>
      <c r="S230" s="0" t="n">
        <f aca="false">IF(Recherche!$B$4="",0,IF(ISNUMBER(SEARCH(Recherche!$B$4,D230))+ISNUMBER(SEARCH(Recherche!$B$4,K230))&gt;0,1,0))</f>
        <v>0</v>
      </c>
      <c r="T230" s="0" t="str">
        <f aca="false">IF(S230=1,SUM($S$2:S230),"")</f>
        <v/>
      </c>
    </row>
    <row r="231" customFormat="false" ht="15" hidden="false" customHeight="false" outlineLevel="0" collapsed="false">
      <c r="A231" s="20" t="s">
        <v>1483</v>
      </c>
      <c r="B231" s="20" t="s">
        <v>58</v>
      </c>
      <c r="C231" s="20" t="s">
        <v>1464</v>
      </c>
      <c r="D231" s="19" t="s">
        <v>321</v>
      </c>
      <c r="E231" s="22" t="s">
        <v>91</v>
      </c>
      <c r="F231" s="74" t="s">
        <v>79</v>
      </c>
      <c r="G231" s="74" t="s">
        <v>943</v>
      </c>
      <c r="H231" s="75" t="n">
        <v>54.93</v>
      </c>
      <c r="I231" s="21"/>
      <c r="J231" s="52"/>
      <c r="K231" s="19" t="s">
        <v>1485</v>
      </c>
      <c r="L231" s="20"/>
      <c r="M231" s="20" t="s">
        <v>1486</v>
      </c>
      <c r="N231" s="22" t="s">
        <v>91</v>
      </c>
      <c r="O231" s="20"/>
      <c r="P231" s="20" t="s">
        <v>313</v>
      </c>
      <c r="Q231" s="20" t="s">
        <v>1387</v>
      </c>
      <c r="R231" s="76" t="s">
        <v>95</v>
      </c>
      <c r="S231" s="0" t="n">
        <f aca="false">IF(Recherche!$B$4="",0,IF(ISNUMBER(SEARCH(Recherche!$B$4,D231))+ISNUMBER(SEARCH(Recherche!$B$4,K231))&gt;0,1,0))</f>
        <v>0</v>
      </c>
      <c r="T231" s="0" t="str">
        <f aca="false">IF(S231=1,SUM($S$2:S231),"")</f>
        <v/>
      </c>
    </row>
    <row r="232" customFormat="false" ht="15" hidden="false" customHeight="false" outlineLevel="0" collapsed="false">
      <c r="A232" s="24" t="s">
        <v>1483</v>
      </c>
      <c r="B232" s="24" t="s">
        <v>58</v>
      </c>
      <c r="C232" s="24" t="s">
        <v>1464</v>
      </c>
      <c r="D232" s="23" t="s">
        <v>321</v>
      </c>
      <c r="E232" s="26" t="s">
        <v>91</v>
      </c>
      <c r="F232" s="74" t="s">
        <v>81</v>
      </c>
      <c r="G232" s="74" t="s">
        <v>979</v>
      </c>
      <c r="H232" s="75" t="n">
        <v>57.9</v>
      </c>
      <c r="I232" s="25" t="n">
        <v>77.16</v>
      </c>
      <c r="J232" s="58" t="n">
        <v>25</v>
      </c>
      <c r="K232" s="23" t="s">
        <v>1487</v>
      </c>
      <c r="L232" s="24" t="s">
        <v>1471</v>
      </c>
      <c r="M232" s="24" t="s">
        <v>1488</v>
      </c>
      <c r="N232" s="26" t="s">
        <v>91</v>
      </c>
      <c r="O232" s="24" t="s">
        <v>949</v>
      </c>
      <c r="P232" s="24" t="s">
        <v>169</v>
      </c>
      <c r="Q232" s="24" t="s">
        <v>1007</v>
      </c>
      <c r="R232" s="73" t="s">
        <v>95</v>
      </c>
      <c r="S232" s="0" t="n">
        <f aca="false">IF(Recherche!$B$4="",0,IF(ISNUMBER(SEARCH(Recherche!$B$4,D232))+ISNUMBER(SEARCH(Recherche!$B$4,K232))&gt;0,1,0))</f>
        <v>0</v>
      </c>
      <c r="T232" s="0" t="str">
        <f aca="false">IF(S232=1,SUM($S$2:S232),"")</f>
        <v/>
      </c>
    </row>
    <row r="233" customFormat="false" ht="15" hidden="false" customHeight="false" outlineLevel="0" collapsed="false">
      <c r="A233" s="20" t="s">
        <v>1483</v>
      </c>
      <c r="B233" s="20" t="s">
        <v>58</v>
      </c>
      <c r="C233" s="20" t="s">
        <v>1464</v>
      </c>
      <c r="D233" s="19" t="s">
        <v>321</v>
      </c>
      <c r="E233" s="22" t="s">
        <v>91</v>
      </c>
      <c r="F233" s="74" t="s">
        <v>77</v>
      </c>
      <c r="G233" s="74" t="s">
        <v>979</v>
      </c>
      <c r="H233" s="75" t="n">
        <v>73.6</v>
      </c>
      <c r="I233" s="21" t="n">
        <v>73.6</v>
      </c>
      <c r="J233" s="52"/>
      <c r="K233" s="19" t="s">
        <v>1489</v>
      </c>
      <c r="L233" s="20" t="s">
        <v>1490</v>
      </c>
      <c r="M233" s="20" t="s">
        <v>1491</v>
      </c>
      <c r="N233" s="22" t="s">
        <v>91</v>
      </c>
      <c r="O233" s="20"/>
      <c r="P233" s="20" t="s">
        <v>114</v>
      </c>
      <c r="Q233" s="20" t="s">
        <v>983</v>
      </c>
      <c r="R233" s="76"/>
      <c r="S233" s="0" t="n">
        <f aca="false">IF(Recherche!$B$4="",0,IF(ISNUMBER(SEARCH(Recherche!$B$4,D233))+ISNUMBER(SEARCH(Recherche!$B$4,K233))&gt;0,1,0))</f>
        <v>0</v>
      </c>
      <c r="T233" s="0" t="str">
        <f aca="false">IF(S233=1,SUM($S$2:S233),"")</f>
        <v/>
      </c>
    </row>
    <row r="234" customFormat="false" ht="23.85" hidden="false" customHeight="false" outlineLevel="0" collapsed="false">
      <c r="A234" s="24" t="s">
        <v>1483</v>
      </c>
      <c r="B234" s="24" t="s">
        <v>58</v>
      </c>
      <c r="C234" s="24" t="s">
        <v>1464</v>
      </c>
      <c r="D234" s="23" t="s">
        <v>321</v>
      </c>
      <c r="E234" s="26" t="s">
        <v>91</v>
      </c>
      <c r="F234" s="24" t="s">
        <v>76</v>
      </c>
      <c r="G234" s="24" t="s">
        <v>939</v>
      </c>
      <c r="H234" s="25" t="n">
        <v>185.54</v>
      </c>
      <c r="I234" s="25"/>
      <c r="J234" s="58"/>
      <c r="K234" s="23" t="s">
        <v>1492</v>
      </c>
      <c r="L234" s="24" t="s">
        <v>1493</v>
      </c>
      <c r="M234" s="24" t="s">
        <v>1494</v>
      </c>
      <c r="N234" s="26" t="s">
        <v>91</v>
      </c>
      <c r="O234" s="24"/>
      <c r="P234" s="24" t="s">
        <v>93</v>
      </c>
      <c r="Q234" s="24" t="s">
        <v>942</v>
      </c>
      <c r="R234" s="73" t="s">
        <v>95</v>
      </c>
      <c r="S234" s="0" t="n">
        <f aca="false">IF(Recherche!$B$4="",0,IF(ISNUMBER(SEARCH(Recherche!$B$4,D234))+ISNUMBER(SEARCH(Recherche!$B$4,K234))&gt;0,1,0))</f>
        <v>0</v>
      </c>
      <c r="T234" s="0" t="str">
        <f aca="false">IF(S234=1,SUM($S$2:S234),"")</f>
        <v/>
      </c>
    </row>
    <row r="235" customFormat="false" ht="15" hidden="false" customHeight="false" outlineLevel="0" collapsed="false">
      <c r="A235" s="20" t="s">
        <v>1495</v>
      </c>
      <c r="B235" s="20" t="s">
        <v>58</v>
      </c>
      <c r="C235" s="20" t="s">
        <v>1464</v>
      </c>
      <c r="D235" s="19" t="s">
        <v>323</v>
      </c>
      <c r="E235" s="22" t="s">
        <v>91</v>
      </c>
      <c r="F235" s="74" t="s">
        <v>81</v>
      </c>
      <c r="G235" s="74" t="s">
        <v>979</v>
      </c>
      <c r="H235" s="75" t="n">
        <v>49.03</v>
      </c>
      <c r="I235" s="21" t="n">
        <v>92.69</v>
      </c>
      <c r="J235" s="52" t="n">
        <v>47.1</v>
      </c>
      <c r="K235" s="19" t="s">
        <v>324</v>
      </c>
      <c r="L235" s="20" t="s">
        <v>1471</v>
      </c>
      <c r="M235" s="20" t="s">
        <v>1496</v>
      </c>
      <c r="N235" s="22" t="s">
        <v>91</v>
      </c>
      <c r="O235" s="20" t="s">
        <v>949</v>
      </c>
      <c r="P235" s="20" t="s">
        <v>169</v>
      </c>
      <c r="Q235" s="20" t="s">
        <v>1007</v>
      </c>
      <c r="R235" s="76" t="s">
        <v>95</v>
      </c>
      <c r="S235" s="0" t="n">
        <f aca="false">IF(Recherche!$B$4="",0,IF(ISNUMBER(SEARCH(Recherche!$B$4,D235))+ISNUMBER(SEARCH(Recherche!$B$4,K235))&gt;0,1,0))</f>
        <v>0</v>
      </c>
      <c r="T235" s="0" t="str">
        <f aca="false">IF(S235=1,SUM($S$2:S235),"")</f>
        <v/>
      </c>
    </row>
    <row r="236" customFormat="false" ht="23.85" hidden="false" customHeight="false" outlineLevel="0" collapsed="false">
      <c r="A236" s="24" t="s">
        <v>1495</v>
      </c>
      <c r="B236" s="24" t="s">
        <v>58</v>
      </c>
      <c r="C236" s="24" t="s">
        <v>1464</v>
      </c>
      <c r="D236" s="23" t="s">
        <v>323</v>
      </c>
      <c r="E236" s="26" t="s">
        <v>91</v>
      </c>
      <c r="F236" s="24" t="s">
        <v>80</v>
      </c>
      <c r="G236" s="24" t="s">
        <v>939</v>
      </c>
      <c r="H236" s="25" t="n">
        <v>94.61</v>
      </c>
      <c r="I236" s="25"/>
      <c r="J236" s="58"/>
      <c r="K236" s="23" t="s">
        <v>1497</v>
      </c>
      <c r="L236" s="24"/>
      <c r="M236" s="24" t="s">
        <v>1498</v>
      </c>
      <c r="N236" s="26" t="s">
        <v>91</v>
      </c>
      <c r="O236" s="24"/>
      <c r="P236" s="24" t="s">
        <v>303</v>
      </c>
      <c r="Q236" s="24" t="s">
        <v>942</v>
      </c>
      <c r="R236" s="73" t="s">
        <v>95</v>
      </c>
      <c r="S236" s="0" t="n">
        <f aca="false">IF(Recherche!$B$4="",0,IF(ISNUMBER(SEARCH(Recherche!$B$4,D236))+ISNUMBER(SEARCH(Recherche!$B$4,K236))&gt;0,1,0))</f>
        <v>0</v>
      </c>
      <c r="T236" s="0" t="str">
        <f aca="false">IF(S236=1,SUM($S$2:S236),"")</f>
        <v/>
      </c>
    </row>
    <row r="237" customFormat="false" ht="15" hidden="false" customHeight="false" outlineLevel="0" collapsed="false">
      <c r="A237" s="20" t="s">
        <v>1495</v>
      </c>
      <c r="B237" s="20" t="s">
        <v>58</v>
      </c>
      <c r="C237" s="20" t="s">
        <v>1464</v>
      </c>
      <c r="D237" s="19" t="s">
        <v>323</v>
      </c>
      <c r="E237" s="22" t="s">
        <v>91</v>
      </c>
      <c r="F237" s="74" t="s">
        <v>79</v>
      </c>
      <c r="G237" s="74" t="s">
        <v>943</v>
      </c>
      <c r="H237" s="75" t="n">
        <v>99.03</v>
      </c>
      <c r="I237" s="21"/>
      <c r="J237" s="52"/>
      <c r="K237" s="19" t="s">
        <v>1499</v>
      </c>
      <c r="L237" s="20"/>
      <c r="M237" s="20" t="s">
        <v>1500</v>
      </c>
      <c r="N237" s="22" t="s">
        <v>91</v>
      </c>
      <c r="O237" s="20"/>
      <c r="P237" s="20" t="s">
        <v>313</v>
      </c>
      <c r="Q237" s="20" t="s">
        <v>1387</v>
      </c>
      <c r="R237" s="76" t="s">
        <v>95</v>
      </c>
      <c r="S237" s="0" t="n">
        <f aca="false">IF(Recherche!$B$4="",0,IF(ISNUMBER(SEARCH(Recherche!$B$4,D237))+ISNUMBER(SEARCH(Recherche!$B$4,K237))&gt;0,1,0))</f>
        <v>0</v>
      </c>
      <c r="T237" s="0" t="str">
        <f aca="false">IF(S237=1,SUM($S$2:S237),"")</f>
        <v/>
      </c>
    </row>
    <row r="238" customFormat="false" ht="23.85" hidden="false" customHeight="false" outlineLevel="0" collapsed="false">
      <c r="A238" s="24" t="s">
        <v>1495</v>
      </c>
      <c r="B238" s="24" t="s">
        <v>58</v>
      </c>
      <c r="C238" s="24" t="s">
        <v>1464</v>
      </c>
      <c r="D238" s="23" t="s">
        <v>323</v>
      </c>
      <c r="E238" s="26" t="s">
        <v>91</v>
      </c>
      <c r="F238" s="24" t="s">
        <v>76</v>
      </c>
      <c r="G238" s="24" t="s">
        <v>939</v>
      </c>
      <c r="H238" s="25" t="n">
        <v>113.69</v>
      </c>
      <c r="I238" s="25"/>
      <c r="J238" s="58"/>
      <c r="K238" s="23" t="s">
        <v>1501</v>
      </c>
      <c r="L238" s="24" t="s">
        <v>1502</v>
      </c>
      <c r="M238" s="24" t="s">
        <v>1503</v>
      </c>
      <c r="N238" s="26" t="s">
        <v>91</v>
      </c>
      <c r="O238" s="24"/>
      <c r="P238" s="24" t="s">
        <v>93</v>
      </c>
      <c r="Q238" s="24" t="s">
        <v>942</v>
      </c>
      <c r="R238" s="73" t="s">
        <v>95</v>
      </c>
      <c r="S238" s="0" t="n">
        <f aca="false">IF(Recherche!$B$4="",0,IF(ISNUMBER(SEARCH(Recherche!$B$4,D238))+ISNUMBER(SEARCH(Recherche!$B$4,K238))&gt;0,1,0))</f>
        <v>0</v>
      </c>
      <c r="T238" s="0" t="str">
        <f aca="false">IF(S238=1,SUM($S$2:S238),"")</f>
        <v/>
      </c>
    </row>
    <row r="239" customFormat="false" ht="23.85" hidden="false" customHeight="false" outlineLevel="0" collapsed="false">
      <c r="A239" s="20" t="s">
        <v>1495</v>
      </c>
      <c r="B239" s="20" t="s">
        <v>58</v>
      </c>
      <c r="C239" s="20" t="s">
        <v>1464</v>
      </c>
      <c r="D239" s="19" t="s">
        <v>323</v>
      </c>
      <c r="E239" s="22" t="s">
        <v>91</v>
      </c>
      <c r="F239" s="74" t="s">
        <v>77</v>
      </c>
      <c r="G239" s="74" t="s">
        <v>979</v>
      </c>
      <c r="H239" s="75" t="n">
        <v>296.48</v>
      </c>
      <c r="I239" s="21" t="n">
        <v>296.48</v>
      </c>
      <c r="J239" s="52"/>
      <c r="K239" s="19" t="s">
        <v>1504</v>
      </c>
      <c r="L239" s="20" t="s">
        <v>1481</v>
      </c>
      <c r="M239" s="20" t="s">
        <v>1505</v>
      </c>
      <c r="N239" s="22" t="s">
        <v>91</v>
      </c>
      <c r="O239" s="20"/>
      <c r="P239" s="20" t="s">
        <v>114</v>
      </c>
      <c r="Q239" s="20" t="s">
        <v>983</v>
      </c>
      <c r="R239" s="76"/>
      <c r="S239" s="0" t="n">
        <f aca="false">IF(Recherche!$B$4="",0,IF(ISNUMBER(SEARCH(Recherche!$B$4,D239))+ISNUMBER(SEARCH(Recherche!$B$4,K239))&gt;0,1,0))</f>
        <v>0</v>
      </c>
      <c r="T239" s="0" t="str">
        <f aca="false">IF(S239=1,SUM($S$2:S239),"")</f>
        <v/>
      </c>
    </row>
    <row r="240" customFormat="false" ht="23.85" hidden="false" customHeight="false" outlineLevel="0" collapsed="false">
      <c r="A240" s="24" t="s">
        <v>1506</v>
      </c>
      <c r="B240" s="24" t="s">
        <v>58</v>
      </c>
      <c r="C240" s="24" t="s">
        <v>1464</v>
      </c>
      <c r="D240" s="23" t="s">
        <v>325</v>
      </c>
      <c r="E240" s="26" t="s">
        <v>91</v>
      </c>
      <c r="F240" s="74" t="s">
        <v>81</v>
      </c>
      <c r="G240" s="74" t="s">
        <v>979</v>
      </c>
      <c r="H240" s="75" t="n">
        <v>55.8</v>
      </c>
      <c r="I240" s="25" t="n">
        <v>69.76</v>
      </c>
      <c r="J240" s="58" t="n">
        <v>20</v>
      </c>
      <c r="K240" s="23" t="s">
        <v>326</v>
      </c>
      <c r="L240" s="24" t="s">
        <v>1139</v>
      </c>
      <c r="M240" s="24" t="s">
        <v>1507</v>
      </c>
      <c r="N240" s="26" t="s">
        <v>91</v>
      </c>
      <c r="O240" s="24" t="s">
        <v>75</v>
      </c>
      <c r="P240" s="24" t="s">
        <v>169</v>
      </c>
      <c r="Q240" s="24" t="s">
        <v>1007</v>
      </c>
      <c r="R240" s="73" t="s">
        <v>95</v>
      </c>
      <c r="S240" s="0" t="n">
        <f aca="false">IF(Recherche!$B$4="",0,IF(ISNUMBER(SEARCH(Recherche!$B$4,D240))+ISNUMBER(SEARCH(Recherche!$B$4,K240))&gt;0,1,0))</f>
        <v>0</v>
      </c>
      <c r="T240" s="0" t="str">
        <f aca="false">IF(S240=1,SUM($S$2:S240),"")</f>
        <v/>
      </c>
    </row>
    <row r="241" customFormat="false" ht="23.85" hidden="false" customHeight="false" outlineLevel="0" collapsed="false">
      <c r="A241" s="20" t="s">
        <v>1506</v>
      </c>
      <c r="B241" s="20" t="s">
        <v>58</v>
      </c>
      <c r="C241" s="20" t="s">
        <v>1464</v>
      </c>
      <c r="D241" s="19" t="s">
        <v>325</v>
      </c>
      <c r="E241" s="22" t="s">
        <v>91</v>
      </c>
      <c r="F241" s="20" t="s">
        <v>76</v>
      </c>
      <c r="G241" s="20" t="s">
        <v>939</v>
      </c>
      <c r="H241" s="21" t="n">
        <v>79.17</v>
      </c>
      <c r="I241" s="21"/>
      <c r="J241" s="52"/>
      <c r="K241" s="19" t="s">
        <v>1508</v>
      </c>
      <c r="L241" s="20" t="s">
        <v>1139</v>
      </c>
      <c r="M241" s="20" t="s">
        <v>1509</v>
      </c>
      <c r="N241" s="22" t="s">
        <v>91</v>
      </c>
      <c r="O241" s="20"/>
      <c r="P241" s="20" t="s">
        <v>93</v>
      </c>
      <c r="Q241" s="20" t="s">
        <v>942</v>
      </c>
      <c r="R241" s="76" t="s">
        <v>95</v>
      </c>
      <c r="S241" s="0" t="n">
        <f aca="false">IF(Recherche!$B$4="",0,IF(ISNUMBER(SEARCH(Recherche!$B$4,D241))+ISNUMBER(SEARCH(Recherche!$B$4,K241))&gt;0,1,0))</f>
        <v>0</v>
      </c>
      <c r="T241" s="0" t="str">
        <f aca="false">IF(S241=1,SUM($S$2:S241),"")</f>
        <v/>
      </c>
    </row>
    <row r="242" customFormat="false" ht="15" hidden="false" customHeight="false" outlineLevel="0" collapsed="false">
      <c r="A242" s="24" t="s">
        <v>1506</v>
      </c>
      <c r="B242" s="24" t="s">
        <v>58</v>
      </c>
      <c r="C242" s="24" t="s">
        <v>1464</v>
      </c>
      <c r="D242" s="23" t="s">
        <v>325</v>
      </c>
      <c r="E242" s="26" t="s">
        <v>91</v>
      </c>
      <c r="F242" s="74" t="s">
        <v>77</v>
      </c>
      <c r="G242" s="74" t="s">
        <v>979</v>
      </c>
      <c r="H242" s="75" t="n">
        <v>145.19</v>
      </c>
      <c r="I242" s="25" t="n">
        <v>145.19</v>
      </c>
      <c r="J242" s="58"/>
      <c r="K242" s="23" t="s">
        <v>1510</v>
      </c>
      <c r="L242" s="24" t="s">
        <v>1139</v>
      </c>
      <c r="M242" s="24" t="s">
        <v>1511</v>
      </c>
      <c r="N242" s="26" t="s">
        <v>91</v>
      </c>
      <c r="O242" s="24"/>
      <c r="P242" s="24" t="s">
        <v>114</v>
      </c>
      <c r="Q242" s="24" t="s">
        <v>983</v>
      </c>
      <c r="R242" s="73"/>
      <c r="S242" s="0" t="n">
        <f aca="false">IF(Recherche!$B$4="",0,IF(ISNUMBER(SEARCH(Recherche!$B$4,D242))+ISNUMBER(SEARCH(Recherche!$B$4,K242))&gt;0,1,0))</f>
        <v>0</v>
      </c>
      <c r="T242" s="0" t="str">
        <f aca="false">IF(S242=1,SUM($S$2:S242),"")</f>
        <v/>
      </c>
    </row>
    <row r="243" customFormat="false" ht="15" hidden="false" customHeight="false" outlineLevel="0" collapsed="false">
      <c r="A243" s="20" t="s">
        <v>1512</v>
      </c>
      <c r="B243" s="20" t="s">
        <v>58</v>
      </c>
      <c r="C243" s="20" t="s">
        <v>1464</v>
      </c>
      <c r="D243" s="19" t="s">
        <v>327</v>
      </c>
      <c r="E243" s="22" t="s">
        <v>91</v>
      </c>
      <c r="F243" s="20" t="s">
        <v>76</v>
      </c>
      <c r="G243" s="20" t="s">
        <v>939</v>
      </c>
      <c r="H243" s="21" t="n">
        <v>2.59</v>
      </c>
      <c r="I243" s="21"/>
      <c r="J243" s="52"/>
      <c r="K243" s="19" t="s">
        <v>328</v>
      </c>
      <c r="L243" s="20" t="s">
        <v>1383</v>
      </c>
      <c r="M243" s="20" t="s">
        <v>1513</v>
      </c>
      <c r="N243" s="22" t="s">
        <v>91</v>
      </c>
      <c r="O243" s="20"/>
      <c r="P243" s="20" t="s">
        <v>93</v>
      </c>
      <c r="Q243" s="20" t="s">
        <v>942</v>
      </c>
      <c r="R243" s="76" t="s">
        <v>95</v>
      </c>
      <c r="S243" s="0" t="n">
        <f aca="false">IF(Recherche!$B$4="",0,IF(ISNUMBER(SEARCH(Recherche!$B$4,D243))+ISNUMBER(SEARCH(Recherche!$B$4,K243))&gt;0,1,0))</f>
        <v>0</v>
      </c>
      <c r="T243" s="0" t="str">
        <f aca="false">IF(S243=1,SUM($S$2:S243),"")</f>
        <v/>
      </c>
    </row>
    <row r="244" customFormat="false" ht="23.85" hidden="false" customHeight="false" outlineLevel="0" collapsed="false">
      <c r="A244" s="24" t="s">
        <v>1512</v>
      </c>
      <c r="B244" s="24" t="s">
        <v>58</v>
      </c>
      <c r="C244" s="24" t="s">
        <v>1464</v>
      </c>
      <c r="D244" s="23" t="s">
        <v>327</v>
      </c>
      <c r="E244" s="26" t="s">
        <v>91</v>
      </c>
      <c r="F244" s="24" t="s">
        <v>80</v>
      </c>
      <c r="G244" s="24" t="s">
        <v>939</v>
      </c>
      <c r="H244" s="25" t="n">
        <v>4.75</v>
      </c>
      <c r="I244" s="25"/>
      <c r="J244" s="58"/>
      <c r="K244" s="23" t="s">
        <v>1514</v>
      </c>
      <c r="L244" s="24"/>
      <c r="M244" s="24" t="s">
        <v>1515</v>
      </c>
      <c r="N244" s="26" t="s">
        <v>91</v>
      </c>
      <c r="O244" s="24"/>
      <c r="P244" s="24" t="s">
        <v>303</v>
      </c>
      <c r="Q244" s="24" t="s">
        <v>963</v>
      </c>
      <c r="R244" s="73" t="s">
        <v>95</v>
      </c>
      <c r="S244" s="0" t="n">
        <f aca="false">IF(Recherche!$B$4="",0,IF(ISNUMBER(SEARCH(Recherche!$B$4,D244))+ISNUMBER(SEARCH(Recherche!$B$4,K244))&gt;0,1,0))</f>
        <v>0</v>
      </c>
      <c r="T244" s="0" t="str">
        <f aca="false">IF(S244=1,SUM($S$2:S244),"")</f>
        <v/>
      </c>
    </row>
    <row r="245" customFormat="false" ht="23.85" hidden="false" customHeight="false" outlineLevel="0" collapsed="false">
      <c r="A245" s="20" t="s">
        <v>1512</v>
      </c>
      <c r="B245" s="20" t="s">
        <v>58</v>
      </c>
      <c r="C245" s="20" t="s">
        <v>1464</v>
      </c>
      <c r="D245" s="19" t="s">
        <v>327</v>
      </c>
      <c r="E245" s="22" t="s">
        <v>91</v>
      </c>
      <c r="F245" s="74" t="s">
        <v>81</v>
      </c>
      <c r="G245" s="74" t="s">
        <v>979</v>
      </c>
      <c r="H245" s="75" t="n">
        <v>6.57</v>
      </c>
      <c r="I245" s="21" t="n">
        <v>6.9</v>
      </c>
      <c r="J245" s="52" t="n">
        <v>4.8</v>
      </c>
      <c r="K245" s="19" t="s">
        <v>1516</v>
      </c>
      <c r="L245" s="20" t="s">
        <v>1389</v>
      </c>
      <c r="M245" s="20" t="s">
        <v>1517</v>
      </c>
      <c r="N245" s="22" t="s">
        <v>91</v>
      </c>
      <c r="O245" s="20" t="s">
        <v>949</v>
      </c>
      <c r="P245" s="20" t="s">
        <v>119</v>
      </c>
      <c r="Q245" s="20" t="s">
        <v>1016</v>
      </c>
      <c r="R245" s="76" t="s">
        <v>95</v>
      </c>
      <c r="S245" s="0" t="n">
        <f aca="false">IF(Recherche!$B$4="",0,IF(ISNUMBER(SEARCH(Recherche!$B$4,D245))+ISNUMBER(SEARCH(Recherche!$B$4,K245))&gt;0,1,0))</f>
        <v>0</v>
      </c>
      <c r="T245" s="0" t="str">
        <f aca="false">IF(S245=1,SUM($S$2:S245),"")</f>
        <v/>
      </c>
    </row>
    <row r="246" customFormat="false" ht="15" hidden="false" customHeight="false" outlineLevel="0" collapsed="false">
      <c r="A246" s="24" t="s">
        <v>1512</v>
      </c>
      <c r="B246" s="24" t="s">
        <v>58</v>
      </c>
      <c r="C246" s="24" t="s">
        <v>1464</v>
      </c>
      <c r="D246" s="23" t="s">
        <v>327</v>
      </c>
      <c r="E246" s="26" t="s">
        <v>91</v>
      </c>
      <c r="F246" s="74" t="s">
        <v>79</v>
      </c>
      <c r="G246" s="74" t="s">
        <v>943</v>
      </c>
      <c r="H246" s="75" t="n">
        <v>12.13</v>
      </c>
      <c r="I246" s="25"/>
      <c r="J246" s="58"/>
      <c r="K246" s="23" t="s">
        <v>1518</v>
      </c>
      <c r="L246" s="24"/>
      <c r="M246" s="24" t="s">
        <v>1519</v>
      </c>
      <c r="N246" s="26" t="s">
        <v>91</v>
      </c>
      <c r="O246" s="24"/>
      <c r="P246" s="24" t="s">
        <v>313</v>
      </c>
      <c r="Q246" s="24" t="s">
        <v>1016</v>
      </c>
      <c r="R246" s="73" t="s">
        <v>95</v>
      </c>
      <c r="S246" s="0" t="n">
        <f aca="false">IF(Recherche!$B$4="",0,IF(ISNUMBER(SEARCH(Recherche!$B$4,D246))+ISNUMBER(SEARCH(Recherche!$B$4,K246))&gt;0,1,0))</f>
        <v>0</v>
      </c>
      <c r="T246" s="0" t="str">
        <f aca="false">IF(S246=1,SUM($S$2:S246),"")</f>
        <v/>
      </c>
    </row>
    <row r="247" customFormat="false" ht="23.85" hidden="false" customHeight="false" outlineLevel="0" collapsed="false">
      <c r="A247" s="20" t="s">
        <v>1520</v>
      </c>
      <c r="B247" s="20" t="s">
        <v>58</v>
      </c>
      <c r="C247" s="20" t="s">
        <v>1521</v>
      </c>
      <c r="D247" s="19" t="s">
        <v>329</v>
      </c>
      <c r="E247" s="22" t="s">
        <v>137</v>
      </c>
      <c r="F247" s="74" t="s">
        <v>81</v>
      </c>
      <c r="G247" s="74" t="s">
        <v>979</v>
      </c>
      <c r="H247" s="75" t="n">
        <v>3.01</v>
      </c>
      <c r="I247" s="21" t="n">
        <v>3.14</v>
      </c>
      <c r="J247" s="52" t="n">
        <v>4.1</v>
      </c>
      <c r="K247" s="19" t="s">
        <v>330</v>
      </c>
      <c r="L247" s="20" t="s">
        <v>1522</v>
      </c>
      <c r="M247" s="20" t="s">
        <v>1523</v>
      </c>
      <c r="N247" s="22" t="s">
        <v>1524</v>
      </c>
      <c r="O247" s="20" t="s">
        <v>949</v>
      </c>
      <c r="P247" s="20" t="s">
        <v>169</v>
      </c>
      <c r="Q247" s="20" t="s">
        <v>1007</v>
      </c>
      <c r="R247" s="76" t="s">
        <v>95</v>
      </c>
      <c r="S247" s="0" t="n">
        <f aca="false">IF(Recherche!$B$4="",0,IF(ISNUMBER(SEARCH(Recherche!$B$4,D247))+ISNUMBER(SEARCH(Recherche!$B$4,K247))&gt;0,1,0))</f>
        <v>0</v>
      </c>
      <c r="T247" s="0" t="str">
        <f aca="false">IF(S247=1,SUM($S$2:S247),"")</f>
        <v/>
      </c>
    </row>
    <row r="248" customFormat="false" ht="15" hidden="false" customHeight="false" outlineLevel="0" collapsed="false">
      <c r="A248" s="24" t="s">
        <v>1520</v>
      </c>
      <c r="B248" s="24" t="s">
        <v>58</v>
      </c>
      <c r="C248" s="24" t="s">
        <v>1521</v>
      </c>
      <c r="D248" s="23" t="s">
        <v>329</v>
      </c>
      <c r="E248" s="26" t="s">
        <v>137</v>
      </c>
      <c r="F248" s="24" t="s">
        <v>76</v>
      </c>
      <c r="G248" s="24" t="s">
        <v>939</v>
      </c>
      <c r="H248" s="25" t="n">
        <v>7.28</v>
      </c>
      <c r="I248" s="25"/>
      <c r="J248" s="58"/>
      <c r="K248" s="23" t="s">
        <v>1525</v>
      </c>
      <c r="L248" s="24" t="s">
        <v>1526</v>
      </c>
      <c r="M248" s="24" t="s">
        <v>1527</v>
      </c>
      <c r="N248" s="26" t="s">
        <v>137</v>
      </c>
      <c r="O248" s="24"/>
      <c r="P248" s="24" t="s">
        <v>93</v>
      </c>
      <c r="Q248" s="24" t="s">
        <v>1085</v>
      </c>
      <c r="R248" s="73" t="s">
        <v>95</v>
      </c>
      <c r="S248" s="0" t="n">
        <f aca="false">IF(Recherche!$B$4="",0,IF(ISNUMBER(SEARCH(Recherche!$B$4,D248))+ISNUMBER(SEARCH(Recherche!$B$4,K248))&gt;0,1,0))</f>
        <v>0</v>
      </c>
      <c r="T248" s="0" t="str">
        <f aca="false">IF(S248=1,SUM($S$2:S248),"")</f>
        <v/>
      </c>
    </row>
    <row r="249" customFormat="false" ht="15" hidden="false" customHeight="false" outlineLevel="0" collapsed="false">
      <c r="A249" s="20" t="s">
        <v>1528</v>
      </c>
      <c r="B249" s="20" t="s">
        <v>58</v>
      </c>
      <c r="C249" s="20" t="s">
        <v>1521</v>
      </c>
      <c r="D249" s="19" t="s">
        <v>331</v>
      </c>
      <c r="E249" s="22" t="s">
        <v>137</v>
      </c>
      <c r="F249" s="74" t="s">
        <v>81</v>
      </c>
      <c r="G249" s="74" t="s">
        <v>979</v>
      </c>
      <c r="H249" s="75" t="n">
        <v>5.87</v>
      </c>
      <c r="I249" s="21" t="n">
        <v>6.47</v>
      </c>
      <c r="J249" s="52" t="n">
        <v>9.3</v>
      </c>
      <c r="K249" s="19" t="s">
        <v>332</v>
      </c>
      <c r="L249" s="20" t="s">
        <v>1529</v>
      </c>
      <c r="M249" s="20" t="s">
        <v>1530</v>
      </c>
      <c r="N249" s="22" t="s">
        <v>1524</v>
      </c>
      <c r="O249" s="20" t="s">
        <v>949</v>
      </c>
      <c r="P249" s="20" t="s">
        <v>169</v>
      </c>
      <c r="Q249" s="20" t="s">
        <v>1007</v>
      </c>
      <c r="R249" s="76" t="s">
        <v>95</v>
      </c>
      <c r="S249" s="0" t="n">
        <f aca="false">IF(Recherche!$B$4="",0,IF(ISNUMBER(SEARCH(Recherche!$B$4,D249))+ISNUMBER(SEARCH(Recherche!$B$4,K249))&gt;0,1,0))</f>
        <v>0</v>
      </c>
      <c r="T249" s="0" t="str">
        <f aca="false">IF(S249=1,SUM($S$2:S249),"")</f>
        <v/>
      </c>
    </row>
    <row r="250" customFormat="false" ht="23.85" hidden="false" customHeight="false" outlineLevel="0" collapsed="false">
      <c r="A250" s="24" t="s">
        <v>1528</v>
      </c>
      <c r="B250" s="24" t="s">
        <v>58</v>
      </c>
      <c r="C250" s="24" t="s">
        <v>1521</v>
      </c>
      <c r="D250" s="23" t="s">
        <v>331</v>
      </c>
      <c r="E250" s="26" t="s">
        <v>137</v>
      </c>
      <c r="F250" s="24" t="s">
        <v>80</v>
      </c>
      <c r="G250" s="24" t="s">
        <v>939</v>
      </c>
      <c r="H250" s="25" t="n">
        <v>10.8</v>
      </c>
      <c r="I250" s="25"/>
      <c r="J250" s="58"/>
      <c r="K250" s="23" t="s">
        <v>1531</v>
      </c>
      <c r="L250" s="24"/>
      <c r="M250" s="24" t="s">
        <v>1532</v>
      </c>
      <c r="N250" s="26" t="s">
        <v>1533</v>
      </c>
      <c r="O250" s="24"/>
      <c r="P250" s="24" t="s">
        <v>303</v>
      </c>
      <c r="Q250" s="24" t="s">
        <v>942</v>
      </c>
      <c r="R250" s="73" t="s">
        <v>95</v>
      </c>
      <c r="S250" s="0" t="n">
        <f aca="false">IF(Recherche!$B$4="",0,IF(ISNUMBER(SEARCH(Recherche!$B$4,D250))+ISNUMBER(SEARCH(Recherche!$B$4,K250))&gt;0,1,0))</f>
        <v>0</v>
      </c>
      <c r="T250" s="0" t="str">
        <f aca="false">IF(S250=1,SUM($S$2:S250),"")</f>
        <v/>
      </c>
    </row>
    <row r="251" customFormat="false" ht="15" hidden="false" customHeight="false" outlineLevel="0" collapsed="false">
      <c r="A251" s="20" t="s">
        <v>1528</v>
      </c>
      <c r="B251" s="20" t="s">
        <v>58</v>
      </c>
      <c r="C251" s="20" t="s">
        <v>1521</v>
      </c>
      <c r="D251" s="19" t="s">
        <v>331</v>
      </c>
      <c r="E251" s="22" t="s">
        <v>137</v>
      </c>
      <c r="F251" s="74" t="s">
        <v>79</v>
      </c>
      <c r="G251" s="74" t="s">
        <v>943</v>
      </c>
      <c r="H251" s="75" t="n">
        <v>11.03</v>
      </c>
      <c r="I251" s="21"/>
      <c r="J251" s="52"/>
      <c r="K251" s="19" t="s">
        <v>1534</v>
      </c>
      <c r="L251" s="20"/>
      <c r="M251" s="20" t="s">
        <v>1535</v>
      </c>
      <c r="N251" s="22" t="s">
        <v>91</v>
      </c>
      <c r="O251" s="20"/>
      <c r="P251" s="20" t="s">
        <v>313</v>
      </c>
      <c r="Q251" s="20" t="s">
        <v>1016</v>
      </c>
      <c r="R251" s="76" t="s">
        <v>95</v>
      </c>
      <c r="S251" s="0" t="n">
        <f aca="false">IF(Recherche!$B$4="",0,IF(ISNUMBER(SEARCH(Recherche!$B$4,D251))+ISNUMBER(SEARCH(Recherche!$B$4,K251))&gt;0,1,0))</f>
        <v>0</v>
      </c>
      <c r="T251" s="0" t="str">
        <f aca="false">IF(S251=1,SUM($S$2:S251),"")</f>
        <v/>
      </c>
    </row>
    <row r="252" customFormat="false" ht="15" hidden="false" customHeight="false" outlineLevel="0" collapsed="false">
      <c r="A252" s="24" t="s">
        <v>1528</v>
      </c>
      <c r="B252" s="24" t="s">
        <v>58</v>
      </c>
      <c r="C252" s="24" t="s">
        <v>1521</v>
      </c>
      <c r="D252" s="23" t="s">
        <v>331</v>
      </c>
      <c r="E252" s="26" t="s">
        <v>137</v>
      </c>
      <c r="F252" s="24" t="s">
        <v>76</v>
      </c>
      <c r="G252" s="24" t="s">
        <v>939</v>
      </c>
      <c r="H252" s="25" t="n">
        <v>16.58</v>
      </c>
      <c r="I252" s="25"/>
      <c r="J252" s="58"/>
      <c r="K252" s="23" t="s">
        <v>1536</v>
      </c>
      <c r="L252" s="24" t="s">
        <v>1526</v>
      </c>
      <c r="M252" s="24" t="s">
        <v>1537</v>
      </c>
      <c r="N252" s="26" t="s">
        <v>137</v>
      </c>
      <c r="O252" s="24"/>
      <c r="P252" s="24" t="s">
        <v>93</v>
      </c>
      <c r="Q252" s="24" t="s">
        <v>1085</v>
      </c>
      <c r="R252" s="73" t="s">
        <v>95</v>
      </c>
      <c r="S252" s="0" t="n">
        <f aca="false">IF(Recherche!$B$4="",0,IF(ISNUMBER(SEARCH(Recherche!$B$4,D252))+ISNUMBER(SEARCH(Recherche!$B$4,K252))&gt;0,1,0))</f>
        <v>0</v>
      </c>
      <c r="T252" s="0" t="str">
        <f aca="false">IF(S252=1,SUM($S$2:S252),"")</f>
        <v/>
      </c>
    </row>
    <row r="253" customFormat="false" ht="15" hidden="false" customHeight="false" outlineLevel="0" collapsed="false">
      <c r="A253" s="20" t="s">
        <v>1538</v>
      </c>
      <c r="B253" s="20" t="s">
        <v>58</v>
      </c>
      <c r="C253" s="20" t="s">
        <v>1521</v>
      </c>
      <c r="D253" s="19" t="s">
        <v>333</v>
      </c>
      <c r="E253" s="22" t="s">
        <v>91</v>
      </c>
      <c r="F253" s="74" t="s">
        <v>81</v>
      </c>
      <c r="G253" s="74" t="s">
        <v>979</v>
      </c>
      <c r="H253" s="75" t="n">
        <v>4.14</v>
      </c>
      <c r="I253" s="21" t="n">
        <v>4.56</v>
      </c>
      <c r="J253" s="52" t="n">
        <v>9.2</v>
      </c>
      <c r="K253" s="19" t="s">
        <v>334</v>
      </c>
      <c r="L253" s="20" t="s">
        <v>1539</v>
      </c>
      <c r="M253" s="20" t="s">
        <v>1540</v>
      </c>
      <c r="N253" s="22" t="s">
        <v>91</v>
      </c>
      <c r="O253" s="20" t="s">
        <v>949</v>
      </c>
      <c r="P253" s="20" t="s">
        <v>169</v>
      </c>
      <c r="Q253" s="20" t="s">
        <v>1007</v>
      </c>
      <c r="R253" s="76" t="s">
        <v>95</v>
      </c>
      <c r="S253" s="0" t="n">
        <f aca="false">IF(Recherche!$B$4="",0,IF(ISNUMBER(SEARCH(Recherche!$B$4,D253))+ISNUMBER(SEARCH(Recherche!$B$4,K253))&gt;0,1,0))</f>
        <v>0</v>
      </c>
      <c r="T253" s="0" t="str">
        <f aca="false">IF(S253=1,SUM($S$2:S253),"")</f>
        <v/>
      </c>
    </row>
    <row r="254" customFormat="false" ht="23.85" hidden="false" customHeight="false" outlineLevel="0" collapsed="false">
      <c r="A254" s="24" t="s">
        <v>1538</v>
      </c>
      <c r="B254" s="24" t="s">
        <v>58</v>
      </c>
      <c r="C254" s="24" t="s">
        <v>1521</v>
      </c>
      <c r="D254" s="23" t="s">
        <v>333</v>
      </c>
      <c r="E254" s="26" t="s">
        <v>91</v>
      </c>
      <c r="F254" s="24" t="s">
        <v>80</v>
      </c>
      <c r="G254" s="24" t="s">
        <v>939</v>
      </c>
      <c r="H254" s="25" t="n">
        <v>5.51</v>
      </c>
      <c r="I254" s="25"/>
      <c r="J254" s="58"/>
      <c r="K254" s="23" t="s">
        <v>1541</v>
      </c>
      <c r="L254" s="24"/>
      <c r="M254" s="24" t="s">
        <v>1542</v>
      </c>
      <c r="N254" s="26" t="s">
        <v>91</v>
      </c>
      <c r="O254" s="24"/>
      <c r="P254" s="24" t="s">
        <v>303</v>
      </c>
      <c r="Q254" s="24" t="s">
        <v>942</v>
      </c>
      <c r="R254" s="73" t="s">
        <v>95</v>
      </c>
      <c r="S254" s="0" t="n">
        <f aca="false">IF(Recherche!$B$4="",0,IF(ISNUMBER(SEARCH(Recherche!$B$4,D254))+ISNUMBER(SEARCH(Recherche!$B$4,K254))&gt;0,1,0))</f>
        <v>0</v>
      </c>
      <c r="T254" s="0" t="str">
        <f aca="false">IF(S254=1,SUM($S$2:S254),"")</f>
        <v/>
      </c>
    </row>
    <row r="255" customFormat="false" ht="15" hidden="false" customHeight="false" outlineLevel="0" collapsed="false">
      <c r="A255" s="20" t="s">
        <v>1538</v>
      </c>
      <c r="B255" s="20" t="s">
        <v>58</v>
      </c>
      <c r="C255" s="20" t="s">
        <v>1521</v>
      </c>
      <c r="D255" s="19" t="s">
        <v>333</v>
      </c>
      <c r="E255" s="22" t="s">
        <v>91</v>
      </c>
      <c r="F255" s="74" t="s">
        <v>77</v>
      </c>
      <c r="G255" s="74" t="s">
        <v>979</v>
      </c>
      <c r="H255" s="75" t="n">
        <v>7.22</v>
      </c>
      <c r="I255" s="21" t="n">
        <v>7.22</v>
      </c>
      <c r="J255" s="52"/>
      <c r="K255" s="19" t="s">
        <v>1543</v>
      </c>
      <c r="L255" s="20" t="s">
        <v>1544</v>
      </c>
      <c r="M255" s="20" t="s">
        <v>1545</v>
      </c>
      <c r="N255" s="22" t="s">
        <v>91</v>
      </c>
      <c r="O255" s="20"/>
      <c r="P255" s="20" t="s">
        <v>114</v>
      </c>
      <c r="Q255" s="20" t="s">
        <v>983</v>
      </c>
      <c r="R255" s="76"/>
      <c r="S255" s="0" t="n">
        <f aca="false">IF(Recherche!$B$4="",0,IF(ISNUMBER(SEARCH(Recherche!$B$4,D255))+ISNUMBER(SEARCH(Recherche!$B$4,K255))&gt;0,1,0))</f>
        <v>0</v>
      </c>
      <c r="T255" s="0" t="str">
        <f aca="false">IF(S255=1,SUM($S$2:S255),"")</f>
        <v/>
      </c>
    </row>
    <row r="256" customFormat="false" ht="15" hidden="false" customHeight="false" outlineLevel="0" collapsed="false">
      <c r="A256" s="24" t="s">
        <v>1538</v>
      </c>
      <c r="B256" s="24" t="s">
        <v>58</v>
      </c>
      <c r="C256" s="24" t="s">
        <v>1521</v>
      </c>
      <c r="D256" s="23" t="s">
        <v>333</v>
      </c>
      <c r="E256" s="26" t="s">
        <v>91</v>
      </c>
      <c r="F256" s="24" t="s">
        <v>76</v>
      </c>
      <c r="G256" s="24" t="s">
        <v>939</v>
      </c>
      <c r="H256" s="25" t="n">
        <v>21.53</v>
      </c>
      <c r="I256" s="25"/>
      <c r="J256" s="58"/>
      <c r="K256" s="23" t="s">
        <v>1546</v>
      </c>
      <c r="L256" s="24" t="s">
        <v>1547</v>
      </c>
      <c r="M256" s="24" t="s">
        <v>1548</v>
      </c>
      <c r="N256" s="26" t="s">
        <v>91</v>
      </c>
      <c r="O256" s="24"/>
      <c r="P256" s="24" t="s">
        <v>93</v>
      </c>
      <c r="Q256" s="24" t="s">
        <v>1085</v>
      </c>
      <c r="R256" s="73" t="s">
        <v>95</v>
      </c>
      <c r="S256" s="0" t="n">
        <f aca="false">IF(Recherche!$B$4="",0,IF(ISNUMBER(SEARCH(Recherche!$B$4,D256))+ISNUMBER(SEARCH(Recherche!$B$4,K256))&gt;0,1,0))</f>
        <v>0</v>
      </c>
      <c r="T256" s="0" t="str">
        <f aca="false">IF(S256=1,SUM($S$2:S256),"")</f>
        <v/>
      </c>
    </row>
    <row r="257" customFormat="false" ht="15" hidden="false" customHeight="false" outlineLevel="0" collapsed="false">
      <c r="A257" s="20" t="s">
        <v>1549</v>
      </c>
      <c r="B257" s="20" t="s">
        <v>58</v>
      </c>
      <c r="C257" s="20" t="s">
        <v>1521</v>
      </c>
      <c r="D257" s="19" t="s">
        <v>335</v>
      </c>
      <c r="E257" s="22" t="s">
        <v>91</v>
      </c>
      <c r="F257" s="20" t="s">
        <v>76</v>
      </c>
      <c r="G257" s="20" t="s">
        <v>939</v>
      </c>
      <c r="H257" s="21" t="n">
        <v>19.45</v>
      </c>
      <c r="I257" s="21"/>
      <c r="J257" s="52"/>
      <c r="K257" s="19" t="s">
        <v>336</v>
      </c>
      <c r="L257" s="20" t="s">
        <v>1550</v>
      </c>
      <c r="M257" s="20" t="s">
        <v>1551</v>
      </c>
      <c r="N257" s="22" t="s">
        <v>91</v>
      </c>
      <c r="O257" s="20"/>
      <c r="P257" s="20" t="s">
        <v>93</v>
      </c>
      <c r="Q257" s="20" t="s">
        <v>1052</v>
      </c>
      <c r="R257" s="76" t="s">
        <v>95</v>
      </c>
      <c r="S257" s="0" t="n">
        <f aca="false">IF(Recherche!$B$4="",0,IF(ISNUMBER(SEARCH(Recherche!$B$4,D257))+ISNUMBER(SEARCH(Recherche!$B$4,K257))&gt;0,1,0))</f>
        <v>0</v>
      </c>
      <c r="T257" s="0" t="str">
        <f aca="false">IF(S257=1,SUM($S$2:S257),"")</f>
        <v/>
      </c>
    </row>
    <row r="258" customFormat="false" ht="23.85" hidden="false" customHeight="false" outlineLevel="0" collapsed="false">
      <c r="A258" s="24" t="s">
        <v>1549</v>
      </c>
      <c r="B258" s="24" t="s">
        <v>58</v>
      </c>
      <c r="C258" s="24" t="s">
        <v>1521</v>
      </c>
      <c r="D258" s="23" t="s">
        <v>335</v>
      </c>
      <c r="E258" s="26" t="s">
        <v>91</v>
      </c>
      <c r="F258" s="74" t="s">
        <v>81</v>
      </c>
      <c r="G258" s="74" t="s">
        <v>979</v>
      </c>
      <c r="H258" s="75" t="n">
        <v>23.93</v>
      </c>
      <c r="I258" s="25" t="n">
        <v>26.53</v>
      </c>
      <c r="J258" s="58" t="n">
        <v>9.8</v>
      </c>
      <c r="K258" s="23" t="s">
        <v>1552</v>
      </c>
      <c r="L258" s="24" t="s">
        <v>1550</v>
      </c>
      <c r="M258" s="24" t="s">
        <v>1553</v>
      </c>
      <c r="N258" s="26" t="s">
        <v>91</v>
      </c>
      <c r="O258" s="24" t="s">
        <v>949</v>
      </c>
      <c r="P258" s="24" t="s">
        <v>169</v>
      </c>
      <c r="Q258" s="24" t="s">
        <v>1007</v>
      </c>
      <c r="R258" s="73" t="s">
        <v>95</v>
      </c>
      <c r="S258" s="0" t="n">
        <f aca="false">IF(Recherche!$B$4="",0,IF(ISNUMBER(SEARCH(Recherche!$B$4,D258))+ISNUMBER(SEARCH(Recherche!$B$4,K258))&gt;0,1,0))</f>
        <v>0</v>
      </c>
      <c r="T258" s="0" t="str">
        <f aca="false">IF(S258=1,SUM($S$2:S258),"")</f>
        <v/>
      </c>
    </row>
    <row r="259" customFormat="false" ht="15" hidden="false" customHeight="false" outlineLevel="0" collapsed="false">
      <c r="A259" s="20" t="s">
        <v>1554</v>
      </c>
      <c r="B259" s="20" t="s">
        <v>58</v>
      </c>
      <c r="C259" s="20" t="s">
        <v>1521</v>
      </c>
      <c r="D259" s="19" t="s">
        <v>337</v>
      </c>
      <c r="E259" s="22" t="s">
        <v>91</v>
      </c>
      <c r="F259" s="20" t="s">
        <v>76</v>
      </c>
      <c r="G259" s="20" t="s">
        <v>939</v>
      </c>
      <c r="H259" s="21" t="n">
        <v>25.32</v>
      </c>
      <c r="I259" s="21"/>
      <c r="J259" s="52"/>
      <c r="K259" s="19" t="s">
        <v>338</v>
      </c>
      <c r="L259" s="20" t="s">
        <v>1550</v>
      </c>
      <c r="M259" s="20" t="s">
        <v>1555</v>
      </c>
      <c r="N259" s="22" t="s">
        <v>91</v>
      </c>
      <c r="O259" s="20"/>
      <c r="P259" s="20" t="s">
        <v>93</v>
      </c>
      <c r="Q259" s="20" t="s">
        <v>1085</v>
      </c>
      <c r="R259" s="76" t="s">
        <v>95</v>
      </c>
      <c r="S259" s="0" t="n">
        <f aca="false">IF(Recherche!$B$4="",0,IF(ISNUMBER(SEARCH(Recherche!$B$4,D259))+ISNUMBER(SEARCH(Recherche!$B$4,K259))&gt;0,1,0))</f>
        <v>0</v>
      </c>
      <c r="T259" s="0" t="str">
        <f aca="false">IF(S259=1,SUM($S$2:S259),"")</f>
        <v/>
      </c>
    </row>
    <row r="260" customFormat="false" ht="23.85" hidden="false" customHeight="false" outlineLevel="0" collapsed="false">
      <c r="A260" s="24" t="s">
        <v>1554</v>
      </c>
      <c r="B260" s="24" t="s">
        <v>58</v>
      </c>
      <c r="C260" s="24" t="s">
        <v>1521</v>
      </c>
      <c r="D260" s="23" t="s">
        <v>337</v>
      </c>
      <c r="E260" s="26" t="s">
        <v>91</v>
      </c>
      <c r="F260" s="74" t="s">
        <v>81</v>
      </c>
      <c r="G260" s="74" t="s">
        <v>979</v>
      </c>
      <c r="H260" s="75" t="n">
        <v>129.19</v>
      </c>
      <c r="I260" s="25" t="n">
        <v>161.54</v>
      </c>
      <c r="J260" s="58" t="n">
        <v>20</v>
      </c>
      <c r="K260" s="23" t="s">
        <v>1556</v>
      </c>
      <c r="L260" s="24" t="s">
        <v>1557</v>
      </c>
      <c r="M260" s="24" t="s">
        <v>1558</v>
      </c>
      <c r="N260" s="26" t="s">
        <v>91</v>
      </c>
      <c r="O260" s="24" t="s">
        <v>75</v>
      </c>
      <c r="P260" s="24" t="s">
        <v>169</v>
      </c>
      <c r="Q260" s="24" t="s">
        <v>1007</v>
      </c>
      <c r="R260" s="73" t="s">
        <v>95</v>
      </c>
      <c r="S260" s="0" t="n">
        <f aca="false">IF(Recherche!$B$4="",0,IF(ISNUMBER(SEARCH(Recherche!$B$4,D260))+ISNUMBER(SEARCH(Recherche!$B$4,K260))&gt;0,1,0))</f>
        <v>0</v>
      </c>
      <c r="T260" s="0" t="str">
        <f aca="false">IF(S260=1,SUM($S$2:S260),"")</f>
        <v/>
      </c>
    </row>
    <row r="261" customFormat="false" ht="23.85" hidden="false" customHeight="false" outlineLevel="0" collapsed="false">
      <c r="A261" s="20" t="s">
        <v>1559</v>
      </c>
      <c r="B261" s="20" t="s">
        <v>58</v>
      </c>
      <c r="C261" s="20" t="s">
        <v>1521</v>
      </c>
      <c r="D261" s="19" t="s">
        <v>339</v>
      </c>
      <c r="E261" s="22" t="s">
        <v>91</v>
      </c>
      <c r="F261" s="20" t="s">
        <v>76</v>
      </c>
      <c r="G261" s="20" t="s">
        <v>939</v>
      </c>
      <c r="H261" s="21" t="n">
        <v>2.59</v>
      </c>
      <c r="I261" s="21"/>
      <c r="J261" s="52"/>
      <c r="K261" s="19" t="s">
        <v>340</v>
      </c>
      <c r="L261" s="20" t="s">
        <v>1560</v>
      </c>
      <c r="M261" s="20" t="s">
        <v>1561</v>
      </c>
      <c r="N261" s="22" t="s">
        <v>91</v>
      </c>
      <c r="O261" s="20"/>
      <c r="P261" s="20" t="s">
        <v>93</v>
      </c>
      <c r="Q261" s="20" t="s">
        <v>1085</v>
      </c>
      <c r="R261" s="76" t="s">
        <v>95</v>
      </c>
      <c r="S261" s="0" t="n">
        <f aca="false">IF(Recherche!$B$4="",0,IF(ISNUMBER(SEARCH(Recherche!$B$4,D261))+ISNUMBER(SEARCH(Recherche!$B$4,K261))&gt;0,1,0))</f>
        <v>0</v>
      </c>
      <c r="T261" s="0" t="str">
        <f aca="false">IF(S261=1,SUM($S$2:S261),"")</f>
        <v/>
      </c>
    </row>
    <row r="262" customFormat="false" ht="15" hidden="false" customHeight="false" outlineLevel="0" collapsed="false">
      <c r="A262" s="24" t="s">
        <v>1559</v>
      </c>
      <c r="B262" s="24" t="s">
        <v>58</v>
      </c>
      <c r="C262" s="24" t="s">
        <v>1521</v>
      </c>
      <c r="D262" s="23" t="s">
        <v>339</v>
      </c>
      <c r="E262" s="26" t="s">
        <v>91</v>
      </c>
      <c r="F262" s="74" t="s">
        <v>79</v>
      </c>
      <c r="G262" s="74" t="s">
        <v>943</v>
      </c>
      <c r="H262" s="75" t="n">
        <v>2.74</v>
      </c>
      <c r="I262" s="25"/>
      <c r="J262" s="58"/>
      <c r="K262" s="23" t="s">
        <v>1562</v>
      </c>
      <c r="L262" s="24"/>
      <c r="M262" s="24" t="s">
        <v>1563</v>
      </c>
      <c r="N262" s="26" t="s">
        <v>91</v>
      </c>
      <c r="O262" s="24"/>
      <c r="P262" s="24" t="s">
        <v>313</v>
      </c>
      <c r="Q262" s="24" t="s">
        <v>1387</v>
      </c>
      <c r="R262" s="73" t="s">
        <v>95</v>
      </c>
      <c r="S262" s="0" t="n">
        <f aca="false">IF(Recherche!$B$4="",0,IF(ISNUMBER(SEARCH(Recherche!$B$4,D262))+ISNUMBER(SEARCH(Recherche!$B$4,K262))&gt;0,1,0))</f>
        <v>0</v>
      </c>
      <c r="T262" s="0" t="str">
        <f aca="false">IF(S262=1,SUM($S$2:S262),"")</f>
        <v/>
      </c>
    </row>
    <row r="263" customFormat="false" ht="15" hidden="false" customHeight="false" outlineLevel="0" collapsed="false">
      <c r="A263" s="20" t="s">
        <v>1559</v>
      </c>
      <c r="B263" s="20" t="s">
        <v>58</v>
      </c>
      <c r="C263" s="20" t="s">
        <v>1521</v>
      </c>
      <c r="D263" s="19" t="s">
        <v>339</v>
      </c>
      <c r="E263" s="22" t="s">
        <v>91</v>
      </c>
      <c r="F263" s="74" t="s">
        <v>81</v>
      </c>
      <c r="G263" s="74" t="s">
        <v>979</v>
      </c>
      <c r="H263" s="75" t="n">
        <v>2.81</v>
      </c>
      <c r="I263" s="21" t="n">
        <v>3.49</v>
      </c>
      <c r="J263" s="52" t="n">
        <v>19.5</v>
      </c>
      <c r="K263" s="19" t="s">
        <v>1564</v>
      </c>
      <c r="L263" s="20" t="s">
        <v>1565</v>
      </c>
      <c r="M263" s="20" t="s">
        <v>1566</v>
      </c>
      <c r="N263" s="22" t="s">
        <v>91</v>
      </c>
      <c r="O263" s="20" t="s">
        <v>949</v>
      </c>
      <c r="P263" s="20" t="s">
        <v>169</v>
      </c>
      <c r="Q263" s="20" t="s">
        <v>1007</v>
      </c>
      <c r="R263" s="76" t="s">
        <v>95</v>
      </c>
      <c r="S263" s="0" t="n">
        <f aca="false">IF(Recherche!$B$4="",0,IF(ISNUMBER(SEARCH(Recherche!$B$4,D263))+ISNUMBER(SEARCH(Recherche!$B$4,K263))&gt;0,1,0))</f>
        <v>0</v>
      </c>
      <c r="T263" s="0" t="str">
        <f aca="false">IF(S263=1,SUM($S$2:S263),"")</f>
        <v/>
      </c>
    </row>
    <row r="264" customFormat="false" ht="23.85" hidden="false" customHeight="false" outlineLevel="0" collapsed="false">
      <c r="A264" s="24" t="s">
        <v>1559</v>
      </c>
      <c r="B264" s="24" t="s">
        <v>58</v>
      </c>
      <c r="C264" s="24" t="s">
        <v>1521</v>
      </c>
      <c r="D264" s="23" t="s">
        <v>339</v>
      </c>
      <c r="E264" s="26" t="s">
        <v>91</v>
      </c>
      <c r="F264" s="24" t="s">
        <v>80</v>
      </c>
      <c r="G264" s="24" t="s">
        <v>939</v>
      </c>
      <c r="H264" s="25" t="n">
        <v>16.66</v>
      </c>
      <c r="I264" s="25"/>
      <c r="J264" s="58"/>
      <c r="K264" s="23" t="s">
        <v>1567</v>
      </c>
      <c r="L264" s="24"/>
      <c r="M264" s="24" t="s">
        <v>1568</v>
      </c>
      <c r="N264" s="26" t="s">
        <v>91</v>
      </c>
      <c r="O264" s="24"/>
      <c r="P264" s="24" t="s">
        <v>303</v>
      </c>
      <c r="Q264" s="24" t="s">
        <v>1085</v>
      </c>
      <c r="R264" s="73" t="s">
        <v>95</v>
      </c>
      <c r="S264" s="0" t="n">
        <f aca="false">IF(Recherche!$B$4="",0,IF(ISNUMBER(SEARCH(Recherche!$B$4,D264))+ISNUMBER(SEARCH(Recherche!$B$4,K264))&gt;0,1,0))</f>
        <v>0</v>
      </c>
      <c r="T264" s="0" t="str">
        <f aca="false">IF(S264=1,SUM($S$2:S264),"")</f>
        <v/>
      </c>
    </row>
    <row r="265" customFormat="false" ht="15" hidden="false" customHeight="false" outlineLevel="0" collapsed="false">
      <c r="A265" s="20" t="s">
        <v>1559</v>
      </c>
      <c r="B265" s="20" t="s">
        <v>58</v>
      </c>
      <c r="C265" s="20" t="s">
        <v>1521</v>
      </c>
      <c r="D265" s="19" t="s">
        <v>339</v>
      </c>
      <c r="E265" s="22" t="s">
        <v>91</v>
      </c>
      <c r="F265" s="74" t="s">
        <v>77</v>
      </c>
      <c r="G265" s="74" t="s">
        <v>979</v>
      </c>
      <c r="H265" s="75" t="n">
        <v>99.84</v>
      </c>
      <c r="I265" s="21" t="n">
        <v>99.84</v>
      </c>
      <c r="J265" s="52"/>
      <c r="K265" s="19" t="s">
        <v>1569</v>
      </c>
      <c r="L265" s="20" t="s">
        <v>1560</v>
      </c>
      <c r="M265" s="20" t="s">
        <v>1570</v>
      </c>
      <c r="N265" s="22" t="s">
        <v>91</v>
      </c>
      <c r="O265" s="20"/>
      <c r="P265" s="20" t="s">
        <v>114</v>
      </c>
      <c r="Q265" s="20" t="s">
        <v>983</v>
      </c>
      <c r="R265" s="76"/>
      <c r="S265" s="0" t="n">
        <f aca="false">IF(Recherche!$B$4="",0,IF(ISNUMBER(SEARCH(Recherche!$B$4,D265))+ISNUMBER(SEARCH(Recherche!$B$4,K265))&gt;0,1,0))</f>
        <v>0</v>
      </c>
      <c r="T265" s="0" t="str">
        <f aca="false">IF(S265=1,SUM($S$2:S265),"")</f>
        <v/>
      </c>
    </row>
    <row r="266" customFormat="false" ht="15" hidden="false" customHeight="false" outlineLevel="0" collapsed="false">
      <c r="A266" s="24" t="s">
        <v>1571</v>
      </c>
      <c r="B266" s="24" t="s">
        <v>58</v>
      </c>
      <c r="C266" s="24" t="s">
        <v>1521</v>
      </c>
      <c r="D266" s="23" t="s">
        <v>341</v>
      </c>
      <c r="E266" s="26" t="s">
        <v>91</v>
      </c>
      <c r="F266" s="74" t="s">
        <v>79</v>
      </c>
      <c r="G266" s="74" t="s">
        <v>943</v>
      </c>
      <c r="H266" s="75" t="n">
        <v>12.23</v>
      </c>
      <c r="I266" s="25"/>
      <c r="J266" s="58"/>
      <c r="K266" s="23" t="s">
        <v>342</v>
      </c>
      <c r="L266" s="24"/>
      <c r="M266" s="24" t="s">
        <v>1572</v>
      </c>
      <c r="N266" s="26" t="s">
        <v>91</v>
      </c>
      <c r="O266" s="24"/>
      <c r="P266" s="24" t="s">
        <v>313</v>
      </c>
      <c r="Q266" s="24" t="s">
        <v>1387</v>
      </c>
      <c r="R266" s="73" t="s">
        <v>95</v>
      </c>
      <c r="S266" s="0" t="n">
        <f aca="false">IF(Recherche!$B$4="",0,IF(ISNUMBER(SEARCH(Recherche!$B$4,D266))+ISNUMBER(SEARCH(Recherche!$B$4,K266))&gt;0,1,0))</f>
        <v>0</v>
      </c>
      <c r="T266" s="0" t="str">
        <f aca="false">IF(S266=1,SUM($S$2:S266),"")</f>
        <v/>
      </c>
    </row>
    <row r="267" customFormat="false" ht="15" hidden="false" customHeight="false" outlineLevel="0" collapsed="false">
      <c r="A267" s="20" t="s">
        <v>1571</v>
      </c>
      <c r="B267" s="20" t="s">
        <v>58</v>
      </c>
      <c r="C267" s="20" t="s">
        <v>1521</v>
      </c>
      <c r="D267" s="19" t="s">
        <v>341</v>
      </c>
      <c r="E267" s="22" t="s">
        <v>91</v>
      </c>
      <c r="F267" s="74" t="s">
        <v>81</v>
      </c>
      <c r="G267" s="74" t="s">
        <v>979</v>
      </c>
      <c r="H267" s="75" t="n">
        <v>22.2</v>
      </c>
      <c r="I267" s="21" t="n">
        <v>23.37</v>
      </c>
      <c r="J267" s="52" t="n">
        <v>5</v>
      </c>
      <c r="K267" s="19" t="s">
        <v>1573</v>
      </c>
      <c r="L267" s="20" t="s">
        <v>1574</v>
      </c>
      <c r="M267" s="20" t="s">
        <v>1575</v>
      </c>
      <c r="N267" s="22" t="s">
        <v>91</v>
      </c>
      <c r="O267" s="20" t="s">
        <v>949</v>
      </c>
      <c r="P267" s="20" t="s">
        <v>169</v>
      </c>
      <c r="Q267" s="20" t="s">
        <v>1007</v>
      </c>
      <c r="R267" s="76" t="s">
        <v>95</v>
      </c>
      <c r="S267" s="0" t="n">
        <f aca="false">IF(Recherche!$B$4="",0,IF(ISNUMBER(SEARCH(Recherche!$B$4,D267))+ISNUMBER(SEARCH(Recherche!$B$4,K267))&gt;0,1,0))</f>
        <v>0</v>
      </c>
      <c r="T267" s="0" t="str">
        <f aca="false">IF(S267=1,SUM($S$2:S267),"")</f>
        <v/>
      </c>
    </row>
    <row r="268" customFormat="false" ht="23.85" hidden="false" customHeight="false" outlineLevel="0" collapsed="false">
      <c r="A268" s="24" t="s">
        <v>1571</v>
      </c>
      <c r="B268" s="24" t="s">
        <v>58</v>
      </c>
      <c r="C268" s="24" t="s">
        <v>1521</v>
      </c>
      <c r="D268" s="23" t="s">
        <v>341</v>
      </c>
      <c r="E268" s="26" t="s">
        <v>91</v>
      </c>
      <c r="F268" s="74" t="s">
        <v>77</v>
      </c>
      <c r="G268" s="74" t="s">
        <v>979</v>
      </c>
      <c r="H268" s="75" t="n">
        <v>80.65</v>
      </c>
      <c r="I268" s="25" t="n">
        <v>100.81</v>
      </c>
      <c r="J268" s="58" t="n">
        <v>20</v>
      </c>
      <c r="K268" s="23" t="s">
        <v>1576</v>
      </c>
      <c r="L268" s="24" t="s">
        <v>1577</v>
      </c>
      <c r="M268" s="24" t="s">
        <v>1578</v>
      </c>
      <c r="N268" s="26" t="s">
        <v>91</v>
      </c>
      <c r="O268" s="24"/>
      <c r="P268" s="24" t="s">
        <v>114</v>
      </c>
      <c r="Q268" s="24" t="s">
        <v>983</v>
      </c>
      <c r="R268" s="73"/>
      <c r="S268" s="0" t="n">
        <f aca="false">IF(Recherche!$B$4="",0,IF(ISNUMBER(SEARCH(Recherche!$B$4,D268))+ISNUMBER(SEARCH(Recherche!$B$4,K268))&gt;0,1,0))</f>
        <v>0</v>
      </c>
      <c r="T268" s="0" t="str">
        <f aca="false">IF(S268=1,SUM($S$2:S268),"")</f>
        <v/>
      </c>
    </row>
    <row r="269" customFormat="false" ht="15" hidden="false" customHeight="false" outlineLevel="0" collapsed="false">
      <c r="A269" s="20" t="s">
        <v>1571</v>
      </c>
      <c r="B269" s="20" t="s">
        <v>58</v>
      </c>
      <c r="C269" s="20" t="s">
        <v>1521</v>
      </c>
      <c r="D269" s="19" t="s">
        <v>341</v>
      </c>
      <c r="E269" s="22" t="s">
        <v>91</v>
      </c>
      <c r="F269" s="20" t="s">
        <v>76</v>
      </c>
      <c r="G269" s="20" t="s">
        <v>939</v>
      </c>
      <c r="H269" s="21" t="n">
        <v>99.26</v>
      </c>
      <c r="I269" s="21"/>
      <c r="J269" s="52"/>
      <c r="K269" s="19" t="s">
        <v>1579</v>
      </c>
      <c r="L269" s="20" t="s">
        <v>1550</v>
      </c>
      <c r="M269" s="20" t="s">
        <v>1580</v>
      </c>
      <c r="N269" s="22" t="s">
        <v>91</v>
      </c>
      <c r="O269" s="20"/>
      <c r="P269" s="20" t="s">
        <v>93</v>
      </c>
      <c r="Q269" s="20" t="s">
        <v>1085</v>
      </c>
      <c r="R269" s="76" t="s">
        <v>95</v>
      </c>
      <c r="S269" s="0" t="n">
        <f aca="false">IF(Recherche!$B$4="",0,IF(ISNUMBER(SEARCH(Recherche!$B$4,D269))+ISNUMBER(SEARCH(Recherche!$B$4,K269))&gt;0,1,0))</f>
        <v>0</v>
      </c>
      <c r="T269" s="0" t="str">
        <f aca="false">IF(S269=1,SUM($S$2:S269),"")</f>
        <v/>
      </c>
    </row>
    <row r="270" customFormat="false" ht="15" hidden="false" customHeight="false" outlineLevel="0" collapsed="false">
      <c r="A270" s="24" t="s">
        <v>1581</v>
      </c>
      <c r="B270" s="24" t="s">
        <v>58</v>
      </c>
      <c r="C270" s="24" t="s">
        <v>1521</v>
      </c>
      <c r="D270" s="23" t="s">
        <v>343</v>
      </c>
      <c r="E270" s="26" t="s">
        <v>344</v>
      </c>
      <c r="F270" s="24" t="s">
        <v>76</v>
      </c>
      <c r="G270" s="24" t="s">
        <v>939</v>
      </c>
      <c r="H270" s="25" t="n">
        <v>9.6</v>
      </c>
      <c r="I270" s="25"/>
      <c r="J270" s="58"/>
      <c r="K270" s="23" t="s">
        <v>345</v>
      </c>
      <c r="L270" s="24" t="s">
        <v>1293</v>
      </c>
      <c r="M270" s="24" t="s">
        <v>1582</v>
      </c>
      <c r="N270" s="26" t="s">
        <v>344</v>
      </c>
      <c r="O270" s="24"/>
      <c r="P270" s="24" t="s">
        <v>93</v>
      </c>
      <c r="Q270" s="24" t="s">
        <v>942</v>
      </c>
      <c r="R270" s="73" t="s">
        <v>95</v>
      </c>
      <c r="S270" s="0" t="n">
        <f aca="false">IF(Recherche!$B$4="",0,IF(ISNUMBER(SEARCH(Recherche!$B$4,D270))+ISNUMBER(SEARCH(Recherche!$B$4,K270))&gt;0,1,0))</f>
        <v>0</v>
      </c>
      <c r="T270" s="0" t="str">
        <f aca="false">IF(S270=1,SUM($S$2:S270),"")</f>
        <v/>
      </c>
    </row>
    <row r="271" customFormat="false" ht="23.85" hidden="false" customHeight="false" outlineLevel="0" collapsed="false">
      <c r="A271" s="20" t="s">
        <v>1581</v>
      </c>
      <c r="B271" s="20" t="s">
        <v>58</v>
      </c>
      <c r="C271" s="20" t="s">
        <v>1521</v>
      </c>
      <c r="D271" s="19" t="s">
        <v>343</v>
      </c>
      <c r="E271" s="22" t="s">
        <v>344</v>
      </c>
      <c r="F271" s="20" t="s">
        <v>80</v>
      </c>
      <c r="G271" s="20" t="s">
        <v>939</v>
      </c>
      <c r="H271" s="21" t="n">
        <v>10.18</v>
      </c>
      <c r="I271" s="21"/>
      <c r="J271" s="52"/>
      <c r="K271" s="19" t="s">
        <v>1583</v>
      </c>
      <c r="L271" s="20"/>
      <c r="M271" s="20" t="s">
        <v>1584</v>
      </c>
      <c r="N271" s="22" t="s">
        <v>91</v>
      </c>
      <c r="O271" s="20"/>
      <c r="P271" s="20" t="s">
        <v>303</v>
      </c>
      <c r="Q271" s="20" t="s">
        <v>942</v>
      </c>
      <c r="R271" s="76" t="s">
        <v>95</v>
      </c>
      <c r="S271" s="0" t="n">
        <f aca="false">IF(Recherche!$B$4="",0,IF(ISNUMBER(SEARCH(Recherche!$B$4,D271))+ISNUMBER(SEARCH(Recherche!$B$4,K271))&gt;0,1,0))</f>
        <v>0</v>
      </c>
      <c r="T271" s="0" t="str">
        <f aca="false">IF(S271=1,SUM($S$2:S271),"")</f>
        <v/>
      </c>
    </row>
    <row r="272" customFormat="false" ht="15" hidden="false" customHeight="false" outlineLevel="0" collapsed="false">
      <c r="A272" s="24" t="s">
        <v>1581</v>
      </c>
      <c r="B272" s="24" t="s">
        <v>58</v>
      </c>
      <c r="C272" s="24" t="s">
        <v>1521</v>
      </c>
      <c r="D272" s="23" t="s">
        <v>343</v>
      </c>
      <c r="E272" s="26" t="s">
        <v>344</v>
      </c>
      <c r="F272" s="74" t="s">
        <v>81</v>
      </c>
      <c r="G272" s="74" t="s">
        <v>979</v>
      </c>
      <c r="H272" s="75" t="n">
        <v>10.48</v>
      </c>
      <c r="I272" s="25" t="n">
        <v>10.98</v>
      </c>
      <c r="J272" s="58" t="n">
        <v>4.6</v>
      </c>
      <c r="K272" s="23" t="s">
        <v>1585</v>
      </c>
      <c r="L272" s="24" t="s">
        <v>1274</v>
      </c>
      <c r="M272" s="24" t="s">
        <v>1586</v>
      </c>
      <c r="N272" s="26" t="s">
        <v>91</v>
      </c>
      <c r="O272" s="24" t="s">
        <v>949</v>
      </c>
      <c r="P272" s="24" t="s">
        <v>119</v>
      </c>
      <c r="Q272" s="24" t="s">
        <v>1007</v>
      </c>
      <c r="R272" s="73" t="s">
        <v>95</v>
      </c>
      <c r="S272" s="0" t="n">
        <f aca="false">IF(Recherche!$B$4="",0,IF(ISNUMBER(SEARCH(Recherche!$B$4,D272))+ISNUMBER(SEARCH(Recherche!$B$4,K272))&gt;0,1,0))</f>
        <v>0</v>
      </c>
      <c r="T272" s="0" t="str">
        <f aca="false">IF(S272=1,SUM($S$2:S272),"")</f>
        <v/>
      </c>
    </row>
    <row r="273" customFormat="false" ht="15" hidden="false" customHeight="false" outlineLevel="0" collapsed="false">
      <c r="A273" s="20" t="s">
        <v>1581</v>
      </c>
      <c r="B273" s="20" t="s">
        <v>58</v>
      </c>
      <c r="C273" s="20" t="s">
        <v>1521</v>
      </c>
      <c r="D273" s="19" t="s">
        <v>343</v>
      </c>
      <c r="E273" s="22" t="s">
        <v>344</v>
      </c>
      <c r="F273" s="74" t="s">
        <v>77</v>
      </c>
      <c r="G273" s="74" t="s">
        <v>979</v>
      </c>
      <c r="H273" s="75" t="n">
        <v>26.75</v>
      </c>
      <c r="I273" s="21" t="n">
        <v>26.75</v>
      </c>
      <c r="J273" s="52"/>
      <c r="K273" s="19" t="s">
        <v>1587</v>
      </c>
      <c r="L273" s="20" t="s">
        <v>1588</v>
      </c>
      <c r="M273" s="20" t="s">
        <v>1589</v>
      </c>
      <c r="N273" s="22" t="s">
        <v>91</v>
      </c>
      <c r="O273" s="20"/>
      <c r="P273" s="20" t="s">
        <v>114</v>
      </c>
      <c r="Q273" s="20" t="s">
        <v>983</v>
      </c>
      <c r="R273" s="76"/>
      <c r="S273" s="0" t="n">
        <f aca="false">IF(Recherche!$B$4="",0,IF(ISNUMBER(SEARCH(Recherche!$B$4,D273))+ISNUMBER(SEARCH(Recherche!$B$4,K273))&gt;0,1,0))</f>
        <v>0</v>
      </c>
      <c r="T273" s="0" t="str">
        <f aca="false">IF(S273=1,SUM($S$2:S273),"")</f>
        <v/>
      </c>
    </row>
    <row r="274" customFormat="false" ht="23.85" hidden="false" customHeight="false" outlineLevel="0" collapsed="false">
      <c r="A274" s="24" t="s">
        <v>1590</v>
      </c>
      <c r="B274" s="24" t="s">
        <v>58</v>
      </c>
      <c r="C274" s="24" t="s">
        <v>1591</v>
      </c>
      <c r="D274" s="23" t="s">
        <v>346</v>
      </c>
      <c r="E274" s="26" t="s">
        <v>91</v>
      </c>
      <c r="F274" s="74" t="s">
        <v>81</v>
      </c>
      <c r="G274" s="74" t="s">
        <v>979</v>
      </c>
      <c r="H274" s="75" t="n">
        <v>70.88</v>
      </c>
      <c r="I274" s="25" t="n">
        <v>83.24</v>
      </c>
      <c r="J274" s="58" t="n">
        <v>14.8</v>
      </c>
      <c r="K274" s="23" t="s">
        <v>347</v>
      </c>
      <c r="L274" s="24" t="s">
        <v>1547</v>
      </c>
      <c r="M274" s="24" t="s">
        <v>1592</v>
      </c>
      <c r="N274" s="26" t="s">
        <v>91</v>
      </c>
      <c r="O274" s="24" t="s">
        <v>75</v>
      </c>
      <c r="P274" s="24" t="s">
        <v>169</v>
      </c>
      <c r="Q274" s="24" t="s">
        <v>1007</v>
      </c>
      <c r="R274" s="73" t="s">
        <v>95</v>
      </c>
      <c r="S274" s="0" t="n">
        <f aca="false">IF(Recherche!$B$4="",0,IF(ISNUMBER(SEARCH(Recherche!$B$4,D274))+ISNUMBER(SEARCH(Recherche!$B$4,K274))&gt;0,1,0))</f>
        <v>0</v>
      </c>
      <c r="T274" s="0" t="str">
        <f aca="false">IF(S274=1,SUM($S$2:S274),"")</f>
        <v/>
      </c>
    </row>
    <row r="275" customFormat="false" ht="23.85" hidden="false" customHeight="false" outlineLevel="0" collapsed="false">
      <c r="A275" s="20" t="s">
        <v>1590</v>
      </c>
      <c r="B275" s="20" t="s">
        <v>58</v>
      </c>
      <c r="C275" s="20" t="s">
        <v>1591</v>
      </c>
      <c r="D275" s="19" t="s">
        <v>346</v>
      </c>
      <c r="E275" s="22" t="s">
        <v>91</v>
      </c>
      <c r="F275" s="74" t="s">
        <v>77</v>
      </c>
      <c r="G275" s="74" t="s">
        <v>979</v>
      </c>
      <c r="H275" s="75" t="n">
        <v>119.89</v>
      </c>
      <c r="I275" s="21" t="n">
        <v>119.89</v>
      </c>
      <c r="J275" s="52"/>
      <c r="K275" s="19" t="s">
        <v>1593</v>
      </c>
      <c r="L275" s="20" t="s">
        <v>1481</v>
      </c>
      <c r="M275" s="20" t="s">
        <v>1594</v>
      </c>
      <c r="N275" s="22" t="s">
        <v>91</v>
      </c>
      <c r="O275" s="20"/>
      <c r="P275" s="20" t="s">
        <v>114</v>
      </c>
      <c r="Q275" s="20" t="s">
        <v>983</v>
      </c>
      <c r="R275" s="76"/>
      <c r="S275" s="0" t="n">
        <f aca="false">IF(Recherche!$B$4="",0,IF(ISNUMBER(SEARCH(Recherche!$B$4,D275))+ISNUMBER(SEARCH(Recherche!$B$4,K275))&gt;0,1,0))</f>
        <v>0</v>
      </c>
      <c r="T275" s="0" t="str">
        <f aca="false">IF(S275=1,SUM($S$2:S275),"")</f>
        <v/>
      </c>
    </row>
    <row r="276" customFormat="false" ht="23.85" hidden="false" customHeight="false" outlineLevel="0" collapsed="false">
      <c r="A276" s="24" t="s">
        <v>1590</v>
      </c>
      <c r="B276" s="24" t="s">
        <v>58</v>
      </c>
      <c r="C276" s="24" t="s">
        <v>1591</v>
      </c>
      <c r="D276" s="23" t="s">
        <v>346</v>
      </c>
      <c r="E276" s="26" t="s">
        <v>91</v>
      </c>
      <c r="F276" s="24" t="s">
        <v>76</v>
      </c>
      <c r="G276" s="24" t="s">
        <v>939</v>
      </c>
      <c r="H276" s="25" t="n">
        <v>310.97</v>
      </c>
      <c r="I276" s="25"/>
      <c r="J276" s="58"/>
      <c r="K276" s="23" t="s">
        <v>1595</v>
      </c>
      <c r="L276" s="24" t="s">
        <v>1596</v>
      </c>
      <c r="M276" s="24" t="s">
        <v>1597</v>
      </c>
      <c r="N276" s="26" t="s">
        <v>91</v>
      </c>
      <c r="O276" s="24"/>
      <c r="P276" s="24" t="s">
        <v>93</v>
      </c>
      <c r="Q276" s="24" t="s">
        <v>942</v>
      </c>
      <c r="R276" s="73" t="s">
        <v>95</v>
      </c>
      <c r="S276" s="0" t="n">
        <f aca="false">IF(Recherche!$B$4="",0,IF(ISNUMBER(SEARCH(Recherche!$B$4,D276))+ISNUMBER(SEARCH(Recherche!$B$4,K276))&gt;0,1,0))</f>
        <v>0</v>
      </c>
      <c r="T276" s="0" t="str">
        <f aca="false">IF(S276=1,SUM($S$2:S276),"")</f>
        <v/>
      </c>
    </row>
    <row r="277" customFormat="false" ht="23.85" hidden="false" customHeight="false" outlineLevel="0" collapsed="false">
      <c r="A277" s="20" t="s">
        <v>1598</v>
      </c>
      <c r="B277" s="20" t="s">
        <v>58</v>
      </c>
      <c r="C277" s="20" t="s">
        <v>1591</v>
      </c>
      <c r="D277" s="19" t="s">
        <v>348</v>
      </c>
      <c r="E277" s="22" t="s">
        <v>91</v>
      </c>
      <c r="F277" s="74" t="s">
        <v>81</v>
      </c>
      <c r="G277" s="74" t="s">
        <v>979</v>
      </c>
      <c r="H277" s="75" t="n">
        <v>43.11</v>
      </c>
      <c r="I277" s="21" t="n">
        <v>57.33</v>
      </c>
      <c r="J277" s="52" t="n">
        <v>24.8</v>
      </c>
      <c r="K277" s="19" t="s">
        <v>349</v>
      </c>
      <c r="L277" s="20" t="s">
        <v>1471</v>
      </c>
      <c r="M277" s="20" t="s">
        <v>1599</v>
      </c>
      <c r="N277" s="22" t="s">
        <v>91</v>
      </c>
      <c r="O277" s="20" t="s">
        <v>949</v>
      </c>
      <c r="P277" s="20" t="s">
        <v>169</v>
      </c>
      <c r="Q277" s="20" t="s">
        <v>1007</v>
      </c>
      <c r="R277" s="76" t="s">
        <v>95</v>
      </c>
      <c r="S277" s="0" t="n">
        <f aca="false">IF(Recherche!$B$4="",0,IF(ISNUMBER(SEARCH(Recherche!$B$4,D277))+ISNUMBER(SEARCH(Recherche!$B$4,K277))&gt;0,1,0))</f>
        <v>0</v>
      </c>
      <c r="T277" s="0" t="str">
        <f aca="false">IF(S277=1,SUM($S$2:S277),"")</f>
        <v/>
      </c>
    </row>
    <row r="278" customFormat="false" ht="15" hidden="false" customHeight="false" outlineLevel="0" collapsed="false">
      <c r="A278" s="24" t="s">
        <v>1598</v>
      </c>
      <c r="B278" s="24" t="s">
        <v>58</v>
      </c>
      <c r="C278" s="24" t="s">
        <v>1591</v>
      </c>
      <c r="D278" s="23" t="s">
        <v>348</v>
      </c>
      <c r="E278" s="26" t="s">
        <v>91</v>
      </c>
      <c r="F278" s="74" t="s">
        <v>79</v>
      </c>
      <c r="G278" s="74" t="s">
        <v>943</v>
      </c>
      <c r="H278" s="75" t="n">
        <v>75</v>
      </c>
      <c r="I278" s="25"/>
      <c r="J278" s="58"/>
      <c r="K278" s="23" t="s">
        <v>1600</v>
      </c>
      <c r="L278" s="24"/>
      <c r="M278" s="24" t="s">
        <v>1601</v>
      </c>
      <c r="N278" s="26" t="s">
        <v>91</v>
      </c>
      <c r="O278" s="24"/>
      <c r="P278" s="24" t="s">
        <v>313</v>
      </c>
      <c r="Q278" s="24" t="s">
        <v>1016</v>
      </c>
      <c r="R278" s="73" t="s">
        <v>95</v>
      </c>
      <c r="S278" s="0" t="n">
        <f aca="false">IF(Recherche!$B$4="",0,IF(ISNUMBER(SEARCH(Recherche!$B$4,D278))+ISNUMBER(SEARCH(Recherche!$B$4,K278))&gt;0,1,0))</f>
        <v>0</v>
      </c>
      <c r="T278" s="0" t="str">
        <f aca="false">IF(S278=1,SUM($S$2:S278),"")</f>
        <v/>
      </c>
    </row>
    <row r="279" customFormat="false" ht="15" hidden="false" customHeight="false" outlineLevel="0" collapsed="false">
      <c r="A279" s="20" t="s">
        <v>1598</v>
      </c>
      <c r="B279" s="20" t="s">
        <v>58</v>
      </c>
      <c r="C279" s="20" t="s">
        <v>1591</v>
      </c>
      <c r="D279" s="19" t="s">
        <v>348</v>
      </c>
      <c r="E279" s="22" t="s">
        <v>91</v>
      </c>
      <c r="F279" s="74" t="s">
        <v>77</v>
      </c>
      <c r="G279" s="74" t="s">
        <v>979</v>
      </c>
      <c r="H279" s="75" t="n">
        <v>106.25</v>
      </c>
      <c r="I279" s="21" t="n">
        <v>106.25</v>
      </c>
      <c r="J279" s="52"/>
      <c r="K279" s="19" t="s">
        <v>1602</v>
      </c>
      <c r="L279" s="20" t="s">
        <v>1603</v>
      </c>
      <c r="M279" s="20" t="s">
        <v>1604</v>
      </c>
      <c r="N279" s="22" t="s">
        <v>91</v>
      </c>
      <c r="O279" s="20"/>
      <c r="P279" s="20" t="s">
        <v>114</v>
      </c>
      <c r="Q279" s="20" t="s">
        <v>983</v>
      </c>
      <c r="R279" s="76"/>
      <c r="S279" s="0" t="n">
        <f aca="false">IF(Recherche!$B$4="",0,IF(ISNUMBER(SEARCH(Recherche!$B$4,D279))+ISNUMBER(SEARCH(Recherche!$B$4,K279))&gt;0,1,0))</f>
        <v>0</v>
      </c>
      <c r="T279" s="0" t="str">
        <f aca="false">IF(S279=1,SUM($S$2:S279),"")</f>
        <v/>
      </c>
    </row>
    <row r="280" customFormat="false" ht="23.85" hidden="false" customHeight="false" outlineLevel="0" collapsed="false">
      <c r="A280" s="24" t="s">
        <v>1598</v>
      </c>
      <c r="B280" s="24" t="s">
        <v>58</v>
      </c>
      <c r="C280" s="24" t="s">
        <v>1591</v>
      </c>
      <c r="D280" s="23" t="s">
        <v>348</v>
      </c>
      <c r="E280" s="26" t="s">
        <v>91</v>
      </c>
      <c r="F280" s="24" t="s">
        <v>76</v>
      </c>
      <c r="G280" s="24" t="s">
        <v>939</v>
      </c>
      <c r="H280" s="25" t="n">
        <v>235.9</v>
      </c>
      <c r="I280" s="25"/>
      <c r="J280" s="58"/>
      <c r="K280" s="23" t="s">
        <v>1605</v>
      </c>
      <c r="L280" s="24" t="s">
        <v>1606</v>
      </c>
      <c r="M280" s="24" t="s">
        <v>1607</v>
      </c>
      <c r="N280" s="26" t="s">
        <v>91</v>
      </c>
      <c r="O280" s="24"/>
      <c r="P280" s="24" t="s">
        <v>93</v>
      </c>
      <c r="Q280" s="24" t="s">
        <v>963</v>
      </c>
      <c r="R280" s="73" t="s">
        <v>95</v>
      </c>
      <c r="S280" s="0" t="n">
        <f aca="false">IF(Recherche!$B$4="",0,IF(ISNUMBER(SEARCH(Recherche!$B$4,D280))+ISNUMBER(SEARCH(Recherche!$B$4,K280))&gt;0,1,0))</f>
        <v>0</v>
      </c>
      <c r="T280" s="0" t="str">
        <f aca="false">IF(S280=1,SUM($S$2:S280),"")</f>
        <v/>
      </c>
    </row>
    <row r="281" customFormat="false" ht="23.85" hidden="false" customHeight="false" outlineLevel="0" collapsed="false">
      <c r="A281" s="20" t="s">
        <v>1608</v>
      </c>
      <c r="B281" s="20" t="s">
        <v>58</v>
      </c>
      <c r="C281" s="20" t="s">
        <v>1591</v>
      </c>
      <c r="D281" s="19" t="s">
        <v>350</v>
      </c>
      <c r="E281" s="22" t="s">
        <v>351</v>
      </c>
      <c r="F281" s="74" t="s">
        <v>79</v>
      </c>
      <c r="G281" s="74" t="s">
        <v>943</v>
      </c>
      <c r="H281" s="75" t="n">
        <v>276</v>
      </c>
      <c r="I281" s="21"/>
      <c r="J281" s="52"/>
      <c r="K281" s="19" t="s">
        <v>1609</v>
      </c>
      <c r="L281" s="20"/>
      <c r="M281" s="20" t="s">
        <v>1610</v>
      </c>
      <c r="N281" s="22" t="s">
        <v>91</v>
      </c>
      <c r="O281" s="20"/>
      <c r="P281" s="20" t="s">
        <v>313</v>
      </c>
      <c r="Q281" s="20" t="s">
        <v>1387</v>
      </c>
      <c r="R281" s="76" t="s">
        <v>95</v>
      </c>
      <c r="S281" s="0" t="n">
        <f aca="false">IF(Recherche!$B$4="",0,IF(ISNUMBER(SEARCH(Recherche!$B$4,D281))+ISNUMBER(SEARCH(Recherche!$B$4,K281))&gt;0,1,0))</f>
        <v>0</v>
      </c>
      <c r="T281" s="0" t="str">
        <f aca="false">IF(S281=1,SUM($S$2:S281),"")</f>
        <v/>
      </c>
    </row>
    <row r="282" customFormat="false" ht="35.05" hidden="false" customHeight="false" outlineLevel="0" collapsed="false">
      <c r="A282" s="24" t="s">
        <v>1608</v>
      </c>
      <c r="B282" s="24" t="s">
        <v>58</v>
      </c>
      <c r="C282" s="24" t="s">
        <v>1591</v>
      </c>
      <c r="D282" s="23" t="s">
        <v>350</v>
      </c>
      <c r="E282" s="26" t="s">
        <v>351</v>
      </c>
      <c r="F282" s="74" t="s">
        <v>81</v>
      </c>
      <c r="G282" s="74" t="s">
        <v>979</v>
      </c>
      <c r="H282" s="75" t="n">
        <v>601.1</v>
      </c>
      <c r="I282" s="25" t="n">
        <v>750.94</v>
      </c>
      <c r="J282" s="58" t="n">
        <v>20</v>
      </c>
      <c r="K282" s="23" t="s">
        <v>1611</v>
      </c>
      <c r="L282" s="24" t="s">
        <v>1547</v>
      </c>
      <c r="M282" s="24" t="s">
        <v>1612</v>
      </c>
      <c r="N282" s="26" t="s">
        <v>91</v>
      </c>
      <c r="O282" s="24" t="s">
        <v>949</v>
      </c>
      <c r="P282" s="24" t="s">
        <v>169</v>
      </c>
      <c r="Q282" s="24" t="s">
        <v>1007</v>
      </c>
      <c r="R282" s="73" t="s">
        <v>95</v>
      </c>
      <c r="S282" s="0" t="n">
        <f aca="false">IF(Recherche!$B$4="",0,IF(ISNUMBER(SEARCH(Recherche!$B$4,D282))+ISNUMBER(SEARCH(Recherche!$B$4,K282))&gt;0,1,0))</f>
        <v>0</v>
      </c>
      <c r="T282" s="0" t="str">
        <f aca="false">IF(S282=1,SUM($S$2:S282),"")</f>
        <v/>
      </c>
    </row>
    <row r="283" customFormat="false" ht="15" hidden="false" customHeight="false" outlineLevel="0" collapsed="false">
      <c r="A283" s="20" t="s">
        <v>1608</v>
      </c>
      <c r="B283" s="20" t="s">
        <v>58</v>
      </c>
      <c r="C283" s="20" t="s">
        <v>1591</v>
      </c>
      <c r="D283" s="19" t="s">
        <v>350</v>
      </c>
      <c r="E283" s="22" t="s">
        <v>351</v>
      </c>
      <c r="F283" s="20" t="s">
        <v>76</v>
      </c>
      <c r="G283" s="20" t="s">
        <v>939</v>
      </c>
      <c r="H283" s="21" t="n">
        <v>841.49</v>
      </c>
      <c r="I283" s="21"/>
      <c r="J283" s="52"/>
      <c r="K283" s="19" t="s">
        <v>352</v>
      </c>
      <c r="L283" s="20" t="s">
        <v>1547</v>
      </c>
      <c r="M283" s="20" t="s">
        <v>1613</v>
      </c>
      <c r="N283" s="22" t="s">
        <v>351</v>
      </c>
      <c r="O283" s="20"/>
      <c r="P283" s="20" t="s">
        <v>93</v>
      </c>
      <c r="Q283" s="20" t="s">
        <v>942</v>
      </c>
      <c r="R283" s="76" t="s">
        <v>95</v>
      </c>
      <c r="S283" s="0" t="n">
        <f aca="false">IF(Recherche!$B$4="",0,IF(ISNUMBER(SEARCH(Recherche!$B$4,D283))+ISNUMBER(SEARCH(Recherche!$B$4,K283))&gt;0,1,0))</f>
        <v>0</v>
      </c>
      <c r="T283" s="0" t="str">
        <f aca="false">IF(S283=1,SUM($S$2:S283),"")</f>
        <v/>
      </c>
    </row>
    <row r="284" customFormat="false" ht="23.85" hidden="false" customHeight="false" outlineLevel="0" collapsed="false">
      <c r="A284" s="24" t="s">
        <v>1614</v>
      </c>
      <c r="B284" s="24" t="s">
        <v>58</v>
      </c>
      <c r="C284" s="24" t="s">
        <v>1591</v>
      </c>
      <c r="D284" s="23" t="s">
        <v>353</v>
      </c>
      <c r="E284" s="26" t="s">
        <v>91</v>
      </c>
      <c r="F284" s="24" t="s">
        <v>76</v>
      </c>
      <c r="G284" s="24" t="s">
        <v>939</v>
      </c>
      <c r="H284" s="25" t="n">
        <v>61.07</v>
      </c>
      <c r="I284" s="25"/>
      <c r="J284" s="58"/>
      <c r="K284" s="23" t="s">
        <v>354</v>
      </c>
      <c r="L284" s="24" t="s">
        <v>1502</v>
      </c>
      <c r="M284" s="24" t="s">
        <v>1615</v>
      </c>
      <c r="N284" s="26" t="s">
        <v>91</v>
      </c>
      <c r="O284" s="24"/>
      <c r="P284" s="24" t="s">
        <v>93</v>
      </c>
      <c r="Q284" s="24" t="s">
        <v>942</v>
      </c>
      <c r="R284" s="73" t="s">
        <v>95</v>
      </c>
      <c r="S284" s="0" t="n">
        <f aca="false">IF(Recherche!$B$4="",0,IF(ISNUMBER(SEARCH(Recherche!$B$4,D284))+ISNUMBER(SEARCH(Recherche!$B$4,K284))&gt;0,1,0))</f>
        <v>0</v>
      </c>
      <c r="T284" s="0" t="str">
        <f aca="false">IF(S284=1,SUM($S$2:S284),"")</f>
        <v/>
      </c>
    </row>
    <row r="285" customFormat="false" ht="15" hidden="false" customHeight="false" outlineLevel="0" collapsed="false">
      <c r="A285" s="20" t="s">
        <v>1614</v>
      </c>
      <c r="B285" s="20" t="s">
        <v>58</v>
      </c>
      <c r="C285" s="20" t="s">
        <v>1591</v>
      </c>
      <c r="D285" s="19" t="s">
        <v>353</v>
      </c>
      <c r="E285" s="22" t="s">
        <v>91</v>
      </c>
      <c r="F285" s="74" t="s">
        <v>81</v>
      </c>
      <c r="G285" s="74" t="s">
        <v>979</v>
      </c>
      <c r="H285" s="75" t="n">
        <v>61.1</v>
      </c>
      <c r="I285" s="21" t="n">
        <v>80.71</v>
      </c>
      <c r="J285" s="52" t="n">
        <v>24.3</v>
      </c>
      <c r="K285" s="19" t="s">
        <v>1616</v>
      </c>
      <c r="L285" s="20" t="s">
        <v>1547</v>
      </c>
      <c r="M285" s="20" t="s">
        <v>1617</v>
      </c>
      <c r="N285" s="22" t="s">
        <v>91</v>
      </c>
      <c r="O285" s="20" t="s">
        <v>949</v>
      </c>
      <c r="P285" s="20" t="s">
        <v>169</v>
      </c>
      <c r="Q285" s="20" t="s">
        <v>1007</v>
      </c>
      <c r="R285" s="76" t="s">
        <v>95</v>
      </c>
      <c r="S285" s="0" t="n">
        <f aca="false">IF(Recherche!$B$4="",0,IF(ISNUMBER(SEARCH(Recherche!$B$4,D285))+ISNUMBER(SEARCH(Recherche!$B$4,K285))&gt;0,1,0))</f>
        <v>0</v>
      </c>
      <c r="T285" s="0" t="str">
        <f aca="false">IF(S285=1,SUM($S$2:S285),"")</f>
        <v/>
      </c>
    </row>
    <row r="286" customFormat="false" ht="15" hidden="false" customHeight="false" outlineLevel="0" collapsed="false">
      <c r="A286" s="24" t="s">
        <v>1618</v>
      </c>
      <c r="B286" s="24" t="s">
        <v>58</v>
      </c>
      <c r="C286" s="24" t="s">
        <v>1591</v>
      </c>
      <c r="D286" s="23" t="s">
        <v>355</v>
      </c>
      <c r="E286" s="26" t="s">
        <v>91</v>
      </c>
      <c r="F286" s="24" t="s">
        <v>76</v>
      </c>
      <c r="G286" s="24" t="s">
        <v>939</v>
      </c>
      <c r="H286" s="25" t="n">
        <v>34.05</v>
      </c>
      <c r="I286" s="25"/>
      <c r="J286" s="58"/>
      <c r="K286" s="23" t="s">
        <v>356</v>
      </c>
      <c r="L286" s="24" t="s">
        <v>1619</v>
      </c>
      <c r="M286" s="24" t="s">
        <v>1620</v>
      </c>
      <c r="N286" s="26" t="s">
        <v>91</v>
      </c>
      <c r="O286" s="24"/>
      <c r="P286" s="24" t="s">
        <v>93</v>
      </c>
      <c r="Q286" s="24" t="s">
        <v>942</v>
      </c>
      <c r="R286" s="73" t="s">
        <v>95</v>
      </c>
      <c r="S286" s="0" t="n">
        <f aca="false">IF(Recherche!$B$4="",0,IF(ISNUMBER(SEARCH(Recherche!$B$4,D286))+ISNUMBER(SEARCH(Recherche!$B$4,K286))&gt;0,1,0))</f>
        <v>0</v>
      </c>
      <c r="T286" s="0" t="str">
        <f aca="false">IF(S286=1,SUM($S$2:S286),"")</f>
        <v/>
      </c>
    </row>
    <row r="287" customFormat="false" ht="23.85" hidden="false" customHeight="false" outlineLevel="0" collapsed="false">
      <c r="A287" s="20" t="s">
        <v>1618</v>
      </c>
      <c r="B287" s="20" t="s">
        <v>58</v>
      </c>
      <c r="C287" s="20" t="s">
        <v>1591</v>
      </c>
      <c r="D287" s="19" t="s">
        <v>355</v>
      </c>
      <c r="E287" s="22" t="s">
        <v>91</v>
      </c>
      <c r="F287" s="20" t="s">
        <v>80</v>
      </c>
      <c r="G287" s="20" t="s">
        <v>939</v>
      </c>
      <c r="H287" s="21" t="n">
        <v>153.33</v>
      </c>
      <c r="I287" s="21"/>
      <c r="J287" s="52"/>
      <c r="K287" s="19" t="s">
        <v>1621</v>
      </c>
      <c r="L287" s="20"/>
      <c r="M287" s="20" t="s">
        <v>1622</v>
      </c>
      <c r="N287" s="22" t="s">
        <v>91</v>
      </c>
      <c r="O287" s="20"/>
      <c r="P287" s="20" t="s">
        <v>303</v>
      </c>
      <c r="Q287" s="20" t="s">
        <v>942</v>
      </c>
      <c r="R287" s="76" t="s">
        <v>95</v>
      </c>
      <c r="S287" s="0" t="n">
        <f aca="false">IF(Recherche!$B$4="",0,IF(ISNUMBER(SEARCH(Recherche!$B$4,D287))+ISNUMBER(SEARCH(Recherche!$B$4,K287))&gt;0,1,0))</f>
        <v>0</v>
      </c>
      <c r="T287" s="0" t="str">
        <f aca="false">IF(S287=1,SUM($S$2:S287),"")</f>
        <v/>
      </c>
    </row>
    <row r="288" customFormat="false" ht="23.85" hidden="false" customHeight="false" outlineLevel="0" collapsed="false">
      <c r="A288" s="24" t="s">
        <v>1618</v>
      </c>
      <c r="B288" s="24" t="s">
        <v>58</v>
      </c>
      <c r="C288" s="24" t="s">
        <v>1591</v>
      </c>
      <c r="D288" s="23" t="s">
        <v>355</v>
      </c>
      <c r="E288" s="26" t="s">
        <v>91</v>
      </c>
      <c r="F288" s="74" t="s">
        <v>77</v>
      </c>
      <c r="G288" s="74" t="s">
        <v>979</v>
      </c>
      <c r="H288" s="75" t="n">
        <v>332.3</v>
      </c>
      <c r="I288" s="25" t="n">
        <v>332.3</v>
      </c>
      <c r="J288" s="58"/>
      <c r="K288" s="23" t="s">
        <v>1623</v>
      </c>
      <c r="L288" s="24" t="s">
        <v>1490</v>
      </c>
      <c r="M288" s="24" t="s">
        <v>1624</v>
      </c>
      <c r="N288" s="26" t="s">
        <v>91</v>
      </c>
      <c r="O288" s="24"/>
      <c r="P288" s="24" t="s">
        <v>114</v>
      </c>
      <c r="Q288" s="24" t="s">
        <v>983</v>
      </c>
      <c r="R288" s="73"/>
      <c r="S288" s="0" t="n">
        <f aca="false">IF(Recherche!$B$4="",0,IF(ISNUMBER(SEARCH(Recherche!$B$4,D288))+ISNUMBER(SEARCH(Recherche!$B$4,K288))&gt;0,1,0))</f>
        <v>0</v>
      </c>
      <c r="T288" s="0" t="str">
        <f aca="false">IF(S288=1,SUM($S$2:S288),"")</f>
        <v/>
      </c>
    </row>
    <row r="289" customFormat="false" ht="23.85" hidden="false" customHeight="false" outlineLevel="0" collapsed="false">
      <c r="A289" s="20" t="s">
        <v>1625</v>
      </c>
      <c r="B289" s="20" t="s">
        <v>58</v>
      </c>
      <c r="C289" s="20" t="s">
        <v>1591</v>
      </c>
      <c r="D289" s="19" t="s">
        <v>357</v>
      </c>
      <c r="E289" s="22" t="s">
        <v>91</v>
      </c>
      <c r="F289" s="74" t="s">
        <v>81</v>
      </c>
      <c r="G289" s="74" t="s">
        <v>979</v>
      </c>
      <c r="H289" s="75" t="n">
        <v>136.29</v>
      </c>
      <c r="I289" s="21" t="n">
        <v>180</v>
      </c>
      <c r="J289" s="52" t="n">
        <v>24.3</v>
      </c>
      <c r="K289" s="19" t="s">
        <v>358</v>
      </c>
      <c r="L289" s="20" t="s">
        <v>1471</v>
      </c>
      <c r="M289" s="20" t="s">
        <v>1626</v>
      </c>
      <c r="N289" s="22" t="s">
        <v>91</v>
      </c>
      <c r="O289" s="20" t="s">
        <v>949</v>
      </c>
      <c r="P289" s="20" t="s">
        <v>169</v>
      </c>
      <c r="Q289" s="20" t="s">
        <v>1007</v>
      </c>
      <c r="R289" s="76" t="s">
        <v>95</v>
      </c>
      <c r="S289" s="0" t="n">
        <f aca="false">IF(Recherche!$B$4="",0,IF(ISNUMBER(SEARCH(Recherche!$B$4,D289))+ISNUMBER(SEARCH(Recherche!$B$4,K289))&gt;0,1,0))</f>
        <v>0</v>
      </c>
      <c r="T289" s="0" t="str">
        <f aca="false">IF(S289=1,SUM($S$2:S289),"")</f>
        <v/>
      </c>
    </row>
    <row r="290" customFormat="false" ht="23.85" hidden="false" customHeight="false" outlineLevel="0" collapsed="false">
      <c r="A290" s="24" t="s">
        <v>1625</v>
      </c>
      <c r="B290" s="24" t="s">
        <v>58</v>
      </c>
      <c r="C290" s="24" t="s">
        <v>1591</v>
      </c>
      <c r="D290" s="23" t="s">
        <v>357</v>
      </c>
      <c r="E290" s="26" t="s">
        <v>91</v>
      </c>
      <c r="F290" s="24" t="s">
        <v>76</v>
      </c>
      <c r="G290" s="24" t="s">
        <v>939</v>
      </c>
      <c r="H290" s="25" t="n">
        <v>789.58</v>
      </c>
      <c r="I290" s="25"/>
      <c r="J290" s="58"/>
      <c r="K290" s="23" t="s">
        <v>1627</v>
      </c>
      <c r="L290" s="24" t="s">
        <v>1628</v>
      </c>
      <c r="M290" s="24" t="s">
        <v>1629</v>
      </c>
      <c r="N290" s="26" t="s">
        <v>91</v>
      </c>
      <c r="O290" s="24"/>
      <c r="P290" s="24" t="s">
        <v>93</v>
      </c>
      <c r="Q290" s="24" t="s">
        <v>942</v>
      </c>
      <c r="R290" s="73" t="s">
        <v>95</v>
      </c>
      <c r="S290" s="0" t="n">
        <f aca="false">IF(Recherche!$B$4="",0,IF(ISNUMBER(SEARCH(Recherche!$B$4,D290))+ISNUMBER(SEARCH(Recherche!$B$4,K290))&gt;0,1,0))</f>
        <v>0</v>
      </c>
      <c r="T290" s="0" t="str">
        <f aca="false">IF(S290=1,SUM($S$2:S290),"")</f>
        <v/>
      </c>
    </row>
    <row r="291" customFormat="false" ht="23.85" hidden="false" customHeight="false" outlineLevel="0" collapsed="false">
      <c r="A291" s="20" t="s">
        <v>1630</v>
      </c>
      <c r="B291" s="20" t="s">
        <v>58</v>
      </c>
      <c r="C291" s="20" t="s">
        <v>1591</v>
      </c>
      <c r="D291" s="19" t="s">
        <v>359</v>
      </c>
      <c r="E291" s="22" t="s">
        <v>91</v>
      </c>
      <c r="F291" s="20" t="s">
        <v>80</v>
      </c>
      <c r="G291" s="20" t="s">
        <v>939</v>
      </c>
      <c r="H291" s="21" t="n">
        <v>21.62</v>
      </c>
      <c r="I291" s="21"/>
      <c r="J291" s="52"/>
      <c r="K291" s="19" t="s">
        <v>360</v>
      </c>
      <c r="L291" s="20"/>
      <c r="M291" s="20" t="s">
        <v>1631</v>
      </c>
      <c r="N291" s="22" t="s">
        <v>91</v>
      </c>
      <c r="O291" s="20"/>
      <c r="P291" s="20" t="s">
        <v>303</v>
      </c>
      <c r="Q291" s="20" t="s">
        <v>963</v>
      </c>
      <c r="R291" s="76" t="s">
        <v>95</v>
      </c>
      <c r="S291" s="0" t="n">
        <f aca="false">IF(Recherche!$B$4="",0,IF(ISNUMBER(SEARCH(Recherche!$B$4,D291))+ISNUMBER(SEARCH(Recherche!$B$4,K291))&gt;0,1,0))</f>
        <v>0</v>
      </c>
      <c r="T291" s="0" t="str">
        <f aca="false">IF(S291=1,SUM($S$2:S291),"")</f>
        <v/>
      </c>
    </row>
    <row r="292" customFormat="false" ht="23.85" hidden="false" customHeight="false" outlineLevel="0" collapsed="false">
      <c r="A292" s="24" t="s">
        <v>1630</v>
      </c>
      <c r="B292" s="24" t="s">
        <v>58</v>
      </c>
      <c r="C292" s="24" t="s">
        <v>1591</v>
      </c>
      <c r="D292" s="23" t="s">
        <v>359</v>
      </c>
      <c r="E292" s="26" t="s">
        <v>91</v>
      </c>
      <c r="F292" s="74" t="s">
        <v>81</v>
      </c>
      <c r="G292" s="74" t="s">
        <v>979</v>
      </c>
      <c r="H292" s="75" t="n">
        <v>115.66</v>
      </c>
      <c r="I292" s="25" t="n">
        <v>151.36</v>
      </c>
      <c r="J292" s="58" t="n">
        <v>23.6</v>
      </c>
      <c r="K292" s="23" t="s">
        <v>1632</v>
      </c>
      <c r="L292" s="24" t="s">
        <v>1471</v>
      </c>
      <c r="M292" s="24" t="s">
        <v>1633</v>
      </c>
      <c r="N292" s="26" t="s">
        <v>91</v>
      </c>
      <c r="O292" s="24" t="s">
        <v>949</v>
      </c>
      <c r="P292" s="24" t="s">
        <v>169</v>
      </c>
      <c r="Q292" s="24" t="s">
        <v>1007</v>
      </c>
      <c r="R292" s="73" t="s">
        <v>95</v>
      </c>
      <c r="S292" s="0" t="n">
        <f aca="false">IF(Recherche!$B$4="",0,IF(ISNUMBER(SEARCH(Recherche!$B$4,D292))+ISNUMBER(SEARCH(Recherche!$B$4,K292))&gt;0,1,0))</f>
        <v>0</v>
      </c>
      <c r="T292" s="0" t="str">
        <f aca="false">IF(S292=1,SUM($S$2:S292),"")</f>
        <v/>
      </c>
    </row>
    <row r="293" customFormat="false" ht="15" hidden="false" customHeight="false" outlineLevel="0" collapsed="false">
      <c r="A293" s="20" t="s">
        <v>1630</v>
      </c>
      <c r="B293" s="20" t="s">
        <v>58</v>
      </c>
      <c r="C293" s="20" t="s">
        <v>1591</v>
      </c>
      <c r="D293" s="19" t="s">
        <v>359</v>
      </c>
      <c r="E293" s="22" t="s">
        <v>91</v>
      </c>
      <c r="F293" s="20" t="s">
        <v>76</v>
      </c>
      <c r="G293" s="20" t="s">
        <v>939</v>
      </c>
      <c r="H293" s="21" t="n">
        <v>252.94</v>
      </c>
      <c r="I293" s="21"/>
      <c r="J293" s="52"/>
      <c r="K293" s="19" t="s">
        <v>1634</v>
      </c>
      <c r="L293" s="20" t="s">
        <v>1635</v>
      </c>
      <c r="M293" s="20" t="s">
        <v>1636</v>
      </c>
      <c r="N293" s="22" t="s">
        <v>91</v>
      </c>
      <c r="O293" s="20"/>
      <c r="P293" s="20" t="s">
        <v>93</v>
      </c>
      <c r="Q293" s="20" t="s">
        <v>942</v>
      </c>
      <c r="R293" s="76" t="s">
        <v>95</v>
      </c>
      <c r="S293" s="0" t="n">
        <f aca="false">IF(Recherche!$B$4="",0,IF(ISNUMBER(SEARCH(Recherche!$B$4,D293))+ISNUMBER(SEARCH(Recherche!$B$4,K293))&gt;0,1,0))</f>
        <v>0</v>
      </c>
      <c r="T293" s="0" t="str">
        <f aca="false">IF(S293=1,SUM($S$2:S293),"")</f>
        <v/>
      </c>
    </row>
    <row r="294" customFormat="false" ht="15" hidden="false" customHeight="false" outlineLevel="0" collapsed="false">
      <c r="A294" s="24" t="s">
        <v>1630</v>
      </c>
      <c r="B294" s="24" t="s">
        <v>58</v>
      </c>
      <c r="C294" s="24" t="s">
        <v>1591</v>
      </c>
      <c r="D294" s="23" t="s">
        <v>359</v>
      </c>
      <c r="E294" s="26" t="s">
        <v>91</v>
      </c>
      <c r="F294" s="74" t="s">
        <v>79</v>
      </c>
      <c r="G294" s="74" t="s">
        <v>943</v>
      </c>
      <c r="H294" s="75" t="n">
        <v>296.14</v>
      </c>
      <c r="I294" s="25"/>
      <c r="J294" s="58"/>
      <c r="K294" s="23" t="s">
        <v>1637</v>
      </c>
      <c r="L294" s="24"/>
      <c r="M294" s="24" t="s">
        <v>1638</v>
      </c>
      <c r="N294" s="26" t="s">
        <v>91</v>
      </c>
      <c r="O294" s="24"/>
      <c r="P294" s="24" t="s">
        <v>313</v>
      </c>
      <c r="Q294" s="24" t="s">
        <v>1387</v>
      </c>
      <c r="R294" s="73" t="s">
        <v>95</v>
      </c>
      <c r="S294" s="0" t="n">
        <f aca="false">IF(Recherche!$B$4="",0,IF(ISNUMBER(SEARCH(Recherche!$B$4,D294))+ISNUMBER(SEARCH(Recherche!$B$4,K294))&gt;0,1,0))</f>
        <v>0</v>
      </c>
      <c r="T294" s="0" t="str">
        <f aca="false">IF(S294=1,SUM($S$2:S294),"")</f>
        <v/>
      </c>
    </row>
    <row r="295" customFormat="false" ht="23.85" hidden="false" customHeight="false" outlineLevel="0" collapsed="false">
      <c r="A295" s="20" t="s">
        <v>1639</v>
      </c>
      <c r="B295" s="20" t="s">
        <v>58</v>
      </c>
      <c r="C295" s="20" t="s">
        <v>1591</v>
      </c>
      <c r="D295" s="19" t="s">
        <v>361</v>
      </c>
      <c r="E295" s="22" t="s">
        <v>91</v>
      </c>
      <c r="F295" s="20" t="s">
        <v>76</v>
      </c>
      <c r="G295" s="20" t="s">
        <v>939</v>
      </c>
      <c r="H295" s="21" t="n">
        <v>71.42</v>
      </c>
      <c r="I295" s="21"/>
      <c r="J295" s="52"/>
      <c r="K295" s="19" t="s">
        <v>362</v>
      </c>
      <c r="L295" s="20" t="s">
        <v>1640</v>
      </c>
      <c r="M295" s="20" t="s">
        <v>1641</v>
      </c>
      <c r="N295" s="22" t="s">
        <v>91</v>
      </c>
      <c r="O295" s="20"/>
      <c r="P295" s="20" t="s">
        <v>93</v>
      </c>
      <c r="Q295" s="20" t="s">
        <v>1085</v>
      </c>
      <c r="R295" s="76" t="s">
        <v>95</v>
      </c>
      <c r="S295" s="0" t="n">
        <f aca="false">IF(Recherche!$B$4="",0,IF(ISNUMBER(SEARCH(Recherche!$B$4,D295))+ISNUMBER(SEARCH(Recherche!$B$4,K295))&gt;0,1,0))</f>
        <v>0</v>
      </c>
      <c r="T295" s="0" t="str">
        <f aca="false">IF(S295=1,SUM($S$2:S295),"")</f>
        <v/>
      </c>
    </row>
    <row r="296" customFormat="false" ht="23.85" hidden="false" customHeight="false" outlineLevel="0" collapsed="false">
      <c r="A296" s="24" t="s">
        <v>1639</v>
      </c>
      <c r="B296" s="24" t="s">
        <v>58</v>
      </c>
      <c r="C296" s="24" t="s">
        <v>1591</v>
      </c>
      <c r="D296" s="23" t="s">
        <v>361</v>
      </c>
      <c r="E296" s="26" t="s">
        <v>91</v>
      </c>
      <c r="F296" s="74" t="s">
        <v>79</v>
      </c>
      <c r="G296" s="74" t="s">
        <v>943</v>
      </c>
      <c r="H296" s="75" t="n">
        <v>78.5</v>
      </c>
      <c r="I296" s="25"/>
      <c r="J296" s="58"/>
      <c r="K296" s="23" t="s">
        <v>1642</v>
      </c>
      <c r="L296" s="24"/>
      <c r="M296" s="24" t="s">
        <v>1643</v>
      </c>
      <c r="N296" s="26" t="s">
        <v>91</v>
      </c>
      <c r="O296" s="24"/>
      <c r="P296" s="24" t="s">
        <v>313</v>
      </c>
      <c r="Q296" s="24" t="s">
        <v>1387</v>
      </c>
      <c r="R296" s="73" t="s">
        <v>95</v>
      </c>
      <c r="S296" s="0" t="n">
        <f aca="false">IF(Recherche!$B$4="",0,IF(ISNUMBER(SEARCH(Recherche!$B$4,D296))+ISNUMBER(SEARCH(Recherche!$B$4,K296))&gt;0,1,0))</f>
        <v>0</v>
      </c>
      <c r="T296" s="0" t="str">
        <f aca="false">IF(S296=1,SUM($S$2:S296),"")</f>
        <v/>
      </c>
    </row>
    <row r="297" customFormat="false" ht="23.85" hidden="false" customHeight="false" outlineLevel="0" collapsed="false">
      <c r="A297" s="20" t="s">
        <v>1639</v>
      </c>
      <c r="B297" s="20" t="s">
        <v>58</v>
      </c>
      <c r="C297" s="20" t="s">
        <v>1591</v>
      </c>
      <c r="D297" s="19" t="s">
        <v>361</v>
      </c>
      <c r="E297" s="22" t="s">
        <v>91</v>
      </c>
      <c r="F297" s="74" t="s">
        <v>81</v>
      </c>
      <c r="G297" s="74" t="s">
        <v>979</v>
      </c>
      <c r="H297" s="75" t="n">
        <v>130.23</v>
      </c>
      <c r="I297" s="21" t="n">
        <v>162.56</v>
      </c>
      <c r="J297" s="52" t="n">
        <v>19.9</v>
      </c>
      <c r="K297" s="19" t="s">
        <v>1644</v>
      </c>
      <c r="L297" s="20" t="s">
        <v>1471</v>
      </c>
      <c r="M297" s="20" t="s">
        <v>1645</v>
      </c>
      <c r="N297" s="22" t="s">
        <v>91</v>
      </c>
      <c r="O297" s="20" t="s">
        <v>949</v>
      </c>
      <c r="P297" s="20" t="s">
        <v>169</v>
      </c>
      <c r="Q297" s="20" t="s">
        <v>1007</v>
      </c>
      <c r="R297" s="76" t="s">
        <v>95</v>
      </c>
      <c r="S297" s="0" t="n">
        <f aca="false">IF(Recherche!$B$4="",0,IF(ISNUMBER(SEARCH(Recherche!$B$4,D297))+ISNUMBER(SEARCH(Recherche!$B$4,K297))&gt;0,1,0))</f>
        <v>0</v>
      </c>
      <c r="T297" s="0" t="str">
        <f aca="false">IF(S297=1,SUM($S$2:S297),"")</f>
        <v/>
      </c>
    </row>
    <row r="298" customFormat="false" ht="23.85" hidden="false" customHeight="false" outlineLevel="0" collapsed="false">
      <c r="A298" s="24" t="s">
        <v>1646</v>
      </c>
      <c r="B298" s="24" t="s">
        <v>58</v>
      </c>
      <c r="C298" s="24" t="s">
        <v>1591</v>
      </c>
      <c r="D298" s="23" t="s">
        <v>363</v>
      </c>
      <c r="E298" s="26" t="s">
        <v>91</v>
      </c>
      <c r="F298" s="24" t="s">
        <v>76</v>
      </c>
      <c r="G298" s="24" t="s">
        <v>939</v>
      </c>
      <c r="H298" s="25" t="n">
        <v>442.9</v>
      </c>
      <c r="I298" s="25"/>
      <c r="J298" s="58"/>
      <c r="K298" s="23" t="s">
        <v>364</v>
      </c>
      <c r="L298" s="24" t="s">
        <v>1647</v>
      </c>
      <c r="M298" s="24" t="s">
        <v>1648</v>
      </c>
      <c r="N298" s="26" t="s">
        <v>91</v>
      </c>
      <c r="O298" s="24"/>
      <c r="P298" s="24" t="s">
        <v>93</v>
      </c>
      <c r="Q298" s="24" t="s">
        <v>942</v>
      </c>
      <c r="R298" s="73" t="s">
        <v>95</v>
      </c>
      <c r="S298" s="0" t="n">
        <f aca="false">IF(Recherche!$B$4="",0,IF(ISNUMBER(SEARCH(Recherche!$B$4,D298))+ISNUMBER(SEARCH(Recherche!$B$4,K298))&gt;0,1,0))</f>
        <v>0</v>
      </c>
      <c r="T298" s="0" t="str">
        <f aca="false">IF(S298=1,SUM($S$2:S298),"")</f>
        <v/>
      </c>
    </row>
    <row r="299" customFormat="false" ht="15" hidden="false" customHeight="false" outlineLevel="0" collapsed="false">
      <c r="A299" s="20" t="s">
        <v>1646</v>
      </c>
      <c r="B299" s="20" t="s">
        <v>58</v>
      </c>
      <c r="C299" s="20" t="s">
        <v>1591</v>
      </c>
      <c r="D299" s="19" t="s">
        <v>363</v>
      </c>
      <c r="E299" s="22" t="s">
        <v>91</v>
      </c>
      <c r="F299" s="20" t="s">
        <v>80</v>
      </c>
      <c r="G299" s="20" t="s">
        <v>939</v>
      </c>
      <c r="H299" s="21" t="n">
        <v>714.41</v>
      </c>
      <c r="I299" s="21"/>
      <c r="J299" s="52"/>
      <c r="K299" s="19" t="s">
        <v>1649</v>
      </c>
      <c r="L299" s="20"/>
      <c r="M299" s="20" t="s">
        <v>1650</v>
      </c>
      <c r="N299" s="22" t="s">
        <v>91</v>
      </c>
      <c r="O299" s="20"/>
      <c r="P299" s="20" t="s">
        <v>303</v>
      </c>
      <c r="Q299" s="20" t="s">
        <v>942</v>
      </c>
      <c r="R299" s="76" t="s">
        <v>95</v>
      </c>
      <c r="S299" s="0" t="n">
        <f aca="false">IF(Recherche!$B$4="",0,IF(ISNUMBER(SEARCH(Recherche!$B$4,D299))+ISNUMBER(SEARCH(Recherche!$B$4,K299))&gt;0,1,0))</f>
        <v>0</v>
      </c>
      <c r="T299" s="0" t="str">
        <f aca="false">IF(S299=1,SUM($S$2:S299),"")</f>
        <v/>
      </c>
    </row>
    <row r="300" customFormat="false" ht="23.85" hidden="false" customHeight="false" outlineLevel="0" collapsed="false">
      <c r="A300" s="24" t="s">
        <v>1651</v>
      </c>
      <c r="B300" s="24" t="s">
        <v>58</v>
      </c>
      <c r="C300" s="24" t="s">
        <v>1591</v>
      </c>
      <c r="D300" s="23" t="s">
        <v>365</v>
      </c>
      <c r="E300" s="26" t="s">
        <v>91</v>
      </c>
      <c r="F300" s="24" t="s">
        <v>76</v>
      </c>
      <c r="G300" s="24" t="s">
        <v>939</v>
      </c>
      <c r="H300" s="25" t="n">
        <v>369.77</v>
      </c>
      <c r="I300" s="25"/>
      <c r="J300" s="58"/>
      <c r="K300" s="23" t="s">
        <v>366</v>
      </c>
      <c r="L300" s="24" t="s">
        <v>1647</v>
      </c>
      <c r="M300" s="24" t="s">
        <v>1652</v>
      </c>
      <c r="N300" s="26" t="s">
        <v>91</v>
      </c>
      <c r="O300" s="24"/>
      <c r="P300" s="24" t="s">
        <v>93</v>
      </c>
      <c r="Q300" s="24" t="s">
        <v>942</v>
      </c>
      <c r="R300" s="73" t="s">
        <v>95</v>
      </c>
      <c r="S300" s="0" t="n">
        <f aca="false">IF(Recherche!$B$4="",0,IF(ISNUMBER(SEARCH(Recherche!$B$4,D300))+ISNUMBER(SEARCH(Recherche!$B$4,K300))&gt;0,1,0))</f>
        <v>0</v>
      </c>
      <c r="T300" s="0" t="str">
        <f aca="false">IF(S300=1,SUM($S$2:S300),"")</f>
        <v/>
      </c>
    </row>
    <row r="301" customFormat="false" ht="15" hidden="false" customHeight="false" outlineLevel="0" collapsed="false">
      <c r="A301" s="20" t="s">
        <v>1651</v>
      </c>
      <c r="B301" s="20" t="s">
        <v>58</v>
      </c>
      <c r="C301" s="20" t="s">
        <v>1591</v>
      </c>
      <c r="D301" s="19" t="s">
        <v>365</v>
      </c>
      <c r="E301" s="22" t="s">
        <v>91</v>
      </c>
      <c r="F301" s="20" t="s">
        <v>80</v>
      </c>
      <c r="G301" s="20" t="s">
        <v>939</v>
      </c>
      <c r="H301" s="21" t="n">
        <v>373.05</v>
      </c>
      <c r="I301" s="21"/>
      <c r="J301" s="52"/>
      <c r="K301" s="19" t="s">
        <v>1653</v>
      </c>
      <c r="L301" s="20"/>
      <c r="M301" s="20" t="s">
        <v>1654</v>
      </c>
      <c r="N301" s="22" t="s">
        <v>91</v>
      </c>
      <c r="O301" s="20"/>
      <c r="P301" s="20" t="s">
        <v>303</v>
      </c>
      <c r="Q301" s="20" t="s">
        <v>942</v>
      </c>
      <c r="R301" s="76" t="s">
        <v>95</v>
      </c>
      <c r="S301" s="0" t="n">
        <f aca="false">IF(Recherche!$B$4="",0,IF(ISNUMBER(SEARCH(Recherche!$B$4,D301))+ISNUMBER(SEARCH(Recherche!$B$4,K301))&gt;0,1,0))</f>
        <v>0</v>
      </c>
      <c r="T301" s="0" t="str">
        <f aca="false">IF(S301=1,SUM($S$2:S301),"")</f>
        <v/>
      </c>
    </row>
    <row r="302" customFormat="false" ht="15" hidden="false" customHeight="false" outlineLevel="0" collapsed="false">
      <c r="A302" s="24" t="s">
        <v>1651</v>
      </c>
      <c r="B302" s="24" t="s">
        <v>58</v>
      </c>
      <c r="C302" s="24" t="s">
        <v>1591</v>
      </c>
      <c r="D302" s="23" t="s">
        <v>365</v>
      </c>
      <c r="E302" s="26" t="s">
        <v>91</v>
      </c>
      <c r="F302" s="74" t="s">
        <v>79</v>
      </c>
      <c r="G302" s="74" t="s">
        <v>943</v>
      </c>
      <c r="H302" s="75" t="n">
        <v>1188.04</v>
      </c>
      <c r="I302" s="25"/>
      <c r="J302" s="58"/>
      <c r="K302" s="23" t="s">
        <v>1655</v>
      </c>
      <c r="L302" s="24"/>
      <c r="M302" s="24" t="s">
        <v>1656</v>
      </c>
      <c r="N302" s="26" t="s">
        <v>91</v>
      </c>
      <c r="O302" s="24"/>
      <c r="P302" s="24" t="s">
        <v>313</v>
      </c>
      <c r="Q302" s="24" t="s">
        <v>1387</v>
      </c>
      <c r="R302" s="73" t="s">
        <v>95</v>
      </c>
      <c r="S302" s="0" t="n">
        <f aca="false">IF(Recherche!$B$4="",0,IF(ISNUMBER(SEARCH(Recherche!$B$4,D302))+ISNUMBER(SEARCH(Recherche!$B$4,K302))&gt;0,1,0))</f>
        <v>0</v>
      </c>
      <c r="T302" s="0" t="str">
        <f aca="false">IF(S302=1,SUM($S$2:S302),"")</f>
        <v/>
      </c>
    </row>
    <row r="303" customFormat="false" ht="15" hidden="false" customHeight="false" outlineLevel="0" collapsed="false">
      <c r="A303" s="20" t="s">
        <v>1651</v>
      </c>
      <c r="B303" s="20" t="s">
        <v>58</v>
      </c>
      <c r="C303" s="20" t="s">
        <v>1591</v>
      </c>
      <c r="D303" s="19" t="s">
        <v>365</v>
      </c>
      <c r="E303" s="22" t="s">
        <v>91</v>
      </c>
      <c r="F303" s="74" t="s">
        <v>77</v>
      </c>
      <c r="G303" s="74" t="s">
        <v>979</v>
      </c>
      <c r="H303" s="75" t="n">
        <v>1831.2</v>
      </c>
      <c r="I303" s="21" t="n">
        <v>1831.2</v>
      </c>
      <c r="J303" s="52"/>
      <c r="K303" s="19" t="s">
        <v>1657</v>
      </c>
      <c r="L303" s="20" t="s">
        <v>1658</v>
      </c>
      <c r="M303" s="20" t="s">
        <v>1659</v>
      </c>
      <c r="N303" s="22" t="s">
        <v>91</v>
      </c>
      <c r="O303" s="20"/>
      <c r="P303" s="20" t="s">
        <v>114</v>
      </c>
      <c r="Q303" s="20" t="s">
        <v>983</v>
      </c>
      <c r="R303" s="76"/>
      <c r="S303" s="0" t="n">
        <f aca="false">IF(Recherche!$B$4="",0,IF(ISNUMBER(SEARCH(Recherche!$B$4,D303))+ISNUMBER(SEARCH(Recherche!$B$4,K303))&gt;0,1,0))</f>
        <v>0</v>
      </c>
      <c r="T303" s="0" t="str">
        <f aca="false">IF(S303=1,SUM($S$2:S303),"")</f>
        <v/>
      </c>
    </row>
    <row r="304" customFormat="false" ht="15" hidden="false" customHeight="false" outlineLevel="0" collapsed="false">
      <c r="A304" s="24" t="s">
        <v>1660</v>
      </c>
      <c r="B304" s="24" t="s">
        <v>58</v>
      </c>
      <c r="C304" s="24" t="s">
        <v>1591</v>
      </c>
      <c r="D304" s="23" t="s">
        <v>367</v>
      </c>
      <c r="E304" s="26" t="s">
        <v>91</v>
      </c>
      <c r="F304" s="74" t="s">
        <v>79</v>
      </c>
      <c r="G304" s="74" t="s">
        <v>943</v>
      </c>
      <c r="H304" s="75" t="n">
        <v>13.35</v>
      </c>
      <c r="I304" s="25"/>
      <c r="J304" s="58"/>
      <c r="K304" s="23" t="s">
        <v>368</v>
      </c>
      <c r="L304" s="24"/>
      <c r="M304" s="24" t="s">
        <v>1661</v>
      </c>
      <c r="N304" s="26" t="s">
        <v>91</v>
      </c>
      <c r="O304" s="24"/>
      <c r="P304" s="24" t="s">
        <v>313</v>
      </c>
      <c r="Q304" s="24" t="s">
        <v>1387</v>
      </c>
      <c r="R304" s="73" t="s">
        <v>95</v>
      </c>
      <c r="S304" s="0" t="n">
        <f aca="false">IF(Recherche!$B$4="",0,IF(ISNUMBER(SEARCH(Recherche!$B$4,D304))+ISNUMBER(SEARCH(Recherche!$B$4,K304))&gt;0,1,0))</f>
        <v>0</v>
      </c>
      <c r="T304" s="0" t="str">
        <f aca="false">IF(S304=1,SUM($S$2:S304),"")</f>
        <v/>
      </c>
    </row>
    <row r="305" customFormat="false" ht="15" hidden="false" customHeight="false" outlineLevel="0" collapsed="false">
      <c r="A305" s="20" t="s">
        <v>1660</v>
      </c>
      <c r="B305" s="20" t="s">
        <v>58</v>
      </c>
      <c r="C305" s="20" t="s">
        <v>1591</v>
      </c>
      <c r="D305" s="19" t="s">
        <v>367</v>
      </c>
      <c r="E305" s="22" t="s">
        <v>91</v>
      </c>
      <c r="F305" s="20" t="s">
        <v>76</v>
      </c>
      <c r="G305" s="20" t="s">
        <v>939</v>
      </c>
      <c r="H305" s="21" t="n">
        <v>18.97</v>
      </c>
      <c r="I305" s="21"/>
      <c r="J305" s="52"/>
      <c r="K305" s="19" t="s">
        <v>1662</v>
      </c>
      <c r="L305" s="20" t="s">
        <v>1459</v>
      </c>
      <c r="M305" s="20" t="s">
        <v>1663</v>
      </c>
      <c r="N305" s="22" t="s">
        <v>91</v>
      </c>
      <c r="O305" s="20"/>
      <c r="P305" s="20" t="s">
        <v>93</v>
      </c>
      <c r="Q305" s="20" t="s">
        <v>942</v>
      </c>
      <c r="R305" s="76" t="s">
        <v>95</v>
      </c>
      <c r="S305" s="0" t="n">
        <f aca="false">IF(Recherche!$B$4="",0,IF(ISNUMBER(SEARCH(Recherche!$B$4,D305))+ISNUMBER(SEARCH(Recherche!$B$4,K305))&gt;0,1,0))</f>
        <v>0</v>
      </c>
      <c r="T305" s="0" t="str">
        <f aca="false">IF(S305=1,SUM($S$2:S305),"")</f>
        <v/>
      </c>
    </row>
    <row r="306" customFormat="false" ht="35.05" hidden="false" customHeight="false" outlineLevel="0" collapsed="false">
      <c r="A306" s="24" t="s">
        <v>1660</v>
      </c>
      <c r="B306" s="24" t="s">
        <v>58</v>
      </c>
      <c r="C306" s="24" t="s">
        <v>1591</v>
      </c>
      <c r="D306" s="23" t="s">
        <v>367</v>
      </c>
      <c r="E306" s="26" t="s">
        <v>91</v>
      </c>
      <c r="F306" s="74" t="s">
        <v>77</v>
      </c>
      <c r="G306" s="74" t="s">
        <v>979</v>
      </c>
      <c r="H306" s="75" t="n">
        <v>136.47</v>
      </c>
      <c r="I306" s="25" t="n">
        <v>136.47</v>
      </c>
      <c r="J306" s="58"/>
      <c r="K306" s="23" t="s">
        <v>1664</v>
      </c>
      <c r="L306" s="24" t="s">
        <v>1481</v>
      </c>
      <c r="M306" s="24" t="s">
        <v>1665</v>
      </c>
      <c r="N306" s="26" t="s">
        <v>91</v>
      </c>
      <c r="O306" s="24"/>
      <c r="P306" s="24" t="s">
        <v>114</v>
      </c>
      <c r="Q306" s="24" t="s">
        <v>983</v>
      </c>
      <c r="R306" s="73"/>
      <c r="S306" s="0" t="n">
        <f aca="false">IF(Recherche!$B$4="",0,IF(ISNUMBER(SEARCH(Recherche!$B$4,D306))+ISNUMBER(SEARCH(Recherche!$B$4,K306))&gt;0,1,0))</f>
        <v>0</v>
      </c>
      <c r="T306" s="0" t="str">
        <f aca="false">IF(S306=1,SUM($S$2:S306),"")</f>
        <v/>
      </c>
    </row>
    <row r="307" customFormat="false" ht="15" hidden="false" customHeight="false" outlineLevel="0" collapsed="false">
      <c r="A307" s="20" t="s">
        <v>1660</v>
      </c>
      <c r="B307" s="20" t="s">
        <v>58</v>
      </c>
      <c r="C307" s="20" t="s">
        <v>1591</v>
      </c>
      <c r="D307" s="19" t="s">
        <v>367</v>
      </c>
      <c r="E307" s="22" t="s">
        <v>91</v>
      </c>
      <c r="F307" s="20" t="s">
        <v>80</v>
      </c>
      <c r="G307" s="20" t="s">
        <v>939</v>
      </c>
      <c r="H307" s="21" t="n">
        <v>202.91</v>
      </c>
      <c r="I307" s="21"/>
      <c r="J307" s="52"/>
      <c r="K307" s="19" t="s">
        <v>1666</v>
      </c>
      <c r="L307" s="20"/>
      <c r="M307" s="20" t="s">
        <v>1667</v>
      </c>
      <c r="N307" s="22" t="s">
        <v>91</v>
      </c>
      <c r="O307" s="20"/>
      <c r="P307" s="20" t="s">
        <v>303</v>
      </c>
      <c r="Q307" s="20" t="s">
        <v>942</v>
      </c>
      <c r="R307" s="76" t="s">
        <v>95</v>
      </c>
      <c r="S307" s="0" t="n">
        <f aca="false">IF(Recherche!$B$4="",0,IF(ISNUMBER(SEARCH(Recherche!$B$4,D307))+ISNUMBER(SEARCH(Recherche!$B$4,K307))&gt;0,1,0))</f>
        <v>0</v>
      </c>
      <c r="T307" s="0" t="str">
        <f aca="false">IF(S307=1,SUM($S$2:S307),"")</f>
        <v/>
      </c>
    </row>
    <row r="308" customFormat="false" ht="23.85" hidden="false" customHeight="false" outlineLevel="0" collapsed="false">
      <c r="A308" s="24" t="s">
        <v>1668</v>
      </c>
      <c r="B308" s="24" t="s">
        <v>58</v>
      </c>
      <c r="C308" s="24" t="s">
        <v>1591</v>
      </c>
      <c r="D308" s="23" t="s">
        <v>369</v>
      </c>
      <c r="E308" s="26" t="s">
        <v>91</v>
      </c>
      <c r="F308" s="24" t="s">
        <v>76</v>
      </c>
      <c r="G308" s="24" t="s">
        <v>939</v>
      </c>
      <c r="H308" s="25" t="n">
        <v>194.63</v>
      </c>
      <c r="I308" s="25"/>
      <c r="J308" s="58"/>
      <c r="K308" s="23" t="s">
        <v>370</v>
      </c>
      <c r="L308" s="24" t="s">
        <v>1669</v>
      </c>
      <c r="M308" s="24" t="s">
        <v>1670</v>
      </c>
      <c r="N308" s="26" t="s">
        <v>91</v>
      </c>
      <c r="O308" s="24"/>
      <c r="P308" s="24" t="s">
        <v>93</v>
      </c>
      <c r="Q308" s="24" t="s">
        <v>1085</v>
      </c>
      <c r="R308" s="73" t="s">
        <v>95</v>
      </c>
      <c r="S308" s="0" t="n">
        <f aca="false">IF(Recherche!$B$4="",0,IF(ISNUMBER(SEARCH(Recherche!$B$4,D308))+ISNUMBER(SEARCH(Recherche!$B$4,K308))&gt;0,1,0))</f>
        <v>0</v>
      </c>
      <c r="T308" s="0" t="str">
        <f aca="false">IF(S308=1,SUM($S$2:S308),"")</f>
        <v/>
      </c>
    </row>
    <row r="309" customFormat="false" ht="35.05" hidden="false" customHeight="false" outlineLevel="0" collapsed="false">
      <c r="A309" s="20" t="s">
        <v>1668</v>
      </c>
      <c r="B309" s="20" t="s">
        <v>58</v>
      </c>
      <c r="C309" s="20" t="s">
        <v>1591</v>
      </c>
      <c r="D309" s="19" t="s">
        <v>369</v>
      </c>
      <c r="E309" s="22" t="s">
        <v>91</v>
      </c>
      <c r="F309" s="74" t="s">
        <v>81</v>
      </c>
      <c r="G309" s="74" t="s">
        <v>979</v>
      </c>
      <c r="H309" s="75" t="n">
        <v>284</v>
      </c>
      <c r="I309" s="21" t="n">
        <v>299</v>
      </c>
      <c r="J309" s="52" t="n">
        <v>5</v>
      </c>
      <c r="K309" s="19" t="s">
        <v>1671</v>
      </c>
      <c r="L309" s="20" t="s">
        <v>1672</v>
      </c>
      <c r="M309" s="20" t="s">
        <v>1673</v>
      </c>
      <c r="N309" s="22" t="s">
        <v>91</v>
      </c>
      <c r="O309" s="20" t="s">
        <v>949</v>
      </c>
      <c r="P309" s="20" t="s">
        <v>119</v>
      </c>
      <c r="Q309" s="20" t="s">
        <v>1007</v>
      </c>
      <c r="R309" s="76" t="s">
        <v>95</v>
      </c>
      <c r="S309" s="0" t="n">
        <f aca="false">IF(Recherche!$B$4="",0,IF(ISNUMBER(SEARCH(Recherche!$B$4,D309))+ISNUMBER(SEARCH(Recherche!$B$4,K309))&gt;0,1,0))</f>
        <v>0</v>
      </c>
      <c r="T309" s="0" t="str">
        <f aca="false">IF(S309=1,SUM($S$2:S309),"")</f>
        <v/>
      </c>
    </row>
    <row r="310" customFormat="false" ht="23.85" hidden="false" customHeight="false" outlineLevel="0" collapsed="false">
      <c r="A310" s="24" t="s">
        <v>1668</v>
      </c>
      <c r="B310" s="24" t="s">
        <v>58</v>
      </c>
      <c r="C310" s="24" t="s">
        <v>1591</v>
      </c>
      <c r="D310" s="23" t="s">
        <v>369</v>
      </c>
      <c r="E310" s="26" t="s">
        <v>91</v>
      </c>
      <c r="F310" s="24" t="s">
        <v>80</v>
      </c>
      <c r="G310" s="24" t="s">
        <v>939</v>
      </c>
      <c r="H310" s="25" t="n">
        <v>2555.09</v>
      </c>
      <c r="I310" s="25"/>
      <c r="J310" s="58"/>
      <c r="K310" s="23" t="s">
        <v>1674</v>
      </c>
      <c r="L310" s="24"/>
      <c r="M310" s="24" t="s">
        <v>1675</v>
      </c>
      <c r="N310" s="26" t="s">
        <v>91</v>
      </c>
      <c r="O310" s="24"/>
      <c r="P310" s="24" t="s">
        <v>303</v>
      </c>
      <c r="Q310" s="24" t="s">
        <v>942</v>
      </c>
      <c r="R310" s="73" t="s">
        <v>95</v>
      </c>
      <c r="S310" s="0" t="n">
        <f aca="false">IF(Recherche!$B$4="",0,IF(ISNUMBER(SEARCH(Recherche!$B$4,D310))+ISNUMBER(SEARCH(Recherche!$B$4,K310))&gt;0,1,0))</f>
        <v>0</v>
      </c>
      <c r="T310" s="0" t="str">
        <f aca="false">IF(S310=1,SUM($S$2:S310),"")</f>
        <v/>
      </c>
    </row>
    <row r="311" customFormat="false" ht="15" hidden="false" customHeight="false" outlineLevel="0" collapsed="false">
      <c r="A311" s="20" t="s">
        <v>1676</v>
      </c>
      <c r="B311" s="20" t="s">
        <v>58</v>
      </c>
      <c r="C311" s="20" t="s">
        <v>1591</v>
      </c>
      <c r="D311" s="19" t="s">
        <v>371</v>
      </c>
      <c r="E311" s="22" t="s">
        <v>91</v>
      </c>
      <c r="F311" s="20" t="s">
        <v>76</v>
      </c>
      <c r="G311" s="20" t="s">
        <v>939</v>
      </c>
      <c r="H311" s="21" t="n">
        <v>408.83</v>
      </c>
      <c r="I311" s="21"/>
      <c r="J311" s="52"/>
      <c r="K311" s="19" t="s">
        <v>372</v>
      </c>
      <c r="L311" s="20" t="s">
        <v>1677</v>
      </c>
      <c r="M311" s="20" t="s">
        <v>1678</v>
      </c>
      <c r="N311" s="22" t="s">
        <v>91</v>
      </c>
      <c r="O311" s="20"/>
      <c r="P311" s="20" t="s">
        <v>93</v>
      </c>
      <c r="Q311" s="20" t="s">
        <v>942</v>
      </c>
      <c r="R311" s="76" t="s">
        <v>95</v>
      </c>
      <c r="S311" s="0" t="n">
        <f aca="false">IF(Recherche!$B$4="",0,IF(ISNUMBER(SEARCH(Recherche!$B$4,D311))+ISNUMBER(SEARCH(Recherche!$B$4,K311))&gt;0,1,0))</f>
        <v>0</v>
      </c>
      <c r="T311" s="0" t="str">
        <f aca="false">IF(S311=1,SUM($S$2:S311),"")</f>
        <v/>
      </c>
    </row>
    <row r="312" customFormat="false" ht="23.85" hidden="false" customHeight="false" outlineLevel="0" collapsed="false">
      <c r="A312" s="24" t="s">
        <v>1679</v>
      </c>
      <c r="B312" s="24" t="s">
        <v>58</v>
      </c>
      <c r="C312" s="24" t="s">
        <v>1680</v>
      </c>
      <c r="D312" s="23" t="s">
        <v>373</v>
      </c>
      <c r="E312" s="26" t="s">
        <v>374</v>
      </c>
      <c r="F312" s="24" t="s">
        <v>80</v>
      </c>
      <c r="G312" s="24" t="s">
        <v>939</v>
      </c>
      <c r="H312" s="25" t="n">
        <v>1.18</v>
      </c>
      <c r="I312" s="25"/>
      <c r="J312" s="58"/>
      <c r="K312" s="23" t="s">
        <v>1681</v>
      </c>
      <c r="L312" s="24"/>
      <c r="M312" s="24" t="s">
        <v>1682</v>
      </c>
      <c r="N312" s="26" t="s">
        <v>91</v>
      </c>
      <c r="O312" s="24"/>
      <c r="P312" s="24" t="s">
        <v>303</v>
      </c>
      <c r="Q312" s="24" t="s">
        <v>942</v>
      </c>
      <c r="R312" s="73" t="s">
        <v>95</v>
      </c>
      <c r="S312" s="0" t="n">
        <f aca="false">IF(Recherche!$B$4="",0,IF(ISNUMBER(SEARCH(Recherche!$B$4,D312))+ISNUMBER(SEARCH(Recherche!$B$4,K312))&gt;0,1,0))</f>
        <v>0</v>
      </c>
      <c r="T312" s="0" t="str">
        <f aca="false">IF(S312=1,SUM($S$2:S312),"")</f>
        <v/>
      </c>
    </row>
    <row r="313" customFormat="false" ht="23.85" hidden="false" customHeight="false" outlineLevel="0" collapsed="false">
      <c r="A313" s="20" t="s">
        <v>1679</v>
      </c>
      <c r="B313" s="20" t="s">
        <v>58</v>
      </c>
      <c r="C313" s="20" t="s">
        <v>1680</v>
      </c>
      <c r="D313" s="19" t="s">
        <v>373</v>
      </c>
      <c r="E313" s="22" t="s">
        <v>374</v>
      </c>
      <c r="F313" s="20" t="s">
        <v>76</v>
      </c>
      <c r="G313" s="20" t="s">
        <v>939</v>
      </c>
      <c r="H313" s="21" t="n">
        <v>50.89</v>
      </c>
      <c r="I313" s="21"/>
      <c r="J313" s="52"/>
      <c r="K313" s="19" t="s">
        <v>375</v>
      </c>
      <c r="L313" s="20" t="s">
        <v>1683</v>
      </c>
      <c r="M313" s="20" t="s">
        <v>1684</v>
      </c>
      <c r="N313" s="22" t="s">
        <v>374</v>
      </c>
      <c r="O313" s="20"/>
      <c r="P313" s="20" t="s">
        <v>93</v>
      </c>
      <c r="Q313" s="20" t="s">
        <v>942</v>
      </c>
      <c r="R313" s="76" t="s">
        <v>95</v>
      </c>
      <c r="S313" s="0" t="n">
        <f aca="false">IF(Recherche!$B$4="",0,IF(ISNUMBER(SEARCH(Recherche!$B$4,D313))+ISNUMBER(SEARCH(Recherche!$B$4,K313))&gt;0,1,0))</f>
        <v>0</v>
      </c>
      <c r="T313" s="0" t="str">
        <f aca="false">IF(S313=1,SUM($S$2:S313),"")</f>
        <v/>
      </c>
    </row>
    <row r="314" customFormat="false" ht="15" hidden="false" customHeight="false" outlineLevel="0" collapsed="false">
      <c r="A314" s="24" t="s">
        <v>1685</v>
      </c>
      <c r="B314" s="24" t="s">
        <v>58</v>
      </c>
      <c r="C314" s="24" t="s">
        <v>1680</v>
      </c>
      <c r="D314" s="23" t="s">
        <v>376</v>
      </c>
      <c r="E314" s="26" t="s">
        <v>91</v>
      </c>
      <c r="F314" s="74" t="s">
        <v>79</v>
      </c>
      <c r="G314" s="74" t="s">
        <v>943</v>
      </c>
      <c r="H314" s="75" t="n">
        <v>11.09</v>
      </c>
      <c r="I314" s="25"/>
      <c r="J314" s="58"/>
      <c r="K314" s="23" t="s">
        <v>377</v>
      </c>
      <c r="L314" s="24"/>
      <c r="M314" s="24" t="s">
        <v>1686</v>
      </c>
      <c r="N314" s="26" t="s">
        <v>91</v>
      </c>
      <c r="O314" s="24"/>
      <c r="P314" s="24" t="s">
        <v>313</v>
      </c>
      <c r="Q314" s="24" t="s">
        <v>1016</v>
      </c>
      <c r="R314" s="73"/>
      <c r="S314" s="0" t="n">
        <f aca="false">IF(Recherche!$B$4="",0,IF(ISNUMBER(SEARCH(Recherche!$B$4,D314))+ISNUMBER(SEARCH(Recherche!$B$4,K314))&gt;0,1,0))</f>
        <v>0</v>
      </c>
      <c r="T314" s="0" t="str">
        <f aca="false">IF(S314=1,SUM($S$2:S314),"")</f>
        <v/>
      </c>
    </row>
    <row r="315" customFormat="false" ht="15" hidden="false" customHeight="false" outlineLevel="0" collapsed="false">
      <c r="A315" s="20" t="s">
        <v>1687</v>
      </c>
      <c r="B315" s="20" t="s">
        <v>58</v>
      </c>
      <c r="C315" s="20" t="s">
        <v>1680</v>
      </c>
      <c r="D315" s="19" t="s">
        <v>378</v>
      </c>
      <c r="E315" s="22" t="s">
        <v>344</v>
      </c>
      <c r="F315" s="74" t="s">
        <v>79</v>
      </c>
      <c r="G315" s="74" t="s">
        <v>943</v>
      </c>
      <c r="H315" s="75" t="n">
        <v>5.9</v>
      </c>
      <c r="I315" s="21"/>
      <c r="J315" s="52"/>
      <c r="K315" s="19" t="s">
        <v>1688</v>
      </c>
      <c r="L315" s="20"/>
      <c r="M315" s="20" t="s">
        <v>1689</v>
      </c>
      <c r="N315" s="22" t="s">
        <v>91</v>
      </c>
      <c r="O315" s="20"/>
      <c r="P315" s="20" t="s">
        <v>313</v>
      </c>
      <c r="Q315" s="20" t="s">
        <v>1016</v>
      </c>
      <c r="R315" s="76" t="s">
        <v>95</v>
      </c>
      <c r="S315" s="0" t="n">
        <f aca="false">IF(Recherche!$B$4="",0,IF(ISNUMBER(SEARCH(Recherche!$B$4,D315))+ISNUMBER(SEARCH(Recherche!$B$4,K315))&gt;0,1,0))</f>
        <v>0</v>
      </c>
      <c r="T315" s="0" t="str">
        <f aca="false">IF(S315=1,SUM($S$2:S315),"")</f>
        <v/>
      </c>
    </row>
    <row r="316" customFormat="false" ht="15" hidden="false" customHeight="false" outlineLevel="0" collapsed="false">
      <c r="A316" s="24" t="s">
        <v>1687</v>
      </c>
      <c r="B316" s="24" t="s">
        <v>58</v>
      </c>
      <c r="C316" s="24" t="s">
        <v>1680</v>
      </c>
      <c r="D316" s="23" t="s">
        <v>378</v>
      </c>
      <c r="E316" s="26" t="s">
        <v>344</v>
      </c>
      <c r="F316" s="74" t="s">
        <v>81</v>
      </c>
      <c r="G316" s="74" t="s">
        <v>979</v>
      </c>
      <c r="H316" s="75" t="n">
        <v>6.9</v>
      </c>
      <c r="I316" s="25" t="n">
        <v>7.26</v>
      </c>
      <c r="J316" s="58" t="n">
        <v>5</v>
      </c>
      <c r="K316" s="23" t="s">
        <v>1690</v>
      </c>
      <c r="L316" s="24" t="s">
        <v>1274</v>
      </c>
      <c r="M316" s="24" t="s">
        <v>1691</v>
      </c>
      <c r="N316" s="26" t="s">
        <v>91</v>
      </c>
      <c r="O316" s="24" t="s">
        <v>949</v>
      </c>
      <c r="P316" s="24" t="s">
        <v>119</v>
      </c>
      <c r="Q316" s="24" t="s">
        <v>1016</v>
      </c>
      <c r="R316" s="73" t="s">
        <v>95</v>
      </c>
      <c r="S316" s="0" t="n">
        <f aca="false">IF(Recherche!$B$4="",0,IF(ISNUMBER(SEARCH(Recherche!$B$4,D316))+ISNUMBER(SEARCH(Recherche!$B$4,K316))&gt;0,1,0))</f>
        <v>0</v>
      </c>
      <c r="T316" s="0" t="str">
        <f aca="false">IF(S316=1,SUM($S$2:S316),"")</f>
        <v/>
      </c>
    </row>
    <row r="317" customFormat="false" ht="15" hidden="false" customHeight="false" outlineLevel="0" collapsed="false">
      <c r="A317" s="20" t="s">
        <v>1687</v>
      </c>
      <c r="B317" s="20" t="s">
        <v>58</v>
      </c>
      <c r="C317" s="20" t="s">
        <v>1680</v>
      </c>
      <c r="D317" s="19" t="s">
        <v>378</v>
      </c>
      <c r="E317" s="22" t="s">
        <v>344</v>
      </c>
      <c r="F317" s="20" t="s">
        <v>80</v>
      </c>
      <c r="G317" s="20" t="s">
        <v>939</v>
      </c>
      <c r="H317" s="21" t="n">
        <v>8.29</v>
      </c>
      <c r="I317" s="21"/>
      <c r="J317" s="52"/>
      <c r="K317" s="19" t="s">
        <v>1692</v>
      </c>
      <c r="L317" s="20"/>
      <c r="M317" s="20" t="s">
        <v>1693</v>
      </c>
      <c r="N317" s="22" t="s">
        <v>91</v>
      </c>
      <c r="O317" s="20"/>
      <c r="P317" s="20" t="s">
        <v>303</v>
      </c>
      <c r="Q317" s="20" t="s">
        <v>963</v>
      </c>
      <c r="R317" s="76" t="s">
        <v>95</v>
      </c>
      <c r="S317" s="0" t="n">
        <f aca="false">IF(Recherche!$B$4="",0,IF(ISNUMBER(SEARCH(Recherche!$B$4,D317))+ISNUMBER(SEARCH(Recherche!$B$4,K317))&gt;0,1,0))</f>
        <v>0</v>
      </c>
      <c r="T317" s="0" t="str">
        <f aca="false">IF(S317=1,SUM($S$2:S317),"")</f>
        <v/>
      </c>
    </row>
    <row r="318" customFormat="false" ht="15" hidden="false" customHeight="false" outlineLevel="0" collapsed="false">
      <c r="A318" s="24" t="s">
        <v>1687</v>
      </c>
      <c r="B318" s="24" t="s">
        <v>58</v>
      </c>
      <c r="C318" s="24" t="s">
        <v>1680</v>
      </c>
      <c r="D318" s="23" t="s">
        <v>378</v>
      </c>
      <c r="E318" s="26" t="s">
        <v>344</v>
      </c>
      <c r="F318" s="24" t="s">
        <v>76</v>
      </c>
      <c r="G318" s="24" t="s">
        <v>939</v>
      </c>
      <c r="H318" s="25" t="n">
        <v>25.02</v>
      </c>
      <c r="I318" s="25"/>
      <c r="J318" s="58"/>
      <c r="K318" s="23" t="s">
        <v>379</v>
      </c>
      <c r="L318" s="24" t="s">
        <v>1694</v>
      </c>
      <c r="M318" s="24" t="s">
        <v>1695</v>
      </c>
      <c r="N318" s="26" t="s">
        <v>344</v>
      </c>
      <c r="O318" s="24"/>
      <c r="P318" s="24" t="s">
        <v>93</v>
      </c>
      <c r="Q318" s="24" t="s">
        <v>963</v>
      </c>
      <c r="R318" s="73" t="s">
        <v>95</v>
      </c>
      <c r="S318" s="0" t="n">
        <f aca="false">IF(Recherche!$B$4="",0,IF(ISNUMBER(SEARCH(Recherche!$B$4,D318))+ISNUMBER(SEARCH(Recherche!$B$4,K318))&gt;0,1,0))</f>
        <v>0</v>
      </c>
      <c r="T318" s="0" t="str">
        <f aca="false">IF(S318=1,SUM($S$2:S318),"")</f>
        <v/>
      </c>
    </row>
    <row r="319" customFormat="false" ht="23.85" hidden="false" customHeight="false" outlineLevel="0" collapsed="false">
      <c r="A319" s="20" t="s">
        <v>1696</v>
      </c>
      <c r="B319" s="20" t="s">
        <v>58</v>
      </c>
      <c r="C319" s="20" t="s">
        <v>1680</v>
      </c>
      <c r="D319" s="19" t="s">
        <v>380</v>
      </c>
      <c r="E319" s="22" t="s">
        <v>91</v>
      </c>
      <c r="F319" s="20" t="s">
        <v>80</v>
      </c>
      <c r="G319" s="20" t="s">
        <v>939</v>
      </c>
      <c r="H319" s="21" t="n">
        <v>5.76</v>
      </c>
      <c r="I319" s="21"/>
      <c r="J319" s="52"/>
      <c r="K319" s="19" t="s">
        <v>381</v>
      </c>
      <c r="L319" s="20"/>
      <c r="M319" s="20" t="s">
        <v>1697</v>
      </c>
      <c r="N319" s="22" t="s">
        <v>91</v>
      </c>
      <c r="O319" s="20"/>
      <c r="P319" s="20" t="s">
        <v>303</v>
      </c>
      <c r="Q319" s="20" t="s">
        <v>942</v>
      </c>
      <c r="R319" s="76" t="s">
        <v>95</v>
      </c>
      <c r="S319" s="0" t="n">
        <f aca="false">IF(Recherche!$B$4="",0,IF(ISNUMBER(SEARCH(Recherche!$B$4,D319))+ISNUMBER(SEARCH(Recherche!$B$4,K319))&gt;0,1,0))</f>
        <v>0</v>
      </c>
      <c r="T319" s="0" t="str">
        <f aca="false">IF(S319=1,SUM($S$2:S319),"")</f>
        <v/>
      </c>
    </row>
    <row r="320" customFormat="false" ht="23.85" hidden="false" customHeight="false" outlineLevel="0" collapsed="false">
      <c r="A320" s="24" t="s">
        <v>1696</v>
      </c>
      <c r="B320" s="24" t="s">
        <v>58</v>
      </c>
      <c r="C320" s="24" t="s">
        <v>1680</v>
      </c>
      <c r="D320" s="23" t="s">
        <v>380</v>
      </c>
      <c r="E320" s="26" t="s">
        <v>91</v>
      </c>
      <c r="F320" s="74" t="s">
        <v>81</v>
      </c>
      <c r="G320" s="74" t="s">
        <v>979</v>
      </c>
      <c r="H320" s="75" t="n">
        <v>5.84</v>
      </c>
      <c r="I320" s="25" t="n">
        <v>6.16</v>
      </c>
      <c r="J320" s="58" t="n">
        <v>5.2</v>
      </c>
      <c r="K320" s="23" t="s">
        <v>1698</v>
      </c>
      <c r="L320" s="24" t="s">
        <v>1200</v>
      </c>
      <c r="M320" s="24" t="s">
        <v>1699</v>
      </c>
      <c r="N320" s="26" t="s">
        <v>1700</v>
      </c>
      <c r="O320" s="24" t="s">
        <v>1700</v>
      </c>
      <c r="P320" s="24" t="s">
        <v>119</v>
      </c>
      <c r="Q320" s="24" t="s">
        <v>1007</v>
      </c>
      <c r="R320" s="73" t="s">
        <v>95</v>
      </c>
      <c r="S320" s="0" t="n">
        <f aca="false">IF(Recherche!$B$4="",0,IF(ISNUMBER(SEARCH(Recherche!$B$4,D320))+ISNUMBER(SEARCH(Recherche!$B$4,K320))&gt;0,1,0))</f>
        <v>0</v>
      </c>
      <c r="T320" s="0" t="str">
        <f aca="false">IF(S320=1,SUM($S$2:S320),"")</f>
        <v/>
      </c>
    </row>
    <row r="321" customFormat="false" ht="15" hidden="false" customHeight="false" outlineLevel="0" collapsed="false">
      <c r="A321" s="20" t="s">
        <v>1696</v>
      </c>
      <c r="B321" s="20" t="s">
        <v>58</v>
      </c>
      <c r="C321" s="20" t="s">
        <v>1680</v>
      </c>
      <c r="D321" s="19" t="s">
        <v>380</v>
      </c>
      <c r="E321" s="22" t="s">
        <v>91</v>
      </c>
      <c r="F321" s="20" t="s">
        <v>76</v>
      </c>
      <c r="G321" s="20" t="s">
        <v>939</v>
      </c>
      <c r="H321" s="21" t="n">
        <v>24.6</v>
      </c>
      <c r="I321" s="21"/>
      <c r="J321" s="52"/>
      <c r="K321" s="19" t="s">
        <v>1701</v>
      </c>
      <c r="L321" s="20" t="s">
        <v>1702</v>
      </c>
      <c r="M321" s="20" t="s">
        <v>1703</v>
      </c>
      <c r="N321" s="22" t="s">
        <v>91</v>
      </c>
      <c r="O321" s="20"/>
      <c r="P321" s="20" t="s">
        <v>93</v>
      </c>
      <c r="Q321" s="20" t="s">
        <v>1085</v>
      </c>
      <c r="R321" s="76" t="s">
        <v>95</v>
      </c>
      <c r="S321" s="0" t="n">
        <f aca="false">IF(Recherche!$B$4="",0,IF(ISNUMBER(SEARCH(Recherche!$B$4,D321))+ISNUMBER(SEARCH(Recherche!$B$4,K321))&gt;0,1,0))</f>
        <v>0</v>
      </c>
      <c r="T321" s="0" t="str">
        <f aca="false">IF(S321=1,SUM($S$2:S321),"")</f>
        <v/>
      </c>
    </row>
    <row r="322" customFormat="false" ht="23.85" hidden="false" customHeight="false" outlineLevel="0" collapsed="false">
      <c r="A322" s="24" t="s">
        <v>1696</v>
      </c>
      <c r="B322" s="24" t="s">
        <v>58</v>
      </c>
      <c r="C322" s="24" t="s">
        <v>1680</v>
      </c>
      <c r="D322" s="23" t="s">
        <v>380</v>
      </c>
      <c r="E322" s="26" t="s">
        <v>91</v>
      </c>
      <c r="F322" s="74" t="s">
        <v>77</v>
      </c>
      <c r="G322" s="74" t="s">
        <v>979</v>
      </c>
      <c r="H322" s="75" t="n">
        <v>65.31</v>
      </c>
      <c r="I322" s="25" t="n">
        <v>65.31</v>
      </c>
      <c r="J322" s="58"/>
      <c r="K322" s="23" t="s">
        <v>1704</v>
      </c>
      <c r="L322" s="24" t="s">
        <v>1431</v>
      </c>
      <c r="M322" s="24" t="s">
        <v>1705</v>
      </c>
      <c r="N322" s="26" t="s">
        <v>91</v>
      </c>
      <c r="O322" s="24"/>
      <c r="P322" s="24" t="s">
        <v>114</v>
      </c>
      <c r="Q322" s="24" t="s">
        <v>983</v>
      </c>
      <c r="R322" s="73"/>
      <c r="S322" s="0" t="n">
        <f aca="false">IF(Recherche!$B$4="",0,IF(ISNUMBER(SEARCH(Recherche!$B$4,D322))+ISNUMBER(SEARCH(Recherche!$B$4,K322))&gt;0,1,0))</f>
        <v>0</v>
      </c>
      <c r="T322" s="0" t="str">
        <f aca="false">IF(S322=1,SUM($S$2:S322),"")</f>
        <v/>
      </c>
    </row>
    <row r="323" customFormat="false" ht="15" hidden="false" customHeight="false" outlineLevel="0" collapsed="false">
      <c r="A323" s="20" t="s">
        <v>1706</v>
      </c>
      <c r="B323" s="20" t="s">
        <v>58</v>
      </c>
      <c r="C323" s="20" t="s">
        <v>1680</v>
      </c>
      <c r="D323" s="19" t="s">
        <v>382</v>
      </c>
      <c r="E323" s="22" t="s">
        <v>137</v>
      </c>
      <c r="F323" s="20" t="s">
        <v>80</v>
      </c>
      <c r="G323" s="20" t="s">
        <v>939</v>
      </c>
      <c r="H323" s="21" t="n">
        <v>11.09</v>
      </c>
      <c r="I323" s="21"/>
      <c r="J323" s="52"/>
      <c r="K323" s="19" t="s">
        <v>383</v>
      </c>
      <c r="L323" s="20"/>
      <c r="M323" s="20" t="s">
        <v>1707</v>
      </c>
      <c r="N323" s="22" t="s">
        <v>137</v>
      </c>
      <c r="O323" s="20"/>
      <c r="P323" s="20" t="s">
        <v>303</v>
      </c>
      <c r="Q323" s="20" t="s">
        <v>942</v>
      </c>
      <c r="R323" s="76" t="s">
        <v>95</v>
      </c>
      <c r="S323" s="0" t="n">
        <f aca="false">IF(Recherche!$B$4="",0,IF(ISNUMBER(SEARCH(Recherche!$B$4,D323))+ISNUMBER(SEARCH(Recherche!$B$4,K323))&gt;0,1,0))</f>
        <v>0</v>
      </c>
      <c r="T323" s="0" t="str">
        <f aca="false">IF(S323=1,SUM($S$2:S323),"")</f>
        <v/>
      </c>
    </row>
    <row r="324" customFormat="false" ht="23.85" hidden="false" customHeight="false" outlineLevel="0" collapsed="false">
      <c r="A324" s="24" t="s">
        <v>1706</v>
      </c>
      <c r="B324" s="24" t="s">
        <v>58</v>
      </c>
      <c r="C324" s="24" t="s">
        <v>1680</v>
      </c>
      <c r="D324" s="23" t="s">
        <v>382</v>
      </c>
      <c r="E324" s="26" t="s">
        <v>137</v>
      </c>
      <c r="F324" s="74" t="s">
        <v>81</v>
      </c>
      <c r="G324" s="74" t="s">
        <v>979</v>
      </c>
      <c r="H324" s="75" t="n">
        <v>104.17</v>
      </c>
      <c r="I324" s="25" t="n">
        <v>115.67</v>
      </c>
      <c r="J324" s="58" t="n">
        <v>9.9</v>
      </c>
      <c r="K324" s="23" t="s">
        <v>1708</v>
      </c>
      <c r="L324" s="24" t="s">
        <v>1709</v>
      </c>
      <c r="M324" s="24" t="s">
        <v>1710</v>
      </c>
      <c r="N324" s="26" t="s">
        <v>1056</v>
      </c>
      <c r="O324" s="24" t="s">
        <v>1056</v>
      </c>
      <c r="P324" s="24" t="s">
        <v>169</v>
      </c>
      <c r="Q324" s="24" t="s">
        <v>1016</v>
      </c>
      <c r="R324" s="73" t="s">
        <v>95</v>
      </c>
      <c r="S324" s="0" t="n">
        <f aca="false">IF(Recherche!$B$4="",0,IF(ISNUMBER(SEARCH(Recherche!$B$4,D324))+ISNUMBER(SEARCH(Recherche!$B$4,K324))&gt;0,1,0))</f>
        <v>0</v>
      </c>
      <c r="T324" s="0" t="str">
        <f aca="false">IF(S324=1,SUM($S$2:S324),"")</f>
        <v/>
      </c>
    </row>
    <row r="325" customFormat="false" ht="15" hidden="false" customHeight="false" outlineLevel="0" collapsed="false">
      <c r="A325" s="20" t="s">
        <v>1711</v>
      </c>
      <c r="B325" s="20" t="s">
        <v>59</v>
      </c>
      <c r="C325" s="20" t="s">
        <v>1712</v>
      </c>
      <c r="D325" s="19" t="s">
        <v>384</v>
      </c>
      <c r="E325" s="22" t="s">
        <v>91</v>
      </c>
      <c r="F325" s="74" t="s">
        <v>81</v>
      </c>
      <c r="G325" s="74" t="s">
        <v>979</v>
      </c>
      <c r="H325" s="75" t="n">
        <v>264.44</v>
      </c>
      <c r="I325" s="21" t="n">
        <v>276.61</v>
      </c>
      <c r="J325" s="52" t="n">
        <v>4.4</v>
      </c>
      <c r="K325" s="19" t="s">
        <v>385</v>
      </c>
      <c r="L325" s="20" t="s">
        <v>1565</v>
      </c>
      <c r="M325" s="20" t="s">
        <v>1713</v>
      </c>
      <c r="N325" s="22" t="s">
        <v>91</v>
      </c>
      <c r="O325" s="20" t="s">
        <v>949</v>
      </c>
      <c r="P325" s="20" t="s">
        <v>169</v>
      </c>
      <c r="Q325" s="20" t="s">
        <v>1007</v>
      </c>
      <c r="R325" s="76" t="s">
        <v>95</v>
      </c>
      <c r="S325" s="0" t="n">
        <f aca="false">IF(Recherche!$B$4="",0,IF(ISNUMBER(SEARCH(Recherche!$B$4,D325))+ISNUMBER(SEARCH(Recherche!$B$4,K325))&gt;0,1,0))</f>
        <v>0</v>
      </c>
      <c r="T325" s="0" t="str">
        <f aca="false">IF(S325=1,SUM($S$2:S325),"")</f>
        <v/>
      </c>
    </row>
    <row r="326" customFormat="false" ht="23.85" hidden="false" customHeight="false" outlineLevel="0" collapsed="false">
      <c r="A326" s="24" t="s">
        <v>1711</v>
      </c>
      <c r="B326" s="24" t="s">
        <v>59</v>
      </c>
      <c r="C326" s="24" t="s">
        <v>1712</v>
      </c>
      <c r="D326" s="23" t="s">
        <v>384</v>
      </c>
      <c r="E326" s="26" t="s">
        <v>91</v>
      </c>
      <c r="F326" s="24" t="s">
        <v>76</v>
      </c>
      <c r="G326" s="24" t="s">
        <v>939</v>
      </c>
      <c r="H326" s="25" t="n">
        <v>601.17</v>
      </c>
      <c r="I326" s="25"/>
      <c r="J326" s="58"/>
      <c r="K326" s="23" t="s">
        <v>1714</v>
      </c>
      <c r="L326" s="24" t="s">
        <v>1715</v>
      </c>
      <c r="M326" s="24" t="s">
        <v>1716</v>
      </c>
      <c r="N326" s="26" t="s">
        <v>91</v>
      </c>
      <c r="O326" s="24"/>
      <c r="P326" s="24" t="s">
        <v>93</v>
      </c>
      <c r="Q326" s="24" t="s">
        <v>1085</v>
      </c>
      <c r="R326" s="73" t="s">
        <v>95</v>
      </c>
      <c r="S326" s="0" t="n">
        <f aca="false">IF(Recherche!$B$4="",0,IF(ISNUMBER(SEARCH(Recherche!$B$4,D326))+ISNUMBER(SEARCH(Recherche!$B$4,K326))&gt;0,1,0))</f>
        <v>0</v>
      </c>
      <c r="T326" s="0" t="str">
        <f aca="false">IF(S326=1,SUM($S$2:S326),"")</f>
        <v/>
      </c>
    </row>
    <row r="327" customFormat="false" ht="23.85" hidden="false" customHeight="false" outlineLevel="0" collapsed="false">
      <c r="A327" s="20" t="s">
        <v>1717</v>
      </c>
      <c r="B327" s="20" t="s">
        <v>59</v>
      </c>
      <c r="C327" s="20" t="s">
        <v>1712</v>
      </c>
      <c r="D327" s="19" t="s">
        <v>386</v>
      </c>
      <c r="E327" s="22" t="s">
        <v>91</v>
      </c>
      <c r="F327" s="74" t="s">
        <v>78</v>
      </c>
      <c r="G327" s="74" t="s">
        <v>943</v>
      </c>
      <c r="H327" s="75" t="n">
        <v>150.5</v>
      </c>
      <c r="I327" s="21"/>
      <c r="J327" s="52"/>
      <c r="K327" s="19" t="s">
        <v>387</v>
      </c>
      <c r="L327" s="20"/>
      <c r="M327" s="20" t="s">
        <v>1718</v>
      </c>
      <c r="N327" s="22" t="s">
        <v>91</v>
      </c>
      <c r="O327" s="20" t="s">
        <v>949</v>
      </c>
      <c r="P327" s="20" t="s">
        <v>93</v>
      </c>
      <c r="Q327" s="20" t="s">
        <v>1016</v>
      </c>
      <c r="R327" s="76" t="s">
        <v>95</v>
      </c>
      <c r="S327" s="0" t="n">
        <f aca="false">IF(Recherche!$B$4="",0,IF(ISNUMBER(SEARCH(Recherche!$B$4,D327))+ISNUMBER(SEARCH(Recherche!$B$4,K327))&gt;0,1,0))</f>
        <v>0</v>
      </c>
      <c r="T327" s="0" t="str">
        <f aca="false">IF(S327=1,SUM($S$2:S327),"")</f>
        <v/>
      </c>
    </row>
    <row r="328" customFormat="false" ht="23.85" hidden="false" customHeight="false" outlineLevel="0" collapsed="false">
      <c r="A328" s="24" t="s">
        <v>1717</v>
      </c>
      <c r="B328" s="24" t="s">
        <v>59</v>
      </c>
      <c r="C328" s="24" t="s">
        <v>1712</v>
      </c>
      <c r="D328" s="23" t="s">
        <v>386</v>
      </c>
      <c r="E328" s="26" t="s">
        <v>91</v>
      </c>
      <c r="F328" s="74" t="s">
        <v>81</v>
      </c>
      <c r="G328" s="74" t="s">
        <v>979</v>
      </c>
      <c r="H328" s="75" t="n">
        <v>184.7</v>
      </c>
      <c r="I328" s="25" t="n">
        <v>192.1</v>
      </c>
      <c r="J328" s="58" t="n">
        <v>3.9</v>
      </c>
      <c r="K328" s="23" t="s">
        <v>1719</v>
      </c>
      <c r="L328" s="24" t="s">
        <v>1720</v>
      </c>
      <c r="M328" s="24" t="s">
        <v>1721</v>
      </c>
      <c r="N328" s="26" t="s">
        <v>91</v>
      </c>
      <c r="O328" s="24" t="s">
        <v>949</v>
      </c>
      <c r="P328" s="24" t="s">
        <v>169</v>
      </c>
      <c r="Q328" s="24" t="s">
        <v>1007</v>
      </c>
      <c r="R328" s="73" t="s">
        <v>95</v>
      </c>
      <c r="S328" s="0" t="n">
        <f aca="false">IF(Recherche!$B$4="",0,IF(ISNUMBER(SEARCH(Recherche!$B$4,D328))+ISNUMBER(SEARCH(Recherche!$B$4,K328))&gt;0,1,0))</f>
        <v>0</v>
      </c>
      <c r="T328" s="0" t="str">
        <f aca="false">IF(S328=1,SUM($S$2:S328),"")</f>
        <v/>
      </c>
    </row>
    <row r="329" customFormat="false" ht="23.85" hidden="false" customHeight="false" outlineLevel="0" collapsed="false">
      <c r="A329" s="20" t="s">
        <v>1717</v>
      </c>
      <c r="B329" s="20" t="s">
        <v>59</v>
      </c>
      <c r="C329" s="20" t="s">
        <v>1712</v>
      </c>
      <c r="D329" s="19" t="s">
        <v>386</v>
      </c>
      <c r="E329" s="22" t="s">
        <v>91</v>
      </c>
      <c r="F329" s="20" t="s">
        <v>76</v>
      </c>
      <c r="G329" s="20" t="s">
        <v>939</v>
      </c>
      <c r="H329" s="21" t="n">
        <v>365.33</v>
      </c>
      <c r="I329" s="21"/>
      <c r="J329" s="52"/>
      <c r="K329" s="19" t="s">
        <v>391</v>
      </c>
      <c r="L329" s="20" t="s">
        <v>1715</v>
      </c>
      <c r="M329" s="20" t="s">
        <v>1722</v>
      </c>
      <c r="N329" s="22" t="s">
        <v>91</v>
      </c>
      <c r="O329" s="20"/>
      <c r="P329" s="20" t="s">
        <v>93</v>
      </c>
      <c r="Q329" s="20" t="s">
        <v>942</v>
      </c>
      <c r="R329" s="76" t="s">
        <v>95</v>
      </c>
      <c r="S329" s="0" t="n">
        <f aca="false">IF(Recherche!$B$4="",0,IF(ISNUMBER(SEARCH(Recherche!$B$4,D329))+ISNUMBER(SEARCH(Recherche!$B$4,K329))&gt;0,1,0))</f>
        <v>0</v>
      </c>
      <c r="T329" s="0" t="str">
        <f aca="false">IF(S329=1,SUM($S$2:S329),"")</f>
        <v/>
      </c>
    </row>
    <row r="330" customFormat="false" ht="15" hidden="false" customHeight="false" outlineLevel="0" collapsed="false">
      <c r="A330" s="24" t="s">
        <v>1723</v>
      </c>
      <c r="B330" s="24" t="s">
        <v>59</v>
      </c>
      <c r="C330" s="24" t="s">
        <v>1712</v>
      </c>
      <c r="D330" s="23" t="s">
        <v>388</v>
      </c>
      <c r="E330" s="26" t="s">
        <v>91</v>
      </c>
      <c r="F330" s="74" t="s">
        <v>81</v>
      </c>
      <c r="G330" s="74" t="s">
        <v>979</v>
      </c>
      <c r="H330" s="75" t="n">
        <v>216.34</v>
      </c>
      <c r="I330" s="25" t="n">
        <v>252.14</v>
      </c>
      <c r="J330" s="58" t="n">
        <v>14.2</v>
      </c>
      <c r="K330" s="23" t="s">
        <v>389</v>
      </c>
      <c r="L330" s="24" t="s">
        <v>1471</v>
      </c>
      <c r="M330" s="24" t="s">
        <v>1724</v>
      </c>
      <c r="N330" s="26" t="s">
        <v>91</v>
      </c>
      <c r="O330" s="24" t="s">
        <v>949</v>
      </c>
      <c r="P330" s="24" t="s">
        <v>169</v>
      </c>
      <c r="Q330" s="24" t="s">
        <v>1007</v>
      </c>
      <c r="R330" s="73" t="s">
        <v>95</v>
      </c>
      <c r="S330" s="0" t="n">
        <f aca="false">IF(Recherche!$B$4="",0,IF(ISNUMBER(SEARCH(Recherche!$B$4,D330))+ISNUMBER(SEARCH(Recherche!$B$4,K330))&gt;0,1,0))</f>
        <v>0</v>
      </c>
      <c r="T330" s="0" t="str">
        <f aca="false">IF(S330=1,SUM($S$2:S330),"")</f>
        <v/>
      </c>
    </row>
    <row r="331" customFormat="false" ht="23.85" hidden="false" customHeight="false" outlineLevel="0" collapsed="false">
      <c r="A331" s="20" t="s">
        <v>1723</v>
      </c>
      <c r="B331" s="20" t="s">
        <v>59</v>
      </c>
      <c r="C331" s="20" t="s">
        <v>1712</v>
      </c>
      <c r="D331" s="19" t="s">
        <v>388</v>
      </c>
      <c r="E331" s="22" t="s">
        <v>91</v>
      </c>
      <c r="F331" s="20" t="s">
        <v>76</v>
      </c>
      <c r="G331" s="20" t="s">
        <v>939</v>
      </c>
      <c r="H331" s="21" t="n">
        <v>456.58</v>
      </c>
      <c r="I331" s="21"/>
      <c r="J331" s="52"/>
      <c r="K331" s="19" t="s">
        <v>1725</v>
      </c>
      <c r="L331" s="20" t="s">
        <v>1715</v>
      </c>
      <c r="M331" s="20" t="s">
        <v>1726</v>
      </c>
      <c r="N331" s="22" t="s">
        <v>91</v>
      </c>
      <c r="O331" s="20"/>
      <c r="P331" s="20" t="s">
        <v>93</v>
      </c>
      <c r="Q331" s="20" t="s">
        <v>942</v>
      </c>
      <c r="R331" s="76" t="s">
        <v>95</v>
      </c>
      <c r="S331" s="0" t="n">
        <f aca="false">IF(Recherche!$B$4="",0,IF(ISNUMBER(SEARCH(Recherche!$B$4,D331))+ISNUMBER(SEARCH(Recherche!$B$4,K331))&gt;0,1,0))</f>
        <v>0</v>
      </c>
      <c r="T331" s="0" t="str">
        <f aca="false">IF(S331=1,SUM($S$2:S331),"")</f>
        <v/>
      </c>
    </row>
    <row r="332" customFormat="false" ht="23.85" hidden="false" customHeight="false" outlineLevel="0" collapsed="false">
      <c r="A332" s="24" t="s">
        <v>1727</v>
      </c>
      <c r="B332" s="24" t="s">
        <v>59</v>
      </c>
      <c r="C332" s="24" t="s">
        <v>1712</v>
      </c>
      <c r="D332" s="23" t="s">
        <v>390</v>
      </c>
      <c r="E332" s="26" t="s">
        <v>91</v>
      </c>
      <c r="F332" s="24" t="s">
        <v>76</v>
      </c>
      <c r="G332" s="24" t="s">
        <v>939</v>
      </c>
      <c r="H332" s="25" t="n">
        <v>365.33</v>
      </c>
      <c r="I332" s="25"/>
      <c r="J332" s="58"/>
      <c r="K332" s="23" t="s">
        <v>391</v>
      </c>
      <c r="L332" s="24" t="s">
        <v>1715</v>
      </c>
      <c r="M332" s="24" t="s">
        <v>1722</v>
      </c>
      <c r="N332" s="26" t="s">
        <v>91</v>
      </c>
      <c r="O332" s="24"/>
      <c r="P332" s="24" t="s">
        <v>93</v>
      </c>
      <c r="Q332" s="24" t="s">
        <v>963</v>
      </c>
      <c r="R332" s="73" t="s">
        <v>95</v>
      </c>
      <c r="S332" s="0" t="n">
        <f aca="false">IF(Recherche!$B$4="",0,IF(ISNUMBER(SEARCH(Recherche!$B$4,D332))+ISNUMBER(SEARCH(Recherche!$B$4,K332))&gt;0,1,0))</f>
        <v>0</v>
      </c>
      <c r="T332" s="0" t="str">
        <f aca="false">IF(S332=1,SUM($S$2:S332),"")</f>
        <v/>
      </c>
    </row>
    <row r="333" customFormat="false" ht="15" hidden="false" customHeight="false" outlineLevel="0" collapsed="false">
      <c r="A333" s="20" t="s">
        <v>1728</v>
      </c>
      <c r="B333" s="20" t="s">
        <v>59</v>
      </c>
      <c r="C333" s="20" t="s">
        <v>1712</v>
      </c>
      <c r="D333" s="19" t="s">
        <v>392</v>
      </c>
      <c r="E333" s="22" t="s">
        <v>91</v>
      </c>
      <c r="F333" s="20" t="s">
        <v>76</v>
      </c>
      <c r="G333" s="20" t="s">
        <v>939</v>
      </c>
      <c r="H333" s="21" t="n">
        <v>20.96</v>
      </c>
      <c r="I333" s="21"/>
      <c r="J333" s="52"/>
      <c r="K333" s="19" t="s">
        <v>393</v>
      </c>
      <c r="L333" s="20" t="s">
        <v>1729</v>
      </c>
      <c r="M333" s="20" t="s">
        <v>1730</v>
      </c>
      <c r="N333" s="22" t="s">
        <v>91</v>
      </c>
      <c r="O333" s="20"/>
      <c r="P333" s="20" t="s">
        <v>93</v>
      </c>
      <c r="Q333" s="20" t="s">
        <v>942</v>
      </c>
      <c r="R333" s="76" t="s">
        <v>95</v>
      </c>
      <c r="S333" s="0" t="n">
        <f aca="false">IF(Recherche!$B$4="",0,IF(ISNUMBER(SEARCH(Recherche!$B$4,D333))+ISNUMBER(SEARCH(Recherche!$B$4,K333))&gt;0,1,0))</f>
        <v>0</v>
      </c>
      <c r="T333" s="0" t="str">
        <f aca="false">IF(S333=1,SUM($S$2:S333),"")</f>
        <v/>
      </c>
    </row>
    <row r="334" customFormat="false" ht="15" hidden="false" customHeight="false" outlineLevel="0" collapsed="false">
      <c r="A334" s="24" t="s">
        <v>1728</v>
      </c>
      <c r="B334" s="24" t="s">
        <v>59</v>
      </c>
      <c r="C334" s="24" t="s">
        <v>1712</v>
      </c>
      <c r="D334" s="23" t="s">
        <v>392</v>
      </c>
      <c r="E334" s="26" t="s">
        <v>91</v>
      </c>
      <c r="F334" s="24" t="s">
        <v>80</v>
      </c>
      <c r="G334" s="24" t="s">
        <v>939</v>
      </c>
      <c r="H334" s="25" t="n">
        <v>34.13</v>
      </c>
      <c r="I334" s="25"/>
      <c r="J334" s="58"/>
      <c r="K334" s="23" t="s">
        <v>1731</v>
      </c>
      <c r="L334" s="24"/>
      <c r="M334" s="24" t="s">
        <v>1732</v>
      </c>
      <c r="N334" s="26" t="s">
        <v>91</v>
      </c>
      <c r="O334" s="24"/>
      <c r="P334" s="24" t="s">
        <v>303</v>
      </c>
      <c r="Q334" s="24" t="s">
        <v>963</v>
      </c>
      <c r="R334" s="73" t="s">
        <v>95</v>
      </c>
      <c r="S334" s="0" t="n">
        <f aca="false">IF(Recherche!$B$4="",0,IF(ISNUMBER(SEARCH(Recherche!$B$4,D334))+ISNUMBER(SEARCH(Recherche!$B$4,K334))&gt;0,1,0))</f>
        <v>0</v>
      </c>
      <c r="T334" s="0" t="str">
        <f aca="false">IF(S334=1,SUM($S$2:S334),"")</f>
        <v/>
      </c>
    </row>
    <row r="335" customFormat="false" ht="23.85" hidden="false" customHeight="false" outlineLevel="0" collapsed="false">
      <c r="A335" s="20" t="s">
        <v>1728</v>
      </c>
      <c r="B335" s="20" t="s">
        <v>59</v>
      </c>
      <c r="C335" s="20" t="s">
        <v>1712</v>
      </c>
      <c r="D335" s="19" t="s">
        <v>392</v>
      </c>
      <c r="E335" s="22" t="s">
        <v>91</v>
      </c>
      <c r="F335" s="74" t="s">
        <v>77</v>
      </c>
      <c r="G335" s="74" t="s">
        <v>979</v>
      </c>
      <c r="H335" s="75" t="n">
        <v>53.05</v>
      </c>
      <c r="I335" s="21" t="n">
        <v>53.05</v>
      </c>
      <c r="J335" s="52"/>
      <c r="K335" s="19" t="s">
        <v>1733</v>
      </c>
      <c r="L335" s="20" t="s">
        <v>1481</v>
      </c>
      <c r="M335" s="20" t="s">
        <v>1734</v>
      </c>
      <c r="N335" s="22" t="s">
        <v>91</v>
      </c>
      <c r="O335" s="20"/>
      <c r="P335" s="20" t="s">
        <v>114</v>
      </c>
      <c r="Q335" s="20" t="s">
        <v>983</v>
      </c>
      <c r="R335" s="76"/>
      <c r="S335" s="0" t="n">
        <f aca="false">IF(Recherche!$B$4="",0,IF(ISNUMBER(SEARCH(Recherche!$B$4,D335))+ISNUMBER(SEARCH(Recherche!$B$4,K335))&gt;0,1,0))</f>
        <v>0</v>
      </c>
      <c r="T335" s="0" t="str">
        <f aca="false">IF(S335=1,SUM($S$2:S335),"")</f>
        <v/>
      </c>
    </row>
    <row r="336" customFormat="false" ht="23.85" hidden="false" customHeight="false" outlineLevel="0" collapsed="false">
      <c r="A336" s="24" t="s">
        <v>1728</v>
      </c>
      <c r="B336" s="24" t="s">
        <v>59</v>
      </c>
      <c r="C336" s="24" t="s">
        <v>1712</v>
      </c>
      <c r="D336" s="23" t="s">
        <v>392</v>
      </c>
      <c r="E336" s="26" t="s">
        <v>91</v>
      </c>
      <c r="F336" s="74" t="s">
        <v>81</v>
      </c>
      <c r="G336" s="74" t="s">
        <v>979</v>
      </c>
      <c r="H336" s="75" t="n">
        <v>109.56</v>
      </c>
      <c r="I336" s="25" t="n">
        <v>144.54</v>
      </c>
      <c r="J336" s="58" t="n">
        <v>24.2</v>
      </c>
      <c r="K336" s="23" t="s">
        <v>1735</v>
      </c>
      <c r="L336" s="24" t="s">
        <v>1471</v>
      </c>
      <c r="M336" s="24" t="s">
        <v>1736</v>
      </c>
      <c r="N336" s="26" t="s">
        <v>91</v>
      </c>
      <c r="O336" s="24" t="s">
        <v>949</v>
      </c>
      <c r="P336" s="24" t="s">
        <v>169</v>
      </c>
      <c r="Q336" s="24" t="s">
        <v>1007</v>
      </c>
      <c r="R336" s="73" t="s">
        <v>95</v>
      </c>
      <c r="S336" s="0" t="n">
        <f aca="false">IF(Recherche!$B$4="",0,IF(ISNUMBER(SEARCH(Recherche!$B$4,D336))+ISNUMBER(SEARCH(Recherche!$B$4,K336))&gt;0,1,0))</f>
        <v>0</v>
      </c>
      <c r="T336" s="0" t="str">
        <f aca="false">IF(S336=1,SUM($S$2:S336),"")</f>
        <v/>
      </c>
    </row>
    <row r="337" customFormat="false" ht="23.85" hidden="false" customHeight="false" outlineLevel="0" collapsed="false">
      <c r="A337" s="20" t="s">
        <v>1737</v>
      </c>
      <c r="B337" s="20" t="s">
        <v>59</v>
      </c>
      <c r="C337" s="20" t="s">
        <v>1712</v>
      </c>
      <c r="D337" s="19" t="s">
        <v>394</v>
      </c>
      <c r="E337" s="22" t="s">
        <v>91</v>
      </c>
      <c r="F337" s="20" t="s">
        <v>76</v>
      </c>
      <c r="G337" s="20" t="s">
        <v>939</v>
      </c>
      <c r="H337" s="21" t="n">
        <v>13.42</v>
      </c>
      <c r="I337" s="21"/>
      <c r="J337" s="52"/>
      <c r="K337" s="19" t="s">
        <v>395</v>
      </c>
      <c r="L337" s="20" t="s">
        <v>1729</v>
      </c>
      <c r="M337" s="20" t="s">
        <v>1738</v>
      </c>
      <c r="N337" s="22" t="s">
        <v>91</v>
      </c>
      <c r="O337" s="20"/>
      <c r="P337" s="20" t="s">
        <v>93</v>
      </c>
      <c r="Q337" s="20" t="s">
        <v>942</v>
      </c>
      <c r="R337" s="76" t="s">
        <v>95</v>
      </c>
      <c r="S337" s="0" t="n">
        <f aca="false">IF(Recherche!$B$4="",0,IF(ISNUMBER(SEARCH(Recherche!$B$4,D337))+ISNUMBER(SEARCH(Recherche!$B$4,K337))&gt;0,1,0))</f>
        <v>0</v>
      </c>
      <c r="T337" s="0" t="str">
        <f aca="false">IF(S337=1,SUM($S$2:S337),"")</f>
        <v/>
      </c>
    </row>
    <row r="338" customFormat="false" ht="23.85" hidden="false" customHeight="false" outlineLevel="0" collapsed="false">
      <c r="A338" s="24" t="s">
        <v>1737</v>
      </c>
      <c r="B338" s="24" t="s">
        <v>59</v>
      </c>
      <c r="C338" s="24" t="s">
        <v>1712</v>
      </c>
      <c r="D338" s="23" t="s">
        <v>394</v>
      </c>
      <c r="E338" s="26" t="s">
        <v>91</v>
      </c>
      <c r="F338" s="74" t="s">
        <v>77</v>
      </c>
      <c r="G338" s="74" t="s">
        <v>979</v>
      </c>
      <c r="H338" s="75" t="n">
        <v>53.05</v>
      </c>
      <c r="I338" s="25" t="n">
        <v>53.05</v>
      </c>
      <c r="J338" s="58"/>
      <c r="K338" s="23" t="s">
        <v>1733</v>
      </c>
      <c r="L338" s="24" t="s">
        <v>1481</v>
      </c>
      <c r="M338" s="24" t="s">
        <v>1734</v>
      </c>
      <c r="N338" s="26" t="s">
        <v>91</v>
      </c>
      <c r="O338" s="24"/>
      <c r="P338" s="24" t="s">
        <v>114</v>
      </c>
      <c r="Q338" s="24" t="s">
        <v>983</v>
      </c>
      <c r="R338" s="73"/>
      <c r="S338" s="0" t="n">
        <f aca="false">IF(Recherche!$B$4="",0,IF(ISNUMBER(SEARCH(Recherche!$B$4,D338))+ISNUMBER(SEARCH(Recherche!$B$4,K338))&gt;0,1,0))</f>
        <v>0</v>
      </c>
      <c r="T338" s="0" t="str">
        <f aca="false">IF(S338=1,SUM($S$2:S338),"")</f>
        <v/>
      </c>
    </row>
    <row r="339" customFormat="false" ht="23.85" hidden="false" customHeight="false" outlineLevel="0" collapsed="false">
      <c r="A339" s="20" t="s">
        <v>1739</v>
      </c>
      <c r="B339" s="20" t="s">
        <v>59</v>
      </c>
      <c r="C339" s="20" t="s">
        <v>1712</v>
      </c>
      <c r="D339" s="19" t="s">
        <v>396</v>
      </c>
      <c r="E339" s="22" t="s">
        <v>91</v>
      </c>
      <c r="F339" s="20" t="s">
        <v>76</v>
      </c>
      <c r="G339" s="20" t="s">
        <v>939</v>
      </c>
      <c r="H339" s="21" t="n">
        <v>9.26</v>
      </c>
      <c r="I339" s="21"/>
      <c r="J339" s="52"/>
      <c r="K339" s="19" t="s">
        <v>397</v>
      </c>
      <c r="L339" s="20" t="s">
        <v>1428</v>
      </c>
      <c r="M339" s="20" t="s">
        <v>1740</v>
      </c>
      <c r="N339" s="22" t="s">
        <v>91</v>
      </c>
      <c r="O339" s="20"/>
      <c r="P339" s="20" t="s">
        <v>93</v>
      </c>
      <c r="Q339" s="20" t="s">
        <v>942</v>
      </c>
      <c r="R339" s="76" t="s">
        <v>95</v>
      </c>
      <c r="S339" s="0" t="n">
        <f aca="false">IF(Recherche!$B$4="",0,IF(ISNUMBER(SEARCH(Recherche!$B$4,D339))+ISNUMBER(SEARCH(Recherche!$B$4,K339))&gt;0,1,0))</f>
        <v>0</v>
      </c>
      <c r="T339" s="0" t="str">
        <f aca="false">IF(S339=1,SUM($S$2:S339),"")</f>
        <v/>
      </c>
    </row>
    <row r="340" customFormat="false" ht="15" hidden="false" customHeight="false" outlineLevel="0" collapsed="false">
      <c r="A340" s="24" t="s">
        <v>1739</v>
      </c>
      <c r="B340" s="24" t="s">
        <v>59</v>
      </c>
      <c r="C340" s="24" t="s">
        <v>1712</v>
      </c>
      <c r="D340" s="23" t="s">
        <v>396</v>
      </c>
      <c r="E340" s="26" t="s">
        <v>91</v>
      </c>
      <c r="F340" s="24" t="s">
        <v>80</v>
      </c>
      <c r="G340" s="24" t="s">
        <v>939</v>
      </c>
      <c r="H340" s="25" t="n">
        <v>13.88</v>
      </c>
      <c r="I340" s="25"/>
      <c r="J340" s="58"/>
      <c r="K340" s="23" t="s">
        <v>1741</v>
      </c>
      <c r="L340" s="24"/>
      <c r="M340" s="24" t="s">
        <v>1742</v>
      </c>
      <c r="N340" s="26" t="s">
        <v>91</v>
      </c>
      <c r="O340" s="24"/>
      <c r="P340" s="24" t="s">
        <v>303</v>
      </c>
      <c r="Q340" s="24" t="s">
        <v>963</v>
      </c>
      <c r="R340" s="73" t="s">
        <v>95</v>
      </c>
      <c r="S340" s="0" t="n">
        <f aca="false">IF(Recherche!$B$4="",0,IF(ISNUMBER(SEARCH(Recherche!$B$4,D340))+ISNUMBER(SEARCH(Recherche!$B$4,K340))&gt;0,1,0))</f>
        <v>0</v>
      </c>
      <c r="T340" s="0" t="str">
        <f aca="false">IF(S340=1,SUM($S$2:S340),"")</f>
        <v/>
      </c>
    </row>
    <row r="341" customFormat="false" ht="23.85" hidden="false" customHeight="false" outlineLevel="0" collapsed="false">
      <c r="A341" s="20" t="s">
        <v>1743</v>
      </c>
      <c r="B341" s="20" t="s">
        <v>59</v>
      </c>
      <c r="C341" s="20" t="s">
        <v>1712</v>
      </c>
      <c r="D341" s="19" t="s">
        <v>398</v>
      </c>
      <c r="E341" s="22" t="s">
        <v>91</v>
      </c>
      <c r="F341" s="20" t="s">
        <v>76</v>
      </c>
      <c r="G341" s="20" t="s">
        <v>939</v>
      </c>
      <c r="H341" s="21" t="n">
        <v>125.16</v>
      </c>
      <c r="I341" s="21"/>
      <c r="J341" s="52"/>
      <c r="K341" s="19" t="s">
        <v>399</v>
      </c>
      <c r="L341" s="20" t="s">
        <v>1744</v>
      </c>
      <c r="M341" s="20" t="s">
        <v>1745</v>
      </c>
      <c r="N341" s="22" t="s">
        <v>91</v>
      </c>
      <c r="O341" s="20"/>
      <c r="P341" s="20" t="s">
        <v>93</v>
      </c>
      <c r="Q341" s="20" t="s">
        <v>942</v>
      </c>
      <c r="R341" s="76" t="s">
        <v>95</v>
      </c>
      <c r="S341" s="0" t="n">
        <f aca="false">IF(Recherche!$B$4="",0,IF(ISNUMBER(SEARCH(Recherche!$B$4,D341))+ISNUMBER(SEARCH(Recherche!$B$4,K341))&gt;0,1,0))</f>
        <v>0</v>
      </c>
      <c r="T341" s="0" t="str">
        <f aca="false">IF(S341=1,SUM($S$2:S341),"")</f>
        <v/>
      </c>
    </row>
    <row r="342" customFormat="false" ht="23.85" hidden="false" customHeight="false" outlineLevel="0" collapsed="false">
      <c r="A342" s="24" t="s">
        <v>1746</v>
      </c>
      <c r="B342" s="24" t="s">
        <v>59</v>
      </c>
      <c r="C342" s="24" t="s">
        <v>1712</v>
      </c>
      <c r="D342" s="23" t="s">
        <v>400</v>
      </c>
      <c r="E342" s="26" t="s">
        <v>91</v>
      </c>
      <c r="F342" s="74" t="s">
        <v>81</v>
      </c>
      <c r="G342" s="74" t="s">
        <v>979</v>
      </c>
      <c r="H342" s="75" t="n">
        <v>21.96</v>
      </c>
      <c r="I342" s="25" t="n">
        <v>23.12</v>
      </c>
      <c r="J342" s="58" t="n">
        <v>5</v>
      </c>
      <c r="K342" s="23" t="s">
        <v>401</v>
      </c>
      <c r="L342" s="24" t="s">
        <v>1747</v>
      </c>
      <c r="M342" s="24" t="s">
        <v>1748</v>
      </c>
      <c r="N342" s="26" t="s">
        <v>91</v>
      </c>
      <c r="O342" s="24" t="s">
        <v>949</v>
      </c>
      <c r="P342" s="24" t="s">
        <v>169</v>
      </c>
      <c r="Q342" s="24" t="s">
        <v>1007</v>
      </c>
      <c r="R342" s="73" t="s">
        <v>95</v>
      </c>
      <c r="S342" s="0" t="n">
        <f aca="false">IF(Recherche!$B$4="",0,IF(ISNUMBER(SEARCH(Recherche!$B$4,D342))+ISNUMBER(SEARCH(Recherche!$B$4,K342))&gt;0,1,0))</f>
        <v>0</v>
      </c>
      <c r="T342" s="0" t="str">
        <f aca="false">IF(S342=1,SUM($S$2:S342),"")</f>
        <v/>
      </c>
    </row>
    <row r="343" customFormat="false" ht="23.85" hidden="false" customHeight="false" outlineLevel="0" collapsed="false">
      <c r="A343" s="20" t="s">
        <v>1746</v>
      </c>
      <c r="B343" s="20" t="s">
        <v>59</v>
      </c>
      <c r="C343" s="20" t="s">
        <v>1712</v>
      </c>
      <c r="D343" s="19" t="s">
        <v>400</v>
      </c>
      <c r="E343" s="22" t="s">
        <v>91</v>
      </c>
      <c r="F343" s="20" t="s">
        <v>76</v>
      </c>
      <c r="G343" s="20" t="s">
        <v>939</v>
      </c>
      <c r="H343" s="21" t="n">
        <v>34.98</v>
      </c>
      <c r="I343" s="21"/>
      <c r="J343" s="52"/>
      <c r="K343" s="19" t="s">
        <v>1749</v>
      </c>
      <c r="L343" s="20" t="s">
        <v>1459</v>
      </c>
      <c r="M343" s="20" t="s">
        <v>1750</v>
      </c>
      <c r="N343" s="22" t="s">
        <v>91</v>
      </c>
      <c r="O343" s="20"/>
      <c r="P343" s="20" t="s">
        <v>93</v>
      </c>
      <c r="Q343" s="20" t="s">
        <v>942</v>
      </c>
      <c r="R343" s="76" t="s">
        <v>95</v>
      </c>
      <c r="S343" s="0" t="n">
        <f aca="false">IF(Recherche!$B$4="",0,IF(ISNUMBER(SEARCH(Recherche!$B$4,D343))+ISNUMBER(SEARCH(Recherche!$B$4,K343))&gt;0,1,0))</f>
        <v>0</v>
      </c>
      <c r="T343" s="0" t="str">
        <f aca="false">IF(S343=1,SUM($S$2:S343),"")</f>
        <v/>
      </c>
    </row>
    <row r="344" customFormat="false" ht="23.85" hidden="false" customHeight="false" outlineLevel="0" collapsed="false">
      <c r="A344" s="24" t="s">
        <v>1746</v>
      </c>
      <c r="B344" s="24" t="s">
        <v>59</v>
      </c>
      <c r="C344" s="24" t="s">
        <v>1712</v>
      </c>
      <c r="D344" s="23" t="s">
        <v>400</v>
      </c>
      <c r="E344" s="26" t="s">
        <v>91</v>
      </c>
      <c r="F344" s="24" t="s">
        <v>80</v>
      </c>
      <c r="G344" s="24" t="s">
        <v>939</v>
      </c>
      <c r="H344" s="25" t="n">
        <v>57.14</v>
      </c>
      <c r="I344" s="25"/>
      <c r="J344" s="58"/>
      <c r="K344" s="23" t="s">
        <v>1751</v>
      </c>
      <c r="L344" s="24"/>
      <c r="M344" s="24" t="s">
        <v>1752</v>
      </c>
      <c r="N344" s="26" t="s">
        <v>91</v>
      </c>
      <c r="O344" s="24"/>
      <c r="P344" s="24" t="s">
        <v>303</v>
      </c>
      <c r="Q344" s="24" t="s">
        <v>942</v>
      </c>
      <c r="R344" s="73" t="s">
        <v>95</v>
      </c>
      <c r="S344" s="0" t="n">
        <f aca="false">IF(Recherche!$B$4="",0,IF(ISNUMBER(SEARCH(Recherche!$B$4,D344))+ISNUMBER(SEARCH(Recherche!$B$4,K344))&gt;0,1,0))</f>
        <v>0</v>
      </c>
      <c r="T344" s="0" t="str">
        <f aca="false">IF(S344=1,SUM($S$2:S344),"")</f>
        <v/>
      </c>
    </row>
    <row r="345" customFormat="false" ht="15" hidden="false" customHeight="false" outlineLevel="0" collapsed="false">
      <c r="A345" s="20" t="s">
        <v>1746</v>
      </c>
      <c r="B345" s="20" t="s">
        <v>59</v>
      </c>
      <c r="C345" s="20" t="s">
        <v>1712</v>
      </c>
      <c r="D345" s="19" t="s">
        <v>400</v>
      </c>
      <c r="E345" s="22" t="s">
        <v>91</v>
      </c>
      <c r="F345" s="74" t="s">
        <v>77</v>
      </c>
      <c r="G345" s="74" t="s">
        <v>979</v>
      </c>
      <c r="H345" s="75" t="n">
        <v>195</v>
      </c>
      <c r="I345" s="21" t="n">
        <v>260</v>
      </c>
      <c r="J345" s="52" t="n">
        <v>25</v>
      </c>
      <c r="K345" s="19" t="s">
        <v>1753</v>
      </c>
      <c r="L345" s="20" t="s">
        <v>1754</v>
      </c>
      <c r="M345" s="20" t="s">
        <v>1755</v>
      </c>
      <c r="N345" s="22" t="s">
        <v>91</v>
      </c>
      <c r="O345" s="20"/>
      <c r="P345" s="20" t="s">
        <v>114</v>
      </c>
      <c r="Q345" s="20" t="s">
        <v>983</v>
      </c>
      <c r="R345" s="76"/>
      <c r="S345" s="0" t="n">
        <f aca="false">IF(Recherche!$B$4="",0,IF(ISNUMBER(SEARCH(Recherche!$B$4,D345))+ISNUMBER(SEARCH(Recherche!$B$4,K345))&gt;0,1,0))</f>
        <v>0</v>
      </c>
      <c r="T345" s="0" t="str">
        <f aca="false">IF(S345=1,SUM($S$2:S345),"")</f>
        <v/>
      </c>
    </row>
    <row r="346" customFormat="false" ht="15" hidden="false" customHeight="false" outlineLevel="0" collapsed="false">
      <c r="A346" s="24" t="s">
        <v>1756</v>
      </c>
      <c r="B346" s="24" t="s">
        <v>59</v>
      </c>
      <c r="C346" s="24" t="s">
        <v>1712</v>
      </c>
      <c r="D346" s="23" t="s">
        <v>402</v>
      </c>
      <c r="E346" s="26" t="s">
        <v>91</v>
      </c>
      <c r="F346" s="24" t="s">
        <v>80</v>
      </c>
      <c r="G346" s="24" t="s">
        <v>939</v>
      </c>
      <c r="H346" s="25" t="n">
        <v>30.87</v>
      </c>
      <c r="I346" s="25"/>
      <c r="J346" s="58"/>
      <c r="K346" s="23" t="s">
        <v>403</v>
      </c>
      <c r="L346" s="24"/>
      <c r="M346" s="24" t="s">
        <v>1757</v>
      </c>
      <c r="N346" s="26" t="s">
        <v>91</v>
      </c>
      <c r="O346" s="24"/>
      <c r="P346" s="24" t="s">
        <v>303</v>
      </c>
      <c r="Q346" s="24" t="s">
        <v>963</v>
      </c>
      <c r="R346" s="73" t="s">
        <v>95</v>
      </c>
      <c r="S346" s="0" t="n">
        <f aca="false">IF(Recherche!$B$4="",0,IF(ISNUMBER(SEARCH(Recherche!$B$4,D346))+ISNUMBER(SEARCH(Recherche!$B$4,K346))&gt;0,1,0))</f>
        <v>0</v>
      </c>
      <c r="T346" s="0" t="str">
        <f aca="false">IF(S346=1,SUM($S$2:S346),"")</f>
        <v/>
      </c>
    </row>
    <row r="347" customFormat="false" ht="15" hidden="false" customHeight="false" outlineLevel="0" collapsed="false">
      <c r="A347" s="20" t="s">
        <v>1756</v>
      </c>
      <c r="B347" s="20" t="s">
        <v>59</v>
      </c>
      <c r="C347" s="20" t="s">
        <v>1712</v>
      </c>
      <c r="D347" s="19" t="s">
        <v>402</v>
      </c>
      <c r="E347" s="22" t="s">
        <v>91</v>
      </c>
      <c r="F347" s="74" t="s">
        <v>81</v>
      </c>
      <c r="G347" s="74" t="s">
        <v>979</v>
      </c>
      <c r="H347" s="75" t="n">
        <v>97.33</v>
      </c>
      <c r="I347" s="21" t="n">
        <v>102.2</v>
      </c>
      <c r="J347" s="52" t="n">
        <v>4.8</v>
      </c>
      <c r="K347" s="19" t="s">
        <v>1758</v>
      </c>
      <c r="L347" s="20" t="s">
        <v>969</v>
      </c>
      <c r="M347" s="20" t="s">
        <v>1759</v>
      </c>
      <c r="N347" s="22" t="s">
        <v>91</v>
      </c>
      <c r="O347" s="20" t="s">
        <v>949</v>
      </c>
      <c r="P347" s="20" t="s">
        <v>169</v>
      </c>
      <c r="Q347" s="20" t="s">
        <v>1016</v>
      </c>
      <c r="R347" s="76" t="s">
        <v>95</v>
      </c>
      <c r="S347" s="0" t="n">
        <f aca="false">IF(Recherche!$B$4="",0,IF(ISNUMBER(SEARCH(Recherche!$B$4,D347))+ISNUMBER(SEARCH(Recherche!$B$4,K347))&gt;0,1,0))</f>
        <v>0</v>
      </c>
      <c r="T347" s="0" t="str">
        <f aca="false">IF(S347=1,SUM($S$2:S347),"")</f>
        <v/>
      </c>
    </row>
    <row r="348" customFormat="false" ht="23.85" hidden="false" customHeight="false" outlineLevel="0" collapsed="false">
      <c r="A348" s="24" t="s">
        <v>1756</v>
      </c>
      <c r="B348" s="24" t="s">
        <v>59</v>
      </c>
      <c r="C348" s="24" t="s">
        <v>1712</v>
      </c>
      <c r="D348" s="23" t="s">
        <v>402</v>
      </c>
      <c r="E348" s="26" t="s">
        <v>91</v>
      </c>
      <c r="F348" s="24" t="s">
        <v>76</v>
      </c>
      <c r="G348" s="24" t="s">
        <v>939</v>
      </c>
      <c r="H348" s="25" t="n">
        <v>118.45</v>
      </c>
      <c r="I348" s="25"/>
      <c r="J348" s="58"/>
      <c r="K348" s="23" t="s">
        <v>1760</v>
      </c>
      <c r="L348" s="24" t="s">
        <v>1761</v>
      </c>
      <c r="M348" s="24" t="s">
        <v>1762</v>
      </c>
      <c r="N348" s="26" t="s">
        <v>91</v>
      </c>
      <c r="O348" s="24"/>
      <c r="P348" s="24" t="s">
        <v>93</v>
      </c>
      <c r="Q348" s="24" t="s">
        <v>942</v>
      </c>
      <c r="R348" s="73" t="s">
        <v>95</v>
      </c>
      <c r="S348" s="0" t="n">
        <f aca="false">IF(Recherche!$B$4="",0,IF(ISNUMBER(SEARCH(Recherche!$B$4,D348))+ISNUMBER(SEARCH(Recherche!$B$4,K348))&gt;0,1,0))</f>
        <v>0</v>
      </c>
      <c r="T348" s="0" t="str">
        <f aca="false">IF(S348=1,SUM($S$2:S348),"")</f>
        <v/>
      </c>
    </row>
    <row r="349" customFormat="false" ht="23.85" hidden="false" customHeight="false" outlineLevel="0" collapsed="false">
      <c r="A349" s="20" t="s">
        <v>1756</v>
      </c>
      <c r="B349" s="20" t="s">
        <v>59</v>
      </c>
      <c r="C349" s="20" t="s">
        <v>1712</v>
      </c>
      <c r="D349" s="19" t="s">
        <v>402</v>
      </c>
      <c r="E349" s="22" t="s">
        <v>91</v>
      </c>
      <c r="F349" s="74" t="s">
        <v>77</v>
      </c>
      <c r="G349" s="74" t="s">
        <v>979</v>
      </c>
      <c r="H349" s="75" t="n">
        <v>315.87</v>
      </c>
      <c r="I349" s="21" t="n">
        <v>421.16</v>
      </c>
      <c r="J349" s="52" t="n">
        <v>25</v>
      </c>
      <c r="K349" s="19" t="s">
        <v>1763</v>
      </c>
      <c r="L349" s="20" t="s">
        <v>1018</v>
      </c>
      <c r="M349" s="20" t="s">
        <v>1764</v>
      </c>
      <c r="N349" s="22" t="s">
        <v>91</v>
      </c>
      <c r="O349" s="20"/>
      <c r="P349" s="20" t="s">
        <v>114</v>
      </c>
      <c r="Q349" s="20" t="s">
        <v>983</v>
      </c>
      <c r="R349" s="76"/>
      <c r="S349" s="0" t="n">
        <f aca="false">IF(Recherche!$B$4="",0,IF(ISNUMBER(SEARCH(Recherche!$B$4,D349))+ISNUMBER(SEARCH(Recherche!$B$4,K349))&gt;0,1,0))</f>
        <v>0</v>
      </c>
      <c r="T349" s="0" t="str">
        <f aca="false">IF(S349=1,SUM($S$2:S349),"")</f>
        <v/>
      </c>
    </row>
    <row r="350" customFormat="false" ht="23.85" hidden="false" customHeight="false" outlineLevel="0" collapsed="false">
      <c r="A350" s="24" t="s">
        <v>1765</v>
      </c>
      <c r="B350" s="24" t="s">
        <v>59</v>
      </c>
      <c r="C350" s="24" t="s">
        <v>1712</v>
      </c>
      <c r="D350" s="23" t="s">
        <v>404</v>
      </c>
      <c r="E350" s="26" t="s">
        <v>91</v>
      </c>
      <c r="F350" s="74" t="s">
        <v>78</v>
      </c>
      <c r="G350" s="74" t="s">
        <v>943</v>
      </c>
      <c r="H350" s="75" t="n">
        <v>1046.81</v>
      </c>
      <c r="I350" s="25"/>
      <c r="J350" s="58"/>
      <c r="K350" s="23" t="s">
        <v>405</v>
      </c>
      <c r="L350" s="24"/>
      <c r="M350" s="24" t="s">
        <v>1766</v>
      </c>
      <c r="N350" s="26" t="s">
        <v>91</v>
      </c>
      <c r="O350" s="24"/>
      <c r="P350" s="24" t="s">
        <v>93</v>
      </c>
      <c r="Q350" s="24" t="s">
        <v>1016</v>
      </c>
      <c r="R350" s="73"/>
      <c r="S350" s="0" t="n">
        <f aca="false">IF(Recherche!$B$4="",0,IF(ISNUMBER(SEARCH(Recherche!$B$4,D350))+ISNUMBER(SEARCH(Recherche!$B$4,K350))&gt;0,1,0))</f>
        <v>0</v>
      </c>
      <c r="T350" s="0" t="str">
        <f aca="false">IF(S350=1,SUM($S$2:S350),"")</f>
        <v/>
      </c>
    </row>
    <row r="351" customFormat="false" ht="15" hidden="false" customHeight="false" outlineLevel="0" collapsed="false">
      <c r="A351" s="20" t="s">
        <v>1767</v>
      </c>
      <c r="B351" s="20" t="s">
        <v>59</v>
      </c>
      <c r="C351" s="20" t="s">
        <v>1768</v>
      </c>
      <c r="D351" s="19" t="s">
        <v>406</v>
      </c>
      <c r="E351" s="22" t="s">
        <v>91</v>
      </c>
      <c r="F351" s="74" t="s">
        <v>81</v>
      </c>
      <c r="G351" s="74" t="s">
        <v>979</v>
      </c>
      <c r="H351" s="75" t="n">
        <v>71.11</v>
      </c>
      <c r="I351" s="21" t="n">
        <v>72.99</v>
      </c>
      <c r="J351" s="52" t="n">
        <v>2.6</v>
      </c>
      <c r="K351" s="19" t="s">
        <v>407</v>
      </c>
      <c r="L351" s="20" t="s">
        <v>1769</v>
      </c>
      <c r="M351" s="20" t="s">
        <v>1770</v>
      </c>
      <c r="N351" s="22" t="s">
        <v>91</v>
      </c>
      <c r="O351" s="20" t="s">
        <v>949</v>
      </c>
      <c r="P351" s="20" t="s">
        <v>119</v>
      </c>
      <c r="Q351" s="20" t="s">
        <v>1007</v>
      </c>
      <c r="R351" s="76" t="s">
        <v>95</v>
      </c>
      <c r="S351" s="0" t="n">
        <f aca="false">IF(Recherche!$B$4="",0,IF(ISNUMBER(SEARCH(Recherche!$B$4,D351))+ISNUMBER(SEARCH(Recherche!$B$4,K351))&gt;0,1,0))</f>
        <v>0</v>
      </c>
      <c r="T351" s="0" t="str">
        <f aca="false">IF(S351=1,SUM($S$2:S351),"")</f>
        <v/>
      </c>
    </row>
    <row r="352" customFormat="false" ht="23.85" hidden="false" customHeight="false" outlineLevel="0" collapsed="false">
      <c r="A352" s="24" t="s">
        <v>1767</v>
      </c>
      <c r="B352" s="24" t="s">
        <v>59</v>
      </c>
      <c r="C352" s="24" t="s">
        <v>1768</v>
      </c>
      <c r="D352" s="23" t="s">
        <v>406</v>
      </c>
      <c r="E352" s="26" t="s">
        <v>91</v>
      </c>
      <c r="F352" s="24" t="s">
        <v>80</v>
      </c>
      <c r="G352" s="24" t="s">
        <v>939</v>
      </c>
      <c r="H352" s="25" t="n">
        <v>118.18</v>
      </c>
      <c r="I352" s="25"/>
      <c r="J352" s="58"/>
      <c r="K352" s="23" t="s">
        <v>1771</v>
      </c>
      <c r="L352" s="24"/>
      <c r="M352" s="24" t="s">
        <v>1772</v>
      </c>
      <c r="N352" s="26" t="s">
        <v>91</v>
      </c>
      <c r="O352" s="24"/>
      <c r="P352" s="24" t="s">
        <v>303</v>
      </c>
      <c r="Q352" s="24" t="s">
        <v>942</v>
      </c>
      <c r="R352" s="73" t="s">
        <v>95</v>
      </c>
      <c r="S352" s="0" t="n">
        <f aca="false">IF(Recherche!$B$4="",0,IF(ISNUMBER(SEARCH(Recherche!$B$4,D352))+ISNUMBER(SEARCH(Recherche!$B$4,K352))&gt;0,1,0))</f>
        <v>0</v>
      </c>
      <c r="T352" s="0" t="str">
        <f aca="false">IF(S352=1,SUM($S$2:S352),"")</f>
        <v/>
      </c>
    </row>
    <row r="353" customFormat="false" ht="23.85" hidden="false" customHeight="false" outlineLevel="0" collapsed="false">
      <c r="A353" s="20" t="s">
        <v>1767</v>
      </c>
      <c r="B353" s="20" t="s">
        <v>59</v>
      </c>
      <c r="C353" s="20" t="s">
        <v>1768</v>
      </c>
      <c r="D353" s="19" t="s">
        <v>406</v>
      </c>
      <c r="E353" s="22" t="s">
        <v>91</v>
      </c>
      <c r="F353" s="20" t="s">
        <v>76</v>
      </c>
      <c r="G353" s="20" t="s">
        <v>939</v>
      </c>
      <c r="H353" s="21" t="n">
        <v>175.02</v>
      </c>
      <c r="I353" s="21"/>
      <c r="J353" s="52"/>
      <c r="K353" s="19" t="s">
        <v>1773</v>
      </c>
      <c r="L353" s="20" t="s">
        <v>1774</v>
      </c>
      <c r="M353" s="20" t="s">
        <v>1775</v>
      </c>
      <c r="N353" s="22" t="s">
        <v>91</v>
      </c>
      <c r="O353" s="20"/>
      <c r="P353" s="20" t="s">
        <v>93</v>
      </c>
      <c r="Q353" s="20" t="s">
        <v>1085</v>
      </c>
      <c r="R353" s="76" t="s">
        <v>95</v>
      </c>
      <c r="S353" s="0" t="n">
        <f aca="false">IF(Recherche!$B$4="",0,IF(ISNUMBER(SEARCH(Recherche!$B$4,D353))+ISNUMBER(SEARCH(Recherche!$B$4,K353))&gt;0,1,0))</f>
        <v>0</v>
      </c>
      <c r="T353" s="0" t="str">
        <f aca="false">IF(S353=1,SUM($S$2:S353),"")</f>
        <v/>
      </c>
    </row>
    <row r="354" customFormat="false" ht="15" hidden="false" customHeight="false" outlineLevel="0" collapsed="false">
      <c r="A354" s="24" t="s">
        <v>1767</v>
      </c>
      <c r="B354" s="24" t="s">
        <v>59</v>
      </c>
      <c r="C354" s="24" t="s">
        <v>1768</v>
      </c>
      <c r="D354" s="23" t="s">
        <v>406</v>
      </c>
      <c r="E354" s="26" t="s">
        <v>91</v>
      </c>
      <c r="F354" s="74" t="s">
        <v>77</v>
      </c>
      <c r="G354" s="74" t="s">
        <v>979</v>
      </c>
      <c r="H354" s="75" t="n">
        <v>187.75</v>
      </c>
      <c r="I354" s="25" t="n">
        <v>264.43</v>
      </c>
      <c r="J354" s="58" t="n">
        <v>29</v>
      </c>
      <c r="K354" s="23" t="s">
        <v>1776</v>
      </c>
      <c r="L354" s="24" t="s">
        <v>1777</v>
      </c>
      <c r="M354" s="24" t="s">
        <v>1778</v>
      </c>
      <c r="N354" s="26" t="s">
        <v>91</v>
      </c>
      <c r="O354" s="24"/>
      <c r="P354" s="24" t="s">
        <v>114</v>
      </c>
      <c r="Q354" s="24" t="s">
        <v>983</v>
      </c>
      <c r="R354" s="73"/>
      <c r="S354" s="0" t="n">
        <f aca="false">IF(Recherche!$B$4="",0,IF(ISNUMBER(SEARCH(Recherche!$B$4,D354))+ISNUMBER(SEARCH(Recherche!$B$4,K354))&gt;0,1,0))</f>
        <v>0</v>
      </c>
      <c r="T354" s="0" t="str">
        <f aca="false">IF(S354=1,SUM($S$2:S354),"")</f>
        <v/>
      </c>
    </row>
    <row r="355" customFormat="false" ht="23.85" hidden="false" customHeight="false" outlineLevel="0" collapsed="false">
      <c r="A355" s="20" t="s">
        <v>1779</v>
      </c>
      <c r="B355" s="20" t="s">
        <v>59</v>
      </c>
      <c r="C355" s="20" t="s">
        <v>1768</v>
      </c>
      <c r="D355" s="19" t="s">
        <v>408</v>
      </c>
      <c r="E355" s="22" t="s">
        <v>91</v>
      </c>
      <c r="F355" s="74" t="s">
        <v>81</v>
      </c>
      <c r="G355" s="74" t="s">
        <v>979</v>
      </c>
      <c r="H355" s="75" t="n">
        <v>9.9</v>
      </c>
      <c r="I355" s="21" t="n">
        <v>11</v>
      </c>
      <c r="J355" s="52" t="n">
        <v>10</v>
      </c>
      <c r="K355" s="19" t="s">
        <v>409</v>
      </c>
      <c r="L355" s="20" t="s">
        <v>1574</v>
      </c>
      <c r="M355" s="20" t="s">
        <v>1780</v>
      </c>
      <c r="N355" s="22" t="s">
        <v>91</v>
      </c>
      <c r="O355" s="20" t="s">
        <v>949</v>
      </c>
      <c r="P355" s="20" t="s">
        <v>169</v>
      </c>
      <c r="Q355" s="20" t="s">
        <v>1007</v>
      </c>
      <c r="R355" s="76" t="s">
        <v>95</v>
      </c>
      <c r="S355" s="0" t="n">
        <f aca="false">IF(Recherche!$B$4="",0,IF(ISNUMBER(SEARCH(Recherche!$B$4,D355))+ISNUMBER(SEARCH(Recherche!$B$4,K355))&gt;0,1,0))</f>
        <v>0</v>
      </c>
      <c r="T355" s="0" t="str">
        <f aca="false">IF(S355=1,SUM($S$2:S355),"")</f>
        <v/>
      </c>
    </row>
    <row r="356" customFormat="false" ht="23.85" hidden="false" customHeight="false" outlineLevel="0" collapsed="false">
      <c r="A356" s="24" t="s">
        <v>1779</v>
      </c>
      <c r="B356" s="24" t="s">
        <v>59</v>
      </c>
      <c r="C356" s="24" t="s">
        <v>1768</v>
      </c>
      <c r="D356" s="23" t="s">
        <v>408</v>
      </c>
      <c r="E356" s="26" t="s">
        <v>91</v>
      </c>
      <c r="F356" s="74" t="s">
        <v>77</v>
      </c>
      <c r="G356" s="74" t="s">
        <v>979</v>
      </c>
      <c r="H356" s="75" t="n">
        <v>19.71</v>
      </c>
      <c r="I356" s="25" t="n">
        <v>19.71</v>
      </c>
      <c r="J356" s="58"/>
      <c r="K356" s="23" t="s">
        <v>1781</v>
      </c>
      <c r="L356" s="24" t="s">
        <v>1782</v>
      </c>
      <c r="M356" s="24" t="s">
        <v>1783</v>
      </c>
      <c r="N356" s="26" t="s">
        <v>91</v>
      </c>
      <c r="O356" s="24"/>
      <c r="P356" s="24" t="s">
        <v>114</v>
      </c>
      <c r="Q356" s="24" t="s">
        <v>983</v>
      </c>
      <c r="R356" s="73"/>
      <c r="S356" s="0" t="n">
        <f aca="false">IF(Recherche!$B$4="",0,IF(ISNUMBER(SEARCH(Recherche!$B$4,D356))+ISNUMBER(SEARCH(Recherche!$B$4,K356))&gt;0,1,0))</f>
        <v>0</v>
      </c>
      <c r="T356" s="0" t="str">
        <f aca="false">IF(S356=1,SUM($S$2:S356),"")</f>
        <v/>
      </c>
    </row>
    <row r="357" customFormat="false" ht="15" hidden="false" customHeight="false" outlineLevel="0" collapsed="false">
      <c r="A357" s="20" t="s">
        <v>1779</v>
      </c>
      <c r="B357" s="20" t="s">
        <v>59</v>
      </c>
      <c r="C357" s="20" t="s">
        <v>1768</v>
      </c>
      <c r="D357" s="19" t="s">
        <v>408</v>
      </c>
      <c r="E357" s="22" t="s">
        <v>91</v>
      </c>
      <c r="F357" s="20" t="s">
        <v>76</v>
      </c>
      <c r="G357" s="20" t="s">
        <v>939</v>
      </c>
      <c r="H357" s="21" t="n">
        <v>60.41</v>
      </c>
      <c r="I357" s="21"/>
      <c r="J357" s="52"/>
      <c r="K357" s="19" t="s">
        <v>1784</v>
      </c>
      <c r="L357" s="20" t="s">
        <v>1785</v>
      </c>
      <c r="M357" s="20" t="s">
        <v>1786</v>
      </c>
      <c r="N357" s="22" t="s">
        <v>91</v>
      </c>
      <c r="O357" s="20"/>
      <c r="P357" s="20" t="s">
        <v>93</v>
      </c>
      <c r="Q357" s="20" t="s">
        <v>1085</v>
      </c>
      <c r="R357" s="76" t="s">
        <v>95</v>
      </c>
      <c r="S357" s="0" t="n">
        <f aca="false">IF(Recherche!$B$4="",0,IF(ISNUMBER(SEARCH(Recherche!$B$4,D357))+ISNUMBER(SEARCH(Recherche!$B$4,K357))&gt;0,1,0))</f>
        <v>0</v>
      </c>
      <c r="T357" s="0" t="str">
        <f aca="false">IF(S357=1,SUM($S$2:S357),"")</f>
        <v/>
      </c>
    </row>
    <row r="358" customFormat="false" ht="15" hidden="false" customHeight="false" outlineLevel="0" collapsed="false">
      <c r="A358" s="24" t="s">
        <v>1787</v>
      </c>
      <c r="B358" s="24" t="s">
        <v>59</v>
      </c>
      <c r="C358" s="24" t="s">
        <v>1768</v>
      </c>
      <c r="D358" s="23" t="s">
        <v>410</v>
      </c>
      <c r="E358" s="26" t="s">
        <v>91</v>
      </c>
      <c r="F358" s="24" t="s">
        <v>76</v>
      </c>
      <c r="G358" s="24" t="s">
        <v>939</v>
      </c>
      <c r="H358" s="25" t="n">
        <v>4.78</v>
      </c>
      <c r="I358" s="25"/>
      <c r="J358" s="58"/>
      <c r="K358" s="23" t="s">
        <v>411</v>
      </c>
      <c r="L358" s="24" t="s">
        <v>1574</v>
      </c>
      <c r="M358" s="24" t="s">
        <v>1788</v>
      </c>
      <c r="N358" s="26" t="s">
        <v>91</v>
      </c>
      <c r="O358" s="24"/>
      <c r="P358" s="24" t="s">
        <v>93</v>
      </c>
      <c r="Q358" s="24" t="s">
        <v>942</v>
      </c>
      <c r="R358" s="73" t="s">
        <v>95</v>
      </c>
      <c r="S358" s="0" t="n">
        <f aca="false">IF(Recherche!$B$4="",0,IF(ISNUMBER(SEARCH(Recherche!$B$4,D358))+ISNUMBER(SEARCH(Recherche!$B$4,K358))&gt;0,1,0))</f>
        <v>0</v>
      </c>
      <c r="T358" s="0" t="str">
        <f aca="false">IF(S358=1,SUM($S$2:S358),"")</f>
        <v/>
      </c>
    </row>
    <row r="359" customFormat="false" ht="23.85" hidden="false" customHeight="false" outlineLevel="0" collapsed="false">
      <c r="A359" s="20" t="s">
        <v>1787</v>
      </c>
      <c r="B359" s="20" t="s">
        <v>59</v>
      </c>
      <c r="C359" s="20" t="s">
        <v>1768</v>
      </c>
      <c r="D359" s="19" t="s">
        <v>410</v>
      </c>
      <c r="E359" s="22" t="s">
        <v>91</v>
      </c>
      <c r="F359" s="20" t="s">
        <v>80</v>
      </c>
      <c r="G359" s="20" t="s">
        <v>939</v>
      </c>
      <c r="H359" s="21" t="n">
        <v>5.8</v>
      </c>
      <c r="I359" s="21"/>
      <c r="J359" s="52"/>
      <c r="K359" s="19" t="s">
        <v>1789</v>
      </c>
      <c r="L359" s="20"/>
      <c r="M359" s="20" t="s">
        <v>1790</v>
      </c>
      <c r="N359" s="22" t="s">
        <v>91</v>
      </c>
      <c r="O359" s="20"/>
      <c r="P359" s="20" t="s">
        <v>303</v>
      </c>
      <c r="Q359" s="20" t="s">
        <v>942</v>
      </c>
      <c r="R359" s="76" t="s">
        <v>95</v>
      </c>
      <c r="S359" s="0" t="n">
        <f aca="false">IF(Recherche!$B$4="",0,IF(ISNUMBER(SEARCH(Recherche!$B$4,D359))+ISNUMBER(SEARCH(Recherche!$B$4,K359))&gt;0,1,0))</f>
        <v>0</v>
      </c>
      <c r="T359" s="0" t="str">
        <f aca="false">IF(S359=1,SUM($S$2:S359),"")</f>
        <v/>
      </c>
    </row>
    <row r="360" customFormat="false" ht="23.85" hidden="false" customHeight="false" outlineLevel="0" collapsed="false">
      <c r="A360" s="24" t="s">
        <v>1787</v>
      </c>
      <c r="B360" s="24" t="s">
        <v>59</v>
      </c>
      <c r="C360" s="24" t="s">
        <v>1768</v>
      </c>
      <c r="D360" s="23" t="s">
        <v>410</v>
      </c>
      <c r="E360" s="26" t="s">
        <v>91</v>
      </c>
      <c r="F360" s="74" t="s">
        <v>81</v>
      </c>
      <c r="G360" s="74" t="s">
        <v>979</v>
      </c>
      <c r="H360" s="75" t="n">
        <v>7.53</v>
      </c>
      <c r="I360" s="25" t="n">
        <v>8.37</v>
      </c>
      <c r="J360" s="58" t="n">
        <v>10</v>
      </c>
      <c r="K360" s="23" t="s">
        <v>1791</v>
      </c>
      <c r="L360" s="24" t="s">
        <v>1574</v>
      </c>
      <c r="M360" s="24" t="s">
        <v>1792</v>
      </c>
      <c r="N360" s="26" t="s">
        <v>91</v>
      </c>
      <c r="O360" s="24" t="s">
        <v>949</v>
      </c>
      <c r="P360" s="24" t="s">
        <v>169</v>
      </c>
      <c r="Q360" s="24" t="s">
        <v>1007</v>
      </c>
      <c r="R360" s="73" t="s">
        <v>95</v>
      </c>
      <c r="S360" s="0" t="n">
        <f aca="false">IF(Recherche!$B$4="",0,IF(ISNUMBER(SEARCH(Recherche!$B$4,D360))+ISNUMBER(SEARCH(Recherche!$B$4,K360))&gt;0,1,0))</f>
        <v>0</v>
      </c>
      <c r="T360" s="0" t="str">
        <f aca="false">IF(S360=1,SUM($S$2:S360),"")</f>
        <v/>
      </c>
    </row>
    <row r="361" customFormat="false" ht="23.85" hidden="false" customHeight="false" outlineLevel="0" collapsed="false">
      <c r="A361" s="20" t="s">
        <v>1787</v>
      </c>
      <c r="B361" s="20" t="s">
        <v>59</v>
      </c>
      <c r="C361" s="20" t="s">
        <v>1768</v>
      </c>
      <c r="D361" s="19" t="s">
        <v>410</v>
      </c>
      <c r="E361" s="22" t="s">
        <v>91</v>
      </c>
      <c r="F361" s="74" t="s">
        <v>77</v>
      </c>
      <c r="G361" s="74" t="s">
        <v>979</v>
      </c>
      <c r="H361" s="75" t="n">
        <v>14.18</v>
      </c>
      <c r="I361" s="21" t="n">
        <v>14.18</v>
      </c>
      <c r="J361" s="52"/>
      <c r="K361" s="19" t="s">
        <v>1793</v>
      </c>
      <c r="L361" s="20" t="s">
        <v>1782</v>
      </c>
      <c r="M361" s="20" t="s">
        <v>1794</v>
      </c>
      <c r="N361" s="22" t="s">
        <v>91</v>
      </c>
      <c r="O361" s="20"/>
      <c r="P361" s="20" t="s">
        <v>114</v>
      </c>
      <c r="Q361" s="20" t="s">
        <v>983</v>
      </c>
      <c r="R361" s="76"/>
      <c r="S361" s="0" t="n">
        <f aca="false">IF(Recherche!$B$4="",0,IF(ISNUMBER(SEARCH(Recherche!$B$4,D361))+ISNUMBER(SEARCH(Recherche!$B$4,K361))&gt;0,1,0))</f>
        <v>0</v>
      </c>
      <c r="T361" s="0" t="str">
        <f aca="false">IF(S361=1,SUM($S$2:S361),"")</f>
        <v/>
      </c>
    </row>
    <row r="362" customFormat="false" ht="23.85" hidden="false" customHeight="false" outlineLevel="0" collapsed="false">
      <c r="A362" s="24" t="s">
        <v>1795</v>
      </c>
      <c r="B362" s="24" t="s">
        <v>59</v>
      </c>
      <c r="C362" s="24" t="s">
        <v>1768</v>
      </c>
      <c r="D362" s="23" t="s">
        <v>412</v>
      </c>
      <c r="E362" s="26" t="s">
        <v>137</v>
      </c>
      <c r="F362" s="24" t="s">
        <v>80</v>
      </c>
      <c r="G362" s="24" t="s">
        <v>939</v>
      </c>
      <c r="H362" s="25" t="n">
        <v>7.91</v>
      </c>
      <c r="I362" s="25"/>
      <c r="J362" s="58"/>
      <c r="K362" s="23" t="s">
        <v>1796</v>
      </c>
      <c r="L362" s="24"/>
      <c r="M362" s="24" t="s">
        <v>1797</v>
      </c>
      <c r="N362" s="26" t="s">
        <v>91</v>
      </c>
      <c r="O362" s="24"/>
      <c r="P362" s="24" t="s">
        <v>303</v>
      </c>
      <c r="Q362" s="24" t="s">
        <v>1085</v>
      </c>
      <c r="R362" s="73" t="s">
        <v>95</v>
      </c>
      <c r="S362" s="0" t="n">
        <f aca="false">IF(Recherche!$B$4="",0,IF(ISNUMBER(SEARCH(Recherche!$B$4,D362))+ISNUMBER(SEARCH(Recherche!$B$4,K362))&gt;0,1,0))</f>
        <v>0</v>
      </c>
      <c r="T362" s="0" t="str">
        <f aca="false">IF(S362=1,SUM($S$2:S362),"")</f>
        <v/>
      </c>
    </row>
    <row r="363" customFormat="false" ht="23.85" hidden="false" customHeight="false" outlineLevel="0" collapsed="false">
      <c r="A363" s="20" t="s">
        <v>1795</v>
      </c>
      <c r="B363" s="20" t="s">
        <v>59</v>
      </c>
      <c r="C363" s="20" t="s">
        <v>1768</v>
      </c>
      <c r="D363" s="19" t="s">
        <v>412</v>
      </c>
      <c r="E363" s="22" t="s">
        <v>137</v>
      </c>
      <c r="F363" s="74" t="s">
        <v>78</v>
      </c>
      <c r="G363" s="74" t="s">
        <v>943</v>
      </c>
      <c r="H363" s="75" t="n">
        <v>17.96</v>
      </c>
      <c r="I363" s="21"/>
      <c r="J363" s="52"/>
      <c r="K363" s="19" t="s">
        <v>1798</v>
      </c>
      <c r="L363" s="20"/>
      <c r="M363" s="20" t="s">
        <v>1799</v>
      </c>
      <c r="N363" s="22"/>
      <c r="O363" s="20"/>
      <c r="P363" s="20" t="s">
        <v>93</v>
      </c>
      <c r="Q363" s="20" t="s">
        <v>946</v>
      </c>
      <c r="R363" s="76" t="s">
        <v>95</v>
      </c>
      <c r="S363" s="0" t="n">
        <f aca="false">IF(Recherche!$B$4="",0,IF(ISNUMBER(SEARCH(Recherche!$B$4,D363))+ISNUMBER(SEARCH(Recherche!$B$4,K363))&gt;0,1,0))</f>
        <v>0</v>
      </c>
      <c r="T363" s="0" t="str">
        <f aca="false">IF(S363=1,SUM($S$2:S363),"")</f>
        <v/>
      </c>
    </row>
    <row r="364" customFormat="false" ht="23.85" hidden="false" customHeight="false" outlineLevel="0" collapsed="false">
      <c r="A364" s="24" t="s">
        <v>1795</v>
      </c>
      <c r="B364" s="24" t="s">
        <v>59</v>
      </c>
      <c r="C364" s="24" t="s">
        <v>1768</v>
      </c>
      <c r="D364" s="23" t="s">
        <v>412</v>
      </c>
      <c r="E364" s="26" t="s">
        <v>137</v>
      </c>
      <c r="F364" s="74" t="s">
        <v>81</v>
      </c>
      <c r="G364" s="74" t="s">
        <v>979</v>
      </c>
      <c r="H364" s="75" t="n">
        <v>26.4</v>
      </c>
      <c r="I364" s="25" t="n">
        <v>27.7</v>
      </c>
      <c r="J364" s="58" t="n">
        <v>4.7</v>
      </c>
      <c r="K364" s="23" t="s">
        <v>1800</v>
      </c>
      <c r="L364" s="24" t="s">
        <v>1801</v>
      </c>
      <c r="M364" s="24" t="s">
        <v>1802</v>
      </c>
      <c r="N364" s="26" t="s">
        <v>91</v>
      </c>
      <c r="O364" s="24" t="s">
        <v>949</v>
      </c>
      <c r="P364" s="24" t="s">
        <v>169</v>
      </c>
      <c r="Q364" s="24" t="s">
        <v>1007</v>
      </c>
      <c r="R364" s="73" t="s">
        <v>95</v>
      </c>
      <c r="S364" s="0" t="n">
        <f aca="false">IF(Recherche!$B$4="",0,IF(ISNUMBER(SEARCH(Recherche!$B$4,D364))+ISNUMBER(SEARCH(Recherche!$B$4,K364))&gt;0,1,0))</f>
        <v>0</v>
      </c>
      <c r="T364" s="0" t="str">
        <f aca="false">IF(S364=1,SUM($S$2:S364),"")</f>
        <v/>
      </c>
    </row>
    <row r="365" customFormat="false" ht="15" hidden="false" customHeight="false" outlineLevel="0" collapsed="false">
      <c r="A365" s="20" t="s">
        <v>1795</v>
      </c>
      <c r="B365" s="20" t="s">
        <v>59</v>
      </c>
      <c r="C365" s="20" t="s">
        <v>1768</v>
      </c>
      <c r="D365" s="19" t="s">
        <v>412</v>
      </c>
      <c r="E365" s="22" t="s">
        <v>137</v>
      </c>
      <c r="F365" s="20" t="s">
        <v>76</v>
      </c>
      <c r="G365" s="20" t="s">
        <v>939</v>
      </c>
      <c r="H365" s="21" t="n">
        <v>58.6</v>
      </c>
      <c r="I365" s="21"/>
      <c r="J365" s="52"/>
      <c r="K365" s="19" t="s">
        <v>413</v>
      </c>
      <c r="L365" s="20" t="s">
        <v>1785</v>
      </c>
      <c r="M365" s="20" t="s">
        <v>1803</v>
      </c>
      <c r="N365" s="22" t="s">
        <v>137</v>
      </c>
      <c r="O365" s="20"/>
      <c r="P365" s="20" t="s">
        <v>93</v>
      </c>
      <c r="Q365" s="20" t="s">
        <v>1085</v>
      </c>
      <c r="R365" s="76" t="s">
        <v>95</v>
      </c>
      <c r="S365" s="0" t="n">
        <f aca="false">IF(Recherche!$B$4="",0,IF(ISNUMBER(SEARCH(Recherche!$B$4,D365))+ISNUMBER(SEARCH(Recherche!$B$4,K365))&gt;0,1,0))</f>
        <v>0</v>
      </c>
      <c r="T365" s="0" t="str">
        <f aca="false">IF(S365=1,SUM($S$2:S365),"")</f>
        <v/>
      </c>
    </row>
    <row r="366" customFormat="false" ht="23.85" hidden="false" customHeight="false" outlineLevel="0" collapsed="false">
      <c r="A366" s="24" t="s">
        <v>1795</v>
      </c>
      <c r="B366" s="24" t="s">
        <v>59</v>
      </c>
      <c r="C366" s="24" t="s">
        <v>1768</v>
      </c>
      <c r="D366" s="23" t="s">
        <v>412</v>
      </c>
      <c r="E366" s="26" t="s">
        <v>137</v>
      </c>
      <c r="F366" s="74" t="s">
        <v>77</v>
      </c>
      <c r="G366" s="74" t="s">
        <v>979</v>
      </c>
      <c r="H366" s="75" t="n">
        <v>84.74</v>
      </c>
      <c r="I366" s="25" t="n">
        <v>146.11</v>
      </c>
      <c r="J366" s="58" t="n">
        <v>42</v>
      </c>
      <c r="K366" s="23" t="s">
        <v>1804</v>
      </c>
      <c r="L366" s="24" t="s">
        <v>1782</v>
      </c>
      <c r="M366" s="24" t="s">
        <v>1805</v>
      </c>
      <c r="N366" s="26" t="s">
        <v>91</v>
      </c>
      <c r="O366" s="24"/>
      <c r="P366" s="24" t="s">
        <v>114</v>
      </c>
      <c r="Q366" s="24" t="s">
        <v>983</v>
      </c>
      <c r="R366" s="73"/>
      <c r="S366" s="0" t="n">
        <f aca="false">IF(Recherche!$B$4="",0,IF(ISNUMBER(SEARCH(Recherche!$B$4,D366))+ISNUMBER(SEARCH(Recherche!$B$4,K366))&gt;0,1,0))</f>
        <v>0</v>
      </c>
      <c r="T366" s="0" t="str">
        <f aca="false">IF(S366=1,SUM($S$2:S366),"")</f>
        <v/>
      </c>
    </row>
    <row r="367" customFormat="false" ht="23.85" hidden="false" customHeight="false" outlineLevel="0" collapsed="false">
      <c r="A367" s="20" t="s">
        <v>1806</v>
      </c>
      <c r="B367" s="20" t="s">
        <v>59</v>
      </c>
      <c r="C367" s="20" t="s">
        <v>1768</v>
      </c>
      <c r="D367" s="19" t="s">
        <v>414</v>
      </c>
      <c r="E367" s="22" t="s">
        <v>91</v>
      </c>
      <c r="F367" s="20" t="s">
        <v>76</v>
      </c>
      <c r="G367" s="20" t="s">
        <v>939</v>
      </c>
      <c r="H367" s="21" t="n">
        <v>4.75</v>
      </c>
      <c r="I367" s="21"/>
      <c r="J367" s="52"/>
      <c r="K367" s="19" t="s">
        <v>415</v>
      </c>
      <c r="L367" s="20" t="s">
        <v>1807</v>
      </c>
      <c r="M367" s="20" t="s">
        <v>1808</v>
      </c>
      <c r="N367" s="22" t="s">
        <v>91</v>
      </c>
      <c r="O367" s="20"/>
      <c r="P367" s="20" t="s">
        <v>93</v>
      </c>
      <c r="Q367" s="20" t="s">
        <v>963</v>
      </c>
      <c r="R367" s="76" t="s">
        <v>95</v>
      </c>
      <c r="S367" s="0" t="n">
        <f aca="false">IF(Recherche!$B$4="",0,IF(ISNUMBER(SEARCH(Recherche!$B$4,D367))+ISNUMBER(SEARCH(Recherche!$B$4,K367))&gt;0,1,0))</f>
        <v>0</v>
      </c>
      <c r="T367" s="0" t="str">
        <f aca="false">IF(S367=1,SUM($S$2:S367),"")</f>
        <v/>
      </c>
    </row>
    <row r="368" customFormat="false" ht="23.85" hidden="false" customHeight="false" outlineLevel="0" collapsed="false">
      <c r="A368" s="24" t="s">
        <v>1809</v>
      </c>
      <c r="B368" s="24" t="s">
        <v>59</v>
      </c>
      <c r="C368" s="24" t="s">
        <v>1768</v>
      </c>
      <c r="D368" s="23" t="s">
        <v>416</v>
      </c>
      <c r="E368" s="26" t="s">
        <v>91</v>
      </c>
      <c r="F368" s="24" t="s">
        <v>76</v>
      </c>
      <c r="G368" s="24" t="s">
        <v>939</v>
      </c>
      <c r="H368" s="25" t="n">
        <v>86.54</v>
      </c>
      <c r="I368" s="25"/>
      <c r="J368" s="58"/>
      <c r="K368" s="23" t="s">
        <v>417</v>
      </c>
      <c r="L368" s="24" t="s">
        <v>1476</v>
      </c>
      <c r="M368" s="24" t="s">
        <v>1810</v>
      </c>
      <c r="N368" s="26" t="s">
        <v>91</v>
      </c>
      <c r="O368" s="24"/>
      <c r="P368" s="24" t="s">
        <v>93</v>
      </c>
      <c r="Q368" s="24" t="s">
        <v>1085</v>
      </c>
      <c r="R368" s="73" t="s">
        <v>95</v>
      </c>
      <c r="S368" s="0" t="n">
        <f aca="false">IF(Recherche!$B$4="",0,IF(ISNUMBER(SEARCH(Recherche!$B$4,D368))+ISNUMBER(SEARCH(Recherche!$B$4,K368))&gt;0,1,0))</f>
        <v>0</v>
      </c>
      <c r="T368" s="0" t="str">
        <f aca="false">IF(S368=1,SUM($S$2:S368),"")</f>
        <v/>
      </c>
    </row>
    <row r="369" customFormat="false" ht="23.85" hidden="false" customHeight="false" outlineLevel="0" collapsed="false">
      <c r="A369" s="20" t="s">
        <v>1809</v>
      </c>
      <c r="B369" s="20" t="s">
        <v>59</v>
      </c>
      <c r="C369" s="20" t="s">
        <v>1768</v>
      </c>
      <c r="D369" s="19" t="s">
        <v>416</v>
      </c>
      <c r="E369" s="22" t="s">
        <v>91</v>
      </c>
      <c r="F369" s="74" t="s">
        <v>79</v>
      </c>
      <c r="G369" s="74" t="s">
        <v>943</v>
      </c>
      <c r="H369" s="75" t="n">
        <v>128.16</v>
      </c>
      <c r="I369" s="21"/>
      <c r="J369" s="52"/>
      <c r="K369" s="19" t="s">
        <v>1811</v>
      </c>
      <c r="L369" s="20"/>
      <c r="M369" s="20" t="s">
        <v>1812</v>
      </c>
      <c r="N369" s="22" t="s">
        <v>91</v>
      </c>
      <c r="O369" s="20"/>
      <c r="P369" s="20" t="s">
        <v>313</v>
      </c>
      <c r="Q369" s="20" t="s">
        <v>1387</v>
      </c>
      <c r="R369" s="76"/>
      <c r="S369" s="0" t="n">
        <f aca="false">IF(Recherche!$B$4="",0,IF(ISNUMBER(SEARCH(Recherche!$B$4,D369))+ISNUMBER(SEARCH(Recherche!$B$4,K369))&gt;0,1,0))</f>
        <v>0</v>
      </c>
      <c r="T369" s="0" t="str">
        <f aca="false">IF(S369=1,SUM($S$2:S369),"")</f>
        <v/>
      </c>
    </row>
    <row r="370" customFormat="false" ht="15" hidden="false" customHeight="false" outlineLevel="0" collapsed="false">
      <c r="A370" s="24" t="s">
        <v>1813</v>
      </c>
      <c r="B370" s="24" t="s">
        <v>59</v>
      </c>
      <c r="C370" s="24" t="s">
        <v>1768</v>
      </c>
      <c r="D370" s="23" t="s">
        <v>418</v>
      </c>
      <c r="E370" s="26" t="s">
        <v>91</v>
      </c>
      <c r="F370" s="74" t="s">
        <v>81</v>
      </c>
      <c r="G370" s="74" t="s">
        <v>979</v>
      </c>
      <c r="H370" s="75" t="n">
        <v>24.95</v>
      </c>
      <c r="I370" s="25" t="n">
        <v>29.35</v>
      </c>
      <c r="J370" s="58" t="n">
        <v>15</v>
      </c>
      <c r="K370" s="23" t="s">
        <v>419</v>
      </c>
      <c r="L370" s="24" t="s">
        <v>1814</v>
      </c>
      <c r="M370" s="24" t="s">
        <v>1815</v>
      </c>
      <c r="N370" s="26" t="s">
        <v>91</v>
      </c>
      <c r="O370" s="24" t="s">
        <v>949</v>
      </c>
      <c r="P370" s="24" t="s">
        <v>169</v>
      </c>
      <c r="Q370" s="24" t="s">
        <v>1007</v>
      </c>
      <c r="R370" s="73" t="s">
        <v>95</v>
      </c>
      <c r="S370" s="0" t="n">
        <f aca="false">IF(Recherche!$B$4="",0,IF(ISNUMBER(SEARCH(Recherche!$B$4,D370))+ISNUMBER(SEARCH(Recherche!$B$4,K370))&gt;0,1,0))</f>
        <v>0</v>
      </c>
      <c r="T370" s="0" t="str">
        <f aca="false">IF(S370=1,SUM($S$2:S370),"")</f>
        <v/>
      </c>
    </row>
    <row r="371" customFormat="false" ht="23.85" hidden="false" customHeight="false" outlineLevel="0" collapsed="false">
      <c r="A371" s="20" t="s">
        <v>1813</v>
      </c>
      <c r="B371" s="20" t="s">
        <v>59</v>
      </c>
      <c r="C371" s="20" t="s">
        <v>1768</v>
      </c>
      <c r="D371" s="19" t="s">
        <v>418</v>
      </c>
      <c r="E371" s="22" t="s">
        <v>91</v>
      </c>
      <c r="F371" s="20" t="s">
        <v>80</v>
      </c>
      <c r="G371" s="20" t="s">
        <v>939</v>
      </c>
      <c r="H371" s="21" t="n">
        <v>33.43</v>
      </c>
      <c r="I371" s="21"/>
      <c r="J371" s="52"/>
      <c r="K371" s="19" t="s">
        <v>1816</v>
      </c>
      <c r="L371" s="20"/>
      <c r="M371" s="20" t="s">
        <v>1817</v>
      </c>
      <c r="N371" s="22" t="s">
        <v>91</v>
      </c>
      <c r="O371" s="20"/>
      <c r="P371" s="20" t="s">
        <v>303</v>
      </c>
      <c r="Q371" s="20" t="s">
        <v>942</v>
      </c>
      <c r="R371" s="76" t="s">
        <v>95</v>
      </c>
      <c r="S371" s="0" t="n">
        <f aca="false">IF(Recherche!$B$4="",0,IF(ISNUMBER(SEARCH(Recherche!$B$4,D371))+ISNUMBER(SEARCH(Recherche!$B$4,K371))&gt;0,1,0))</f>
        <v>0</v>
      </c>
      <c r="T371" s="0" t="str">
        <f aca="false">IF(S371=1,SUM($S$2:S371),"")</f>
        <v/>
      </c>
    </row>
    <row r="372" customFormat="false" ht="23.85" hidden="false" customHeight="false" outlineLevel="0" collapsed="false">
      <c r="A372" s="24" t="s">
        <v>1813</v>
      </c>
      <c r="B372" s="24" t="s">
        <v>59</v>
      </c>
      <c r="C372" s="24" t="s">
        <v>1768</v>
      </c>
      <c r="D372" s="23" t="s">
        <v>418</v>
      </c>
      <c r="E372" s="26" t="s">
        <v>91</v>
      </c>
      <c r="F372" s="74" t="s">
        <v>77</v>
      </c>
      <c r="G372" s="74" t="s">
        <v>979</v>
      </c>
      <c r="H372" s="75" t="n">
        <v>660.94</v>
      </c>
      <c r="I372" s="25" t="n">
        <v>881.25</v>
      </c>
      <c r="J372" s="58" t="n">
        <v>25</v>
      </c>
      <c r="K372" s="23" t="s">
        <v>1818</v>
      </c>
      <c r="L372" s="24" t="s">
        <v>1577</v>
      </c>
      <c r="M372" s="24" t="s">
        <v>1819</v>
      </c>
      <c r="N372" s="26" t="s">
        <v>91</v>
      </c>
      <c r="O372" s="24"/>
      <c r="P372" s="24" t="s">
        <v>114</v>
      </c>
      <c r="Q372" s="24" t="s">
        <v>983</v>
      </c>
      <c r="R372" s="73"/>
      <c r="S372" s="0" t="n">
        <f aca="false">IF(Recherche!$B$4="",0,IF(ISNUMBER(SEARCH(Recherche!$B$4,D372))+ISNUMBER(SEARCH(Recherche!$B$4,K372))&gt;0,1,0))</f>
        <v>0</v>
      </c>
      <c r="T372" s="0" t="str">
        <f aca="false">IF(S372=1,SUM($S$2:S372),"")</f>
        <v/>
      </c>
    </row>
    <row r="373" customFormat="false" ht="15" hidden="false" customHeight="false" outlineLevel="0" collapsed="false">
      <c r="A373" s="20" t="s">
        <v>1820</v>
      </c>
      <c r="B373" s="20" t="s">
        <v>59</v>
      </c>
      <c r="C373" s="20" t="s">
        <v>1768</v>
      </c>
      <c r="D373" s="19" t="s">
        <v>420</v>
      </c>
      <c r="E373" s="22" t="s">
        <v>91</v>
      </c>
      <c r="F373" s="74" t="s">
        <v>81</v>
      </c>
      <c r="G373" s="74" t="s">
        <v>979</v>
      </c>
      <c r="H373" s="75" t="n">
        <v>33.31</v>
      </c>
      <c r="I373" s="21" t="n">
        <v>34.24</v>
      </c>
      <c r="J373" s="52" t="n">
        <v>2.7</v>
      </c>
      <c r="K373" s="19" t="s">
        <v>421</v>
      </c>
      <c r="L373" s="20" t="s">
        <v>1550</v>
      </c>
      <c r="M373" s="20" t="s">
        <v>1821</v>
      </c>
      <c r="N373" s="22" t="s">
        <v>91</v>
      </c>
      <c r="O373" s="20" t="s">
        <v>949</v>
      </c>
      <c r="P373" s="20" t="s">
        <v>119</v>
      </c>
      <c r="Q373" s="20" t="s">
        <v>1016</v>
      </c>
      <c r="R373" s="76" t="s">
        <v>95</v>
      </c>
      <c r="S373" s="0" t="n">
        <f aca="false">IF(Recherche!$B$4="",0,IF(ISNUMBER(SEARCH(Recherche!$B$4,D373))+ISNUMBER(SEARCH(Recherche!$B$4,K373))&gt;0,1,0))</f>
        <v>0</v>
      </c>
      <c r="T373" s="0" t="str">
        <f aca="false">IF(S373=1,SUM($S$2:S373),"")</f>
        <v/>
      </c>
    </row>
    <row r="374" customFormat="false" ht="23.85" hidden="false" customHeight="false" outlineLevel="0" collapsed="false">
      <c r="A374" s="24" t="s">
        <v>1820</v>
      </c>
      <c r="B374" s="24" t="s">
        <v>59</v>
      </c>
      <c r="C374" s="24" t="s">
        <v>1768</v>
      </c>
      <c r="D374" s="23" t="s">
        <v>420</v>
      </c>
      <c r="E374" s="26" t="s">
        <v>91</v>
      </c>
      <c r="F374" s="24" t="s">
        <v>80</v>
      </c>
      <c r="G374" s="24" t="s">
        <v>939</v>
      </c>
      <c r="H374" s="25" t="n">
        <v>60.75</v>
      </c>
      <c r="I374" s="25"/>
      <c r="J374" s="58"/>
      <c r="K374" s="23" t="s">
        <v>1822</v>
      </c>
      <c r="L374" s="24"/>
      <c r="M374" s="24" t="s">
        <v>1823</v>
      </c>
      <c r="N374" s="26" t="s">
        <v>91</v>
      </c>
      <c r="O374" s="24"/>
      <c r="P374" s="24" t="s">
        <v>303</v>
      </c>
      <c r="Q374" s="24" t="s">
        <v>942</v>
      </c>
      <c r="R374" s="73" t="s">
        <v>95</v>
      </c>
      <c r="S374" s="0" t="n">
        <f aca="false">IF(Recherche!$B$4="",0,IF(ISNUMBER(SEARCH(Recherche!$B$4,D374))+ISNUMBER(SEARCH(Recherche!$B$4,K374))&gt;0,1,0))</f>
        <v>0</v>
      </c>
      <c r="T374" s="0" t="str">
        <f aca="false">IF(S374=1,SUM($S$2:S374),"")</f>
        <v/>
      </c>
    </row>
    <row r="375" customFormat="false" ht="23.85" hidden="false" customHeight="false" outlineLevel="0" collapsed="false">
      <c r="A375" s="20" t="s">
        <v>1820</v>
      </c>
      <c r="B375" s="20" t="s">
        <v>59</v>
      </c>
      <c r="C375" s="20" t="s">
        <v>1768</v>
      </c>
      <c r="D375" s="19" t="s">
        <v>420</v>
      </c>
      <c r="E375" s="22" t="s">
        <v>91</v>
      </c>
      <c r="F375" s="20" t="s">
        <v>76</v>
      </c>
      <c r="G375" s="20" t="s">
        <v>939</v>
      </c>
      <c r="H375" s="21" t="n">
        <v>62.27</v>
      </c>
      <c r="I375" s="21"/>
      <c r="J375" s="52"/>
      <c r="K375" s="19" t="s">
        <v>1824</v>
      </c>
      <c r="L375" s="20" t="s">
        <v>1785</v>
      </c>
      <c r="M375" s="20" t="s">
        <v>1825</v>
      </c>
      <c r="N375" s="22" t="s">
        <v>91</v>
      </c>
      <c r="O375" s="20"/>
      <c r="P375" s="20" t="s">
        <v>93</v>
      </c>
      <c r="Q375" s="20" t="s">
        <v>963</v>
      </c>
      <c r="R375" s="76" t="s">
        <v>95</v>
      </c>
      <c r="S375" s="0" t="n">
        <f aca="false">IF(Recherche!$B$4="",0,IF(ISNUMBER(SEARCH(Recherche!$B$4,D375))+ISNUMBER(SEARCH(Recherche!$B$4,K375))&gt;0,1,0))</f>
        <v>0</v>
      </c>
      <c r="T375" s="0" t="str">
        <f aca="false">IF(S375=1,SUM($S$2:S375),"")</f>
        <v/>
      </c>
    </row>
    <row r="376" customFormat="false" ht="23.85" hidden="false" customHeight="false" outlineLevel="0" collapsed="false">
      <c r="A376" s="24" t="s">
        <v>1826</v>
      </c>
      <c r="B376" s="24" t="s">
        <v>59</v>
      </c>
      <c r="C376" s="24" t="s">
        <v>1827</v>
      </c>
      <c r="D376" s="23" t="s">
        <v>422</v>
      </c>
      <c r="E376" s="26" t="s">
        <v>91</v>
      </c>
      <c r="F376" s="24" t="s">
        <v>76</v>
      </c>
      <c r="G376" s="24" t="s">
        <v>939</v>
      </c>
      <c r="H376" s="25" t="n">
        <v>596.37</v>
      </c>
      <c r="I376" s="25"/>
      <c r="J376" s="58"/>
      <c r="K376" s="23" t="s">
        <v>423</v>
      </c>
      <c r="L376" s="24" t="s">
        <v>1761</v>
      </c>
      <c r="M376" s="24" t="s">
        <v>1828</v>
      </c>
      <c r="N376" s="26" t="s">
        <v>91</v>
      </c>
      <c r="O376" s="24"/>
      <c r="P376" s="24" t="s">
        <v>93</v>
      </c>
      <c r="Q376" s="24" t="s">
        <v>963</v>
      </c>
      <c r="R376" s="73" t="s">
        <v>95</v>
      </c>
      <c r="S376" s="0" t="n">
        <f aca="false">IF(Recherche!$B$4="",0,IF(ISNUMBER(SEARCH(Recherche!$B$4,D376))+ISNUMBER(SEARCH(Recherche!$B$4,K376))&gt;0,1,0))</f>
        <v>0</v>
      </c>
      <c r="T376" s="0" t="str">
        <f aca="false">IF(S376=1,SUM($S$2:S376),"")</f>
        <v/>
      </c>
    </row>
    <row r="377" customFormat="false" ht="15" hidden="false" customHeight="false" outlineLevel="0" collapsed="false">
      <c r="A377" s="20" t="s">
        <v>1829</v>
      </c>
      <c r="B377" s="20" t="s">
        <v>59</v>
      </c>
      <c r="C377" s="20" t="s">
        <v>1827</v>
      </c>
      <c r="D377" s="19" t="s">
        <v>424</v>
      </c>
      <c r="E377" s="22" t="s">
        <v>137</v>
      </c>
      <c r="F377" s="74" t="s">
        <v>77</v>
      </c>
      <c r="G377" s="74" t="s">
        <v>979</v>
      </c>
      <c r="H377" s="75" t="n">
        <v>20.89</v>
      </c>
      <c r="I377" s="21" t="n">
        <v>20.89</v>
      </c>
      <c r="J377" s="52"/>
      <c r="K377" s="19" t="s">
        <v>425</v>
      </c>
      <c r="L377" s="20" t="s">
        <v>1830</v>
      </c>
      <c r="M377" s="20" t="s">
        <v>1831</v>
      </c>
      <c r="N377" s="22" t="s">
        <v>137</v>
      </c>
      <c r="O377" s="20" t="s">
        <v>1832</v>
      </c>
      <c r="P377" s="20" t="s">
        <v>114</v>
      </c>
      <c r="Q377" s="20" t="s">
        <v>983</v>
      </c>
      <c r="R377" s="76"/>
      <c r="S377" s="0" t="n">
        <f aca="false">IF(Recherche!$B$4="",0,IF(ISNUMBER(SEARCH(Recherche!$B$4,D377))+ISNUMBER(SEARCH(Recherche!$B$4,K377))&gt;0,1,0))</f>
        <v>0</v>
      </c>
      <c r="T377" s="0" t="str">
        <f aca="false">IF(S377=1,SUM($S$2:S377),"")</f>
        <v/>
      </c>
    </row>
    <row r="378" customFormat="false" ht="23.85" hidden="false" customHeight="false" outlineLevel="0" collapsed="false">
      <c r="A378" s="24" t="s">
        <v>1833</v>
      </c>
      <c r="B378" s="24" t="s">
        <v>59</v>
      </c>
      <c r="C378" s="24" t="s">
        <v>1827</v>
      </c>
      <c r="D378" s="23" t="s">
        <v>426</v>
      </c>
      <c r="E378" s="26" t="s">
        <v>91</v>
      </c>
      <c r="F378" s="74" t="s">
        <v>77</v>
      </c>
      <c r="G378" s="74" t="s">
        <v>979</v>
      </c>
      <c r="H378" s="75" t="n">
        <v>46.25</v>
      </c>
      <c r="I378" s="25" t="n">
        <v>46.25</v>
      </c>
      <c r="J378" s="58"/>
      <c r="K378" s="23" t="s">
        <v>427</v>
      </c>
      <c r="L378" s="24" t="s">
        <v>1830</v>
      </c>
      <c r="M378" s="24" t="s">
        <v>1834</v>
      </c>
      <c r="N378" s="26" t="s">
        <v>91</v>
      </c>
      <c r="O378" s="24"/>
      <c r="P378" s="24" t="s">
        <v>114</v>
      </c>
      <c r="Q378" s="24" t="s">
        <v>983</v>
      </c>
      <c r="R378" s="73"/>
      <c r="S378" s="0" t="n">
        <f aca="false">IF(Recherche!$B$4="",0,IF(ISNUMBER(SEARCH(Recherche!$B$4,D378))+ISNUMBER(SEARCH(Recherche!$B$4,K378))&gt;0,1,0))</f>
        <v>0</v>
      </c>
      <c r="T378" s="0" t="str">
        <f aca="false">IF(S378=1,SUM($S$2:S378),"")</f>
        <v/>
      </c>
    </row>
    <row r="379" customFormat="false" ht="23.85" hidden="false" customHeight="false" outlineLevel="0" collapsed="false">
      <c r="A379" s="20" t="s">
        <v>1835</v>
      </c>
      <c r="B379" s="20" t="s">
        <v>59</v>
      </c>
      <c r="C379" s="20" t="s">
        <v>1827</v>
      </c>
      <c r="D379" s="19" t="s">
        <v>428</v>
      </c>
      <c r="E379" s="22" t="s">
        <v>91</v>
      </c>
      <c r="F379" s="20" t="s">
        <v>76</v>
      </c>
      <c r="G379" s="20" t="s">
        <v>939</v>
      </c>
      <c r="H379" s="21" t="n">
        <v>80.73</v>
      </c>
      <c r="I379" s="21"/>
      <c r="J379" s="52"/>
      <c r="K379" s="19" t="s">
        <v>429</v>
      </c>
      <c r="L379" s="20" t="s">
        <v>1836</v>
      </c>
      <c r="M379" s="20" t="s">
        <v>1837</v>
      </c>
      <c r="N379" s="22" t="s">
        <v>91</v>
      </c>
      <c r="O379" s="20"/>
      <c r="P379" s="20" t="s">
        <v>93</v>
      </c>
      <c r="Q379" s="20" t="s">
        <v>942</v>
      </c>
      <c r="R379" s="76" t="s">
        <v>95</v>
      </c>
      <c r="S379" s="0" t="n">
        <f aca="false">IF(Recherche!$B$4="",0,IF(ISNUMBER(SEARCH(Recherche!$B$4,D379))+ISNUMBER(SEARCH(Recherche!$B$4,K379))&gt;0,1,0))</f>
        <v>0</v>
      </c>
      <c r="T379" s="0" t="str">
        <f aca="false">IF(S379=1,SUM($S$2:S379),"")</f>
        <v/>
      </c>
    </row>
    <row r="380" customFormat="false" ht="23.85" hidden="false" customHeight="false" outlineLevel="0" collapsed="false">
      <c r="A380" s="24" t="s">
        <v>1838</v>
      </c>
      <c r="B380" s="24" t="s">
        <v>59</v>
      </c>
      <c r="C380" s="24" t="s">
        <v>1827</v>
      </c>
      <c r="D380" s="23" t="s">
        <v>430</v>
      </c>
      <c r="E380" s="26" t="s">
        <v>137</v>
      </c>
      <c r="F380" s="24" t="s">
        <v>76</v>
      </c>
      <c r="G380" s="24" t="s">
        <v>939</v>
      </c>
      <c r="H380" s="25" t="n">
        <v>3.21</v>
      </c>
      <c r="I380" s="25"/>
      <c r="J380" s="58"/>
      <c r="K380" s="23" t="s">
        <v>431</v>
      </c>
      <c r="L380" s="24" t="s">
        <v>1293</v>
      </c>
      <c r="M380" s="24" t="s">
        <v>1839</v>
      </c>
      <c r="N380" s="26" t="s">
        <v>137</v>
      </c>
      <c r="O380" s="24"/>
      <c r="P380" s="24" t="s">
        <v>93</v>
      </c>
      <c r="Q380" s="24" t="s">
        <v>942</v>
      </c>
      <c r="R380" s="73" t="s">
        <v>95</v>
      </c>
      <c r="S380" s="0" t="n">
        <f aca="false">IF(Recherche!$B$4="",0,IF(ISNUMBER(SEARCH(Recherche!$B$4,D380))+ISNUMBER(SEARCH(Recherche!$B$4,K380))&gt;0,1,0))</f>
        <v>0</v>
      </c>
      <c r="T380" s="0" t="str">
        <f aca="false">IF(S380=1,SUM($S$2:S380),"")</f>
        <v/>
      </c>
    </row>
    <row r="381" customFormat="false" ht="23.85" hidden="false" customHeight="false" outlineLevel="0" collapsed="false">
      <c r="A381" s="20" t="s">
        <v>1838</v>
      </c>
      <c r="B381" s="20" t="s">
        <v>59</v>
      </c>
      <c r="C381" s="20" t="s">
        <v>1827</v>
      </c>
      <c r="D381" s="19" t="s">
        <v>430</v>
      </c>
      <c r="E381" s="22" t="s">
        <v>137</v>
      </c>
      <c r="F381" s="74" t="s">
        <v>77</v>
      </c>
      <c r="G381" s="74" t="s">
        <v>979</v>
      </c>
      <c r="H381" s="75" t="n">
        <v>33.92</v>
      </c>
      <c r="I381" s="21" t="n">
        <v>43.49</v>
      </c>
      <c r="J381" s="52" t="n">
        <v>22</v>
      </c>
      <c r="K381" s="19" t="s">
        <v>1840</v>
      </c>
      <c r="L381" s="20" t="s">
        <v>1121</v>
      </c>
      <c r="M381" s="20" t="s">
        <v>1841</v>
      </c>
      <c r="N381" s="22" t="s">
        <v>91</v>
      </c>
      <c r="O381" s="20"/>
      <c r="P381" s="20" t="s">
        <v>114</v>
      </c>
      <c r="Q381" s="20" t="s">
        <v>983</v>
      </c>
      <c r="R381" s="76"/>
      <c r="S381" s="0" t="n">
        <f aca="false">IF(Recherche!$B$4="",0,IF(ISNUMBER(SEARCH(Recherche!$B$4,D381))+ISNUMBER(SEARCH(Recherche!$B$4,K381))&gt;0,1,0))</f>
        <v>0</v>
      </c>
      <c r="T381" s="0" t="str">
        <f aca="false">IF(S381=1,SUM($S$2:S381),"")</f>
        <v/>
      </c>
    </row>
    <row r="382" customFormat="false" ht="15" hidden="false" customHeight="false" outlineLevel="0" collapsed="false">
      <c r="A382" s="24" t="s">
        <v>1842</v>
      </c>
      <c r="B382" s="24" t="s">
        <v>59</v>
      </c>
      <c r="C382" s="24" t="s">
        <v>1843</v>
      </c>
      <c r="D382" s="23" t="s">
        <v>432</v>
      </c>
      <c r="E382" s="26" t="s">
        <v>91</v>
      </c>
      <c r="F382" s="24" t="s">
        <v>76</v>
      </c>
      <c r="G382" s="24" t="s">
        <v>939</v>
      </c>
      <c r="H382" s="25" t="n">
        <v>40.3</v>
      </c>
      <c r="I382" s="25"/>
      <c r="J382" s="58"/>
      <c r="K382" s="23" t="s">
        <v>433</v>
      </c>
      <c r="L382" s="24" t="s">
        <v>1844</v>
      </c>
      <c r="M382" s="24" t="s">
        <v>1845</v>
      </c>
      <c r="N382" s="26" t="s">
        <v>91</v>
      </c>
      <c r="O382" s="24"/>
      <c r="P382" s="24" t="s">
        <v>93</v>
      </c>
      <c r="Q382" s="24" t="s">
        <v>942</v>
      </c>
      <c r="R382" s="73" t="s">
        <v>95</v>
      </c>
      <c r="S382" s="0" t="n">
        <f aca="false">IF(Recherche!$B$4="",0,IF(ISNUMBER(SEARCH(Recherche!$B$4,D382))+ISNUMBER(SEARCH(Recherche!$B$4,K382))&gt;0,1,0))</f>
        <v>0</v>
      </c>
      <c r="T382" s="0" t="str">
        <f aca="false">IF(S382=1,SUM($S$2:S382),"")</f>
        <v/>
      </c>
    </row>
    <row r="383" customFormat="false" ht="15" hidden="false" customHeight="false" outlineLevel="0" collapsed="false">
      <c r="A383" s="20" t="s">
        <v>1842</v>
      </c>
      <c r="B383" s="20" t="s">
        <v>59</v>
      </c>
      <c r="C383" s="20" t="s">
        <v>1843</v>
      </c>
      <c r="D383" s="19" t="s">
        <v>432</v>
      </c>
      <c r="E383" s="22" t="s">
        <v>91</v>
      </c>
      <c r="F383" s="74" t="s">
        <v>77</v>
      </c>
      <c r="G383" s="74" t="s">
        <v>979</v>
      </c>
      <c r="H383" s="75" t="n">
        <v>131.53</v>
      </c>
      <c r="I383" s="21" t="n">
        <v>168.63</v>
      </c>
      <c r="J383" s="52" t="n">
        <v>22</v>
      </c>
      <c r="K383" s="19" t="s">
        <v>1846</v>
      </c>
      <c r="L383" s="20" t="s">
        <v>1121</v>
      </c>
      <c r="M383" s="20" t="s">
        <v>1847</v>
      </c>
      <c r="N383" s="22" t="s">
        <v>91</v>
      </c>
      <c r="O383" s="20"/>
      <c r="P383" s="20" t="s">
        <v>114</v>
      </c>
      <c r="Q383" s="20" t="s">
        <v>983</v>
      </c>
      <c r="R383" s="76"/>
      <c r="S383" s="0" t="n">
        <f aca="false">IF(Recherche!$B$4="",0,IF(ISNUMBER(SEARCH(Recherche!$B$4,D383))+ISNUMBER(SEARCH(Recherche!$B$4,K383))&gt;0,1,0))</f>
        <v>0</v>
      </c>
      <c r="T383" s="0" t="str">
        <f aca="false">IF(S383=1,SUM($S$2:S383),"")</f>
        <v/>
      </c>
    </row>
    <row r="384" customFormat="false" ht="15" hidden="false" customHeight="false" outlineLevel="0" collapsed="false">
      <c r="A384" s="24" t="s">
        <v>1848</v>
      </c>
      <c r="B384" s="24" t="s">
        <v>59</v>
      </c>
      <c r="C384" s="24" t="s">
        <v>1843</v>
      </c>
      <c r="D384" s="23" t="s">
        <v>434</v>
      </c>
      <c r="E384" s="26" t="s">
        <v>91</v>
      </c>
      <c r="F384" s="24" t="s">
        <v>76</v>
      </c>
      <c r="G384" s="24" t="s">
        <v>939</v>
      </c>
      <c r="H384" s="25" t="n">
        <v>8.8</v>
      </c>
      <c r="I384" s="25"/>
      <c r="J384" s="58"/>
      <c r="K384" s="23" t="s">
        <v>435</v>
      </c>
      <c r="L384" s="24" t="s">
        <v>1293</v>
      </c>
      <c r="M384" s="24" t="s">
        <v>1849</v>
      </c>
      <c r="N384" s="26" t="s">
        <v>91</v>
      </c>
      <c r="O384" s="24"/>
      <c r="P384" s="24" t="s">
        <v>93</v>
      </c>
      <c r="Q384" s="24" t="s">
        <v>963</v>
      </c>
      <c r="R384" s="73" t="s">
        <v>95</v>
      </c>
      <c r="S384" s="0" t="n">
        <f aca="false">IF(Recherche!$B$4="",0,IF(ISNUMBER(SEARCH(Recherche!$B$4,D384))+ISNUMBER(SEARCH(Recherche!$B$4,K384))&gt;0,1,0))</f>
        <v>0</v>
      </c>
      <c r="T384" s="0" t="str">
        <f aca="false">IF(S384=1,SUM($S$2:S384),"")</f>
        <v/>
      </c>
    </row>
    <row r="385" customFormat="false" ht="15" hidden="false" customHeight="false" outlineLevel="0" collapsed="false">
      <c r="A385" s="20" t="s">
        <v>1848</v>
      </c>
      <c r="B385" s="20" t="s">
        <v>59</v>
      </c>
      <c r="C385" s="20" t="s">
        <v>1843</v>
      </c>
      <c r="D385" s="19" t="s">
        <v>434</v>
      </c>
      <c r="E385" s="22" t="s">
        <v>91</v>
      </c>
      <c r="F385" s="74" t="s">
        <v>81</v>
      </c>
      <c r="G385" s="74" t="s">
        <v>979</v>
      </c>
      <c r="H385" s="75" t="n">
        <v>19.4</v>
      </c>
      <c r="I385" s="21" t="n">
        <v>20.4</v>
      </c>
      <c r="J385" s="52" t="n">
        <v>4.9</v>
      </c>
      <c r="K385" s="19" t="s">
        <v>1850</v>
      </c>
      <c r="L385" s="20" t="s">
        <v>1389</v>
      </c>
      <c r="M385" s="20" t="s">
        <v>1851</v>
      </c>
      <c r="N385" s="22" t="s">
        <v>91</v>
      </c>
      <c r="O385" s="20" t="s">
        <v>949</v>
      </c>
      <c r="P385" s="20" t="s">
        <v>119</v>
      </c>
      <c r="Q385" s="20" t="s">
        <v>1016</v>
      </c>
      <c r="R385" s="76" t="s">
        <v>95</v>
      </c>
      <c r="S385" s="0" t="n">
        <f aca="false">IF(Recherche!$B$4="",0,IF(ISNUMBER(SEARCH(Recherche!$B$4,D385))+ISNUMBER(SEARCH(Recherche!$B$4,K385))&gt;0,1,0))</f>
        <v>0</v>
      </c>
      <c r="T385" s="0" t="str">
        <f aca="false">IF(S385=1,SUM($S$2:S385),"")</f>
        <v/>
      </c>
    </row>
    <row r="386" customFormat="false" ht="23.85" hidden="false" customHeight="false" outlineLevel="0" collapsed="false">
      <c r="A386" s="24" t="s">
        <v>1848</v>
      </c>
      <c r="B386" s="24" t="s">
        <v>59</v>
      </c>
      <c r="C386" s="24" t="s">
        <v>1843</v>
      </c>
      <c r="D386" s="23" t="s">
        <v>434</v>
      </c>
      <c r="E386" s="26" t="s">
        <v>91</v>
      </c>
      <c r="F386" s="24" t="s">
        <v>80</v>
      </c>
      <c r="G386" s="24" t="s">
        <v>939</v>
      </c>
      <c r="H386" s="25" t="n">
        <v>22.24</v>
      </c>
      <c r="I386" s="25"/>
      <c r="J386" s="58"/>
      <c r="K386" s="23" t="s">
        <v>1852</v>
      </c>
      <c r="L386" s="24"/>
      <c r="M386" s="24" t="s">
        <v>1853</v>
      </c>
      <c r="N386" s="26" t="s">
        <v>91</v>
      </c>
      <c r="O386" s="24"/>
      <c r="P386" s="24" t="s">
        <v>303</v>
      </c>
      <c r="Q386" s="24" t="s">
        <v>942</v>
      </c>
      <c r="R386" s="73" t="s">
        <v>95</v>
      </c>
      <c r="S386" s="0" t="n">
        <f aca="false">IF(Recherche!$B$4="",0,IF(ISNUMBER(SEARCH(Recherche!$B$4,D386))+ISNUMBER(SEARCH(Recherche!$B$4,K386))&gt;0,1,0))</f>
        <v>0</v>
      </c>
      <c r="T386" s="0" t="str">
        <f aca="false">IF(S386=1,SUM($S$2:S386),"")</f>
        <v/>
      </c>
    </row>
    <row r="387" customFormat="false" ht="15" hidden="false" customHeight="false" outlineLevel="0" collapsed="false">
      <c r="A387" s="20" t="s">
        <v>1854</v>
      </c>
      <c r="B387" s="20" t="s">
        <v>60</v>
      </c>
      <c r="C387" s="20" t="s">
        <v>1855</v>
      </c>
      <c r="D387" s="19" t="s">
        <v>436</v>
      </c>
      <c r="E387" s="22" t="s">
        <v>91</v>
      </c>
      <c r="F387" s="74" t="s">
        <v>82</v>
      </c>
      <c r="G387" s="74" t="s">
        <v>943</v>
      </c>
      <c r="H387" s="75" t="n">
        <v>4.57</v>
      </c>
      <c r="I387" s="21"/>
      <c r="J387" s="52"/>
      <c r="K387" s="19" t="s">
        <v>437</v>
      </c>
      <c r="L387" s="20"/>
      <c r="M387" s="20" t="s">
        <v>1856</v>
      </c>
      <c r="N387" s="22" t="s">
        <v>91</v>
      </c>
      <c r="O387" s="20"/>
      <c r="P387" s="20" t="s">
        <v>290</v>
      </c>
      <c r="Q387" s="20" t="s">
        <v>1016</v>
      </c>
      <c r="R387" s="76" t="s">
        <v>95</v>
      </c>
      <c r="S387" s="0" t="n">
        <f aca="false">IF(Recherche!$B$4="",0,IF(ISNUMBER(SEARCH(Recherche!$B$4,D387))+ISNUMBER(SEARCH(Recherche!$B$4,K387))&gt;0,1,0))</f>
        <v>0</v>
      </c>
      <c r="T387" s="0" t="str">
        <f aca="false">IF(S387=1,SUM($S$2:S387),"")</f>
        <v/>
      </c>
    </row>
    <row r="388" customFormat="false" ht="23.85" hidden="false" customHeight="false" outlineLevel="0" collapsed="false">
      <c r="A388" s="24" t="s">
        <v>1854</v>
      </c>
      <c r="B388" s="24" t="s">
        <v>60</v>
      </c>
      <c r="C388" s="24" t="s">
        <v>1855</v>
      </c>
      <c r="D388" s="23" t="s">
        <v>436</v>
      </c>
      <c r="E388" s="26" t="s">
        <v>91</v>
      </c>
      <c r="F388" s="74" t="s">
        <v>81</v>
      </c>
      <c r="G388" s="74" t="s">
        <v>979</v>
      </c>
      <c r="H388" s="75" t="n">
        <v>5.65</v>
      </c>
      <c r="I388" s="25" t="n">
        <v>5.93</v>
      </c>
      <c r="J388" s="58" t="n">
        <v>4.7</v>
      </c>
      <c r="K388" s="23" t="s">
        <v>1857</v>
      </c>
      <c r="L388" s="24" t="s">
        <v>1858</v>
      </c>
      <c r="M388" s="24" t="s">
        <v>1859</v>
      </c>
      <c r="N388" s="26" t="s">
        <v>91</v>
      </c>
      <c r="O388" s="24" t="s">
        <v>949</v>
      </c>
      <c r="P388" s="24" t="s">
        <v>119</v>
      </c>
      <c r="Q388" s="24" t="s">
        <v>1016</v>
      </c>
      <c r="R388" s="73" t="s">
        <v>95</v>
      </c>
      <c r="S388" s="0" t="n">
        <f aca="false">IF(Recherche!$B$4="",0,IF(ISNUMBER(SEARCH(Recherche!$B$4,D388))+ISNUMBER(SEARCH(Recherche!$B$4,K388))&gt;0,1,0))</f>
        <v>0</v>
      </c>
      <c r="T388" s="0" t="str">
        <f aca="false">IF(S388=1,SUM($S$2:S388),"")</f>
        <v/>
      </c>
    </row>
    <row r="389" customFormat="false" ht="23.85" hidden="false" customHeight="false" outlineLevel="0" collapsed="false">
      <c r="A389" s="20" t="s">
        <v>1854</v>
      </c>
      <c r="B389" s="20" t="s">
        <v>60</v>
      </c>
      <c r="C389" s="20" t="s">
        <v>1855</v>
      </c>
      <c r="D389" s="19" t="s">
        <v>436</v>
      </c>
      <c r="E389" s="22" t="s">
        <v>91</v>
      </c>
      <c r="F389" s="20" t="s">
        <v>80</v>
      </c>
      <c r="G389" s="20" t="s">
        <v>939</v>
      </c>
      <c r="H389" s="21" t="n">
        <v>34.39</v>
      </c>
      <c r="I389" s="21"/>
      <c r="J389" s="52"/>
      <c r="K389" s="19" t="s">
        <v>450</v>
      </c>
      <c r="L389" s="20"/>
      <c r="M389" s="20" t="s">
        <v>1860</v>
      </c>
      <c r="N389" s="22" t="s">
        <v>91</v>
      </c>
      <c r="O389" s="20"/>
      <c r="P389" s="20" t="s">
        <v>303</v>
      </c>
      <c r="Q389" s="20" t="s">
        <v>942</v>
      </c>
      <c r="R389" s="76" t="s">
        <v>95</v>
      </c>
      <c r="S389" s="0" t="n">
        <f aca="false">IF(Recherche!$B$4="",0,IF(ISNUMBER(SEARCH(Recherche!$B$4,D389))+ISNUMBER(SEARCH(Recherche!$B$4,K389))&gt;0,1,0))</f>
        <v>0</v>
      </c>
      <c r="T389" s="0" t="str">
        <f aca="false">IF(S389=1,SUM($S$2:S389),"")</f>
        <v/>
      </c>
    </row>
    <row r="390" customFormat="false" ht="23.85" hidden="false" customHeight="false" outlineLevel="0" collapsed="false">
      <c r="A390" s="24" t="s">
        <v>1854</v>
      </c>
      <c r="B390" s="24" t="s">
        <v>60</v>
      </c>
      <c r="C390" s="24" t="s">
        <v>1855</v>
      </c>
      <c r="D390" s="23" t="s">
        <v>436</v>
      </c>
      <c r="E390" s="26" t="s">
        <v>91</v>
      </c>
      <c r="F390" s="24" t="s">
        <v>76</v>
      </c>
      <c r="G390" s="24" t="s">
        <v>939</v>
      </c>
      <c r="H390" s="25" t="n">
        <v>34.98</v>
      </c>
      <c r="I390" s="25"/>
      <c r="J390" s="58"/>
      <c r="K390" s="23" t="s">
        <v>1861</v>
      </c>
      <c r="L390" s="24" t="s">
        <v>1280</v>
      </c>
      <c r="M390" s="24" t="s">
        <v>1862</v>
      </c>
      <c r="N390" s="26" t="s">
        <v>91</v>
      </c>
      <c r="O390" s="24"/>
      <c r="P390" s="24" t="s">
        <v>93</v>
      </c>
      <c r="Q390" s="24" t="s">
        <v>942</v>
      </c>
      <c r="R390" s="73" t="s">
        <v>95</v>
      </c>
      <c r="S390" s="0" t="n">
        <f aca="false">IF(Recherche!$B$4="",0,IF(ISNUMBER(SEARCH(Recherche!$B$4,D390))+ISNUMBER(SEARCH(Recherche!$B$4,K390))&gt;0,1,0))</f>
        <v>0</v>
      </c>
      <c r="T390" s="0" t="str">
        <f aca="false">IF(S390=1,SUM($S$2:S390),"")</f>
        <v/>
      </c>
    </row>
    <row r="391" customFormat="false" ht="23.85" hidden="false" customHeight="false" outlineLevel="0" collapsed="false">
      <c r="A391" s="20" t="s">
        <v>1863</v>
      </c>
      <c r="B391" s="20" t="s">
        <v>60</v>
      </c>
      <c r="C391" s="20" t="s">
        <v>1855</v>
      </c>
      <c r="D391" s="19" t="s">
        <v>438</v>
      </c>
      <c r="E391" s="22" t="s">
        <v>91</v>
      </c>
      <c r="F391" s="74" t="s">
        <v>81</v>
      </c>
      <c r="G391" s="74" t="s">
        <v>979</v>
      </c>
      <c r="H391" s="75" t="n">
        <v>33.45</v>
      </c>
      <c r="I391" s="21" t="n">
        <v>35.16</v>
      </c>
      <c r="J391" s="52" t="n">
        <v>4.9</v>
      </c>
      <c r="K391" s="19" t="s">
        <v>439</v>
      </c>
      <c r="L391" s="20" t="s">
        <v>1858</v>
      </c>
      <c r="M391" s="20" t="s">
        <v>1864</v>
      </c>
      <c r="N391" s="22" t="s">
        <v>91</v>
      </c>
      <c r="O391" s="20" t="s">
        <v>949</v>
      </c>
      <c r="P391" s="20" t="s">
        <v>169</v>
      </c>
      <c r="Q391" s="20" t="s">
        <v>1016</v>
      </c>
      <c r="R391" s="76" t="s">
        <v>95</v>
      </c>
      <c r="S391" s="0" t="n">
        <f aca="false">IF(Recherche!$B$4="",0,IF(ISNUMBER(SEARCH(Recherche!$B$4,D391))+ISNUMBER(SEARCH(Recherche!$B$4,K391))&gt;0,1,0))</f>
        <v>0</v>
      </c>
      <c r="T391" s="0" t="str">
        <f aca="false">IF(S391=1,SUM($S$2:S391),"")</f>
        <v/>
      </c>
    </row>
    <row r="392" customFormat="false" ht="23.85" hidden="false" customHeight="false" outlineLevel="0" collapsed="false">
      <c r="A392" s="24" t="s">
        <v>1863</v>
      </c>
      <c r="B392" s="24" t="s">
        <v>60</v>
      </c>
      <c r="C392" s="24" t="s">
        <v>1855</v>
      </c>
      <c r="D392" s="23" t="s">
        <v>438</v>
      </c>
      <c r="E392" s="26" t="s">
        <v>91</v>
      </c>
      <c r="F392" s="24" t="s">
        <v>80</v>
      </c>
      <c r="G392" s="24" t="s">
        <v>939</v>
      </c>
      <c r="H392" s="25" t="n">
        <v>55.87</v>
      </c>
      <c r="I392" s="25"/>
      <c r="J392" s="58"/>
      <c r="K392" s="23" t="s">
        <v>1865</v>
      </c>
      <c r="L392" s="24"/>
      <c r="M392" s="24" t="s">
        <v>1866</v>
      </c>
      <c r="N392" s="26" t="s">
        <v>91</v>
      </c>
      <c r="O392" s="24"/>
      <c r="P392" s="24" t="s">
        <v>303</v>
      </c>
      <c r="Q392" s="24" t="s">
        <v>963</v>
      </c>
      <c r="R392" s="73" t="s">
        <v>95</v>
      </c>
      <c r="S392" s="0" t="n">
        <f aca="false">IF(Recherche!$B$4="",0,IF(ISNUMBER(SEARCH(Recherche!$B$4,D392))+ISNUMBER(SEARCH(Recherche!$B$4,K392))&gt;0,1,0))</f>
        <v>0</v>
      </c>
      <c r="T392" s="0" t="str">
        <f aca="false">IF(S392=1,SUM($S$2:S392),"")</f>
        <v/>
      </c>
    </row>
    <row r="393" customFormat="false" ht="15" hidden="false" customHeight="false" outlineLevel="0" collapsed="false">
      <c r="A393" s="20" t="s">
        <v>1863</v>
      </c>
      <c r="B393" s="20" t="s">
        <v>60</v>
      </c>
      <c r="C393" s="20" t="s">
        <v>1855</v>
      </c>
      <c r="D393" s="19" t="s">
        <v>438</v>
      </c>
      <c r="E393" s="22" t="s">
        <v>91</v>
      </c>
      <c r="F393" s="74" t="s">
        <v>82</v>
      </c>
      <c r="G393" s="74" t="s">
        <v>943</v>
      </c>
      <c r="H393" s="75" t="n">
        <v>150.31</v>
      </c>
      <c r="I393" s="21"/>
      <c r="J393" s="52"/>
      <c r="K393" s="19" t="s">
        <v>1867</v>
      </c>
      <c r="L393" s="20"/>
      <c r="M393" s="20" t="s">
        <v>1868</v>
      </c>
      <c r="N393" s="22" t="s">
        <v>91</v>
      </c>
      <c r="O393" s="20"/>
      <c r="P393" s="20" t="s">
        <v>290</v>
      </c>
      <c r="Q393" s="20" t="s">
        <v>1380</v>
      </c>
      <c r="R393" s="76" t="s">
        <v>95</v>
      </c>
      <c r="S393" s="0" t="n">
        <f aca="false">IF(Recherche!$B$4="",0,IF(ISNUMBER(SEARCH(Recherche!$B$4,D393))+ISNUMBER(SEARCH(Recherche!$B$4,K393))&gt;0,1,0))</f>
        <v>0</v>
      </c>
      <c r="T393" s="0" t="str">
        <f aca="false">IF(S393=1,SUM($S$2:S393),"")</f>
        <v/>
      </c>
    </row>
    <row r="394" customFormat="false" ht="23.85" hidden="false" customHeight="false" outlineLevel="0" collapsed="false">
      <c r="A394" s="24" t="s">
        <v>1863</v>
      </c>
      <c r="B394" s="24" t="s">
        <v>60</v>
      </c>
      <c r="C394" s="24" t="s">
        <v>1855</v>
      </c>
      <c r="D394" s="23" t="s">
        <v>438</v>
      </c>
      <c r="E394" s="26" t="s">
        <v>91</v>
      </c>
      <c r="F394" s="24" t="s">
        <v>76</v>
      </c>
      <c r="G394" s="24" t="s">
        <v>939</v>
      </c>
      <c r="H394" s="25" t="n">
        <v>470.93</v>
      </c>
      <c r="I394" s="25"/>
      <c r="J394" s="58"/>
      <c r="K394" s="23" t="s">
        <v>1869</v>
      </c>
      <c r="L394" s="24" t="s">
        <v>1280</v>
      </c>
      <c r="M394" s="24" t="s">
        <v>1870</v>
      </c>
      <c r="N394" s="26" t="s">
        <v>91</v>
      </c>
      <c r="O394" s="24"/>
      <c r="P394" s="24" t="s">
        <v>93</v>
      </c>
      <c r="Q394" s="24" t="s">
        <v>942</v>
      </c>
      <c r="R394" s="73" t="s">
        <v>95</v>
      </c>
      <c r="S394" s="0" t="n">
        <f aca="false">IF(Recherche!$B$4="",0,IF(ISNUMBER(SEARCH(Recherche!$B$4,D394))+ISNUMBER(SEARCH(Recherche!$B$4,K394))&gt;0,1,0))</f>
        <v>0</v>
      </c>
      <c r="T394" s="0" t="str">
        <f aca="false">IF(S394=1,SUM($S$2:S394),"")</f>
        <v/>
      </c>
    </row>
    <row r="395" customFormat="false" ht="23.85" hidden="false" customHeight="false" outlineLevel="0" collapsed="false">
      <c r="A395" s="20" t="s">
        <v>1871</v>
      </c>
      <c r="B395" s="20" t="s">
        <v>60</v>
      </c>
      <c r="C395" s="20" t="s">
        <v>1855</v>
      </c>
      <c r="D395" s="19" t="s">
        <v>440</v>
      </c>
      <c r="E395" s="22" t="s">
        <v>91</v>
      </c>
      <c r="F395" s="74" t="s">
        <v>82</v>
      </c>
      <c r="G395" s="74" t="s">
        <v>943</v>
      </c>
      <c r="H395" s="75" t="n">
        <v>336.63</v>
      </c>
      <c r="I395" s="21"/>
      <c r="J395" s="52"/>
      <c r="K395" s="19" t="s">
        <v>441</v>
      </c>
      <c r="L395" s="20"/>
      <c r="M395" s="20" t="s">
        <v>1872</v>
      </c>
      <c r="N395" s="22" t="s">
        <v>91</v>
      </c>
      <c r="O395" s="20"/>
      <c r="P395" s="20" t="s">
        <v>290</v>
      </c>
      <c r="Q395" s="20" t="s">
        <v>1380</v>
      </c>
      <c r="R395" s="76" t="s">
        <v>95</v>
      </c>
      <c r="S395" s="0" t="n">
        <f aca="false">IF(Recherche!$B$4="",0,IF(ISNUMBER(SEARCH(Recherche!$B$4,D395))+ISNUMBER(SEARCH(Recherche!$B$4,K395))&gt;0,1,0))</f>
        <v>0</v>
      </c>
      <c r="T395" s="0" t="str">
        <f aca="false">IF(S395=1,SUM($S$2:S395),"")</f>
        <v/>
      </c>
    </row>
    <row r="396" customFormat="false" ht="23.85" hidden="false" customHeight="false" outlineLevel="0" collapsed="false">
      <c r="A396" s="24" t="s">
        <v>1871</v>
      </c>
      <c r="B396" s="24" t="s">
        <v>60</v>
      </c>
      <c r="C396" s="24" t="s">
        <v>1855</v>
      </c>
      <c r="D396" s="23" t="s">
        <v>440</v>
      </c>
      <c r="E396" s="26" t="s">
        <v>91</v>
      </c>
      <c r="F396" s="24" t="s">
        <v>76</v>
      </c>
      <c r="G396" s="24" t="s">
        <v>939</v>
      </c>
      <c r="H396" s="25" t="n">
        <v>438.84</v>
      </c>
      <c r="I396" s="25"/>
      <c r="J396" s="58"/>
      <c r="K396" s="23" t="s">
        <v>1873</v>
      </c>
      <c r="L396" s="24" t="s">
        <v>1280</v>
      </c>
      <c r="M396" s="24" t="s">
        <v>1874</v>
      </c>
      <c r="N396" s="26" t="s">
        <v>91</v>
      </c>
      <c r="O396" s="24"/>
      <c r="P396" s="24" t="s">
        <v>93</v>
      </c>
      <c r="Q396" s="24" t="s">
        <v>942</v>
      </c>
      <c r="R396" s="73" t="s">
        <v>95</v>
      </c>
      <c r="S396" s="0" t="n">
        <f aca="false">IF(Recherche!$B$4="",0,IF(ISNUMBER(SEARCH(Recherche!$B$4,D396))+ISNUMBER(SEARCH(Recherche!$B$4,K396))&gt;0,1,0))</f>
        <v>0</v>
      </c>
      <c r="T396" s="0" t="str">
        <f aca="false">IF(S396=1,SUM($S$2:S396),"")</f>
        <v/>
      </c>
    </row>
    <row r="397" customFormat="false" ht="23.85" hidden="false" customHeight="false" outlineLevel="0" collapsed="false">
      <c r="A397" s="20" t="s">
        <v>1875</v>
      </c>
      <c r="B397" s="20" t="s">
        <v>60</v>
      </c>
      <c r="C397" s="20" t="s">
        <v>1855</v>
      </c>
      <c r="D397" s="19" t="s">
        <v>442</v>
      </c>
      <c r="E397" s="22" t="s">
        <v>91</v>
      </c>
      <c r="F397" s="20" t="s">
        <v>80</v>
      </c>
      <c r="G397" s="20" t="s">
        <v>939</v>
      </c>
      <c r="H397" s="21" t="n">
        <v>11.48</v>
      </c>
      <c r="I397" s="21"/>
      <c r="J397" s="52"/>
      <c r="K397" s="19" t="s">
        <v>443</v>
      </c>
      <c r="L397" s="20"/>
      <c r="M397" s="20" t="s">
        <v>1876</v>
      </c>
      <c r="N397" s="22" t="s">
        <v>91</v>
      </c>
      <c r="O397" s="20"/>
      <c r="P397" s="20" t="s">
        <v>303</v>
      </c>
      <c r="Q397" s="20" t="s">
        <v>1085</v>
      </c>
      <c r="R397" s="76" t="s">
        <v>95</v>
      </c>
      <c r="S397" s="0" t="n">
        <f aca="false">IF(Recherche!$B$4="",0,IF(ISNUMBER(SEARCH(Recherche!$B$4,D397))+ISNUMBER(SEARCH(Recherche!$B$4,K397))&gt;0,1,0))</f>
        <v>0</v>
      </c>
      <c r="T397" s="0" t="str">
        <f aca="false">IF(S397=1,SUM($S$2:S397),"")</f>
        <v/>
      </c>
    </row>
    <row r="398" customFormat="false" ht="15" hidden="false" customHeight="false" outlineLevel="0" collapsed="false">
      <c r="A398" s="24" t="s">
        <v>1875</v>
      </c>
      <c r="B398" s="24" t="s">
        <v>60</v>
      </c>
      <c r="C398" s="24" t="s">
        <v>1855</v>
      </c>
      <c r="D398" s="23" t="s">
        <v>442</v>
      </c>
      <c r="E398" s="26" t="s">
        <v>91</v>
      </c>
      <c r="F398" s="74" t="s">
        <v>81</v>
      </c>
      <c r="G398" s="74" t="s">
        <v>979</v>
      </c>
      <c r="H398" s="75" t="n">
        <v>30.3</v>
      </c>
      <c r="I398" s="25" t="n">
        <v>31.88</v>
      </c>
      <c r="J398" s="58" t="n">
        <v>5</v>
      </c>
      <c r="K398" s="23" t="s">
        <v>1877</v>
      </c>
      <c r="L398" s="24" t="s">
        <v>1878</v>
      </c>
      <c r="M398" s="24" t="s">
        <v>1879</v>
      </c>
      <c r="N398" s="26" t="s">
        <v>91</v>
      </c>
      <c r="O398" s="24" t="s">
        <v>949</v>
      </c>
      <c r="P398" s="24" t="s">
        <v>169</v>
      </c>
      <c r="Q398" s="24" t="s">
        <v>1007</v>
      </c>
      <c r="R398" s="73" t="s">
        <v>95</v>
      </c>
      <c r="S398" s="0" t="n">
        <f aca="false">IF(Recherche!$B$4="",0,IF(ISNUMBER(SEARCH(Recherche!$B$4,D398))+ISNUMBER(SEARCH(Recherche!$B$4,K398))&gt;0,1,0))</f>
        <v>0</v>
      </c>
      <c r="T398" s="0" t="str">
        <f aca="false">IF(S398=1,SUM($S$2:S398),"")</f>
        <v/>
      </c>
    </row>
    <row r="399" customFormat="false" ht="15" hidden="false" customHeight="false" outlineLevel="0" collapsed="false">
      <c r="A399" s="20" t="s">
        <v>1875</v>
      </c>
      <c r="B399" s="20" t="s">
        <v>60</v>
      </c>
      <c r="C399" s="20" t="s">
        <v>1855</v>
      </c>
      <c r="D399" s="19" t="s">
        <v>442</v>
      </c>
      <c r="E399" s="22" t="s">
        <v>91</v>
      </c>
      <c r="F399" s="20" t="s">
        <v>76</v>
      </c>
      <c r="G399" s="20" t="s">
        <v>939</v>
      </c>
      <c r="H399" s="21" t="n">
        <v>128.38</v>
      </c>
      <c r="I399" s="21"/>
      <c r="J399" s="52"/>
      <c r="K399" s="19" t="s">
        <v>1880</v>
      </c>
      <c r="L399" s="20" t="s">
        <v>1280</v>
      </c>
      <c r="M399" s="20" t="s">
        <v>1881</v>
      </c>
      <c r="N399" s="22" t="s">
        <v>91</v>
      </c>
      <c r="O399" s="20"/>
      <c r="P399" s="20" t="s">
        <v>93</v>
      </c>
      <c r="Q399" s="20" t="s">
        <v>1085</v>
      </c>
      <c r="R399" s="76" t="s">
        <v>95</v>
      </c>
      <c r="S399" s="0" t="n">
        <f aca="false">IF(Recherche!$B$4="",0,IF(ISNUMBER(SEARCH(Recherche!$B$4,D399))+ISNUMBER(SEARCH(Recherche!$B$4,K399))&gt;0,1,0))</f>
        <v>0</v>
      </c>
      <c r="T399" s="0" t="str">
        <f aca="false">IF(S399=1,SUM($S$2:S399),"")</f>
        <v/>
      </c>
    </row>
    <row r="400" customFormat="false" ht="23.85" hidden="false" customHeight="false" outlineLevel="0" collapsed="false">
      <c r="A400" s="24" t="s">
        <v>1882</v>
      </c>
      <c r="B400" s="24" t="s">
        <v>60</v>
      </c>
      <c r="C400" s="24" t="s">
        <v>1855</v>
      </c>
      <c r="D400" s="23" t="s">
        <v>444</v>
      </c>
      <c r="E400" s="26" t="s">
        <v>91</v>
      </c>
      <c r="F400" s="24" t="s">
        <v>80</v>
      </c>
      <c r="G400" s="24" t="s">
        <v>939</v>
      </c>
      <c r="H400" s="25" t="n">
        <v>11.48</v>
      </c>
      <c r="I400" s="25"/>
      <c r="J400" s="58"/>
      <c r="K400" s="23" t="s">
        <v>443</v>
      </c>
      <c r="L400" s="24"/>
      <c r="M400" s="24" t="s">
        <v>1876</v>
      </c>
      <c r="N400" s="26" t="s">
        <v>91</v>
      </c>
      <c r="O400" s="24"/>
      <c r="P400" s="24" t="s">
        <v>303</v>
      </c>
      <c r="Q400" s="24" t="s">
        <v>942</v>
      </c>
      <c r="R400" s="73" t="s">
        <v>95</v>
      </c>
      <c r="S400" s="0" t="n">
        <f aca="false">IF(Recherche!$B$4="",0,IF(ISNUMBER(SEARCH(Recherche!$B$4,D400))+ISNUMBER(SEARCH(Recherche!$B$4,K400))&gt;0,1,0))</f>
        <v>0</v>
      </c>
      <c r="T400" s="0" t="str">
        <f aca="false">IF(S400=1,SUM($S$2:S400),"")</f>
        <v/>
      </c>
    </row>
    <row r="401" customFormat="false" ht="15" hidden="false" customHeight="false" outlineLevel="0" collapsed="false">
      <c r="A401" s="20" t="s">
        <v>1882</v>
      </c>
      <c r="B401" s="20" t="s">
        <v>60</v>
      </c>
      <c r="C401" s="20" t="s">
        <v>1855</v>
      </c>
      <c r="D401" s="19" t="s">
        <v>444</v>
      </c>
      <c r="E401" s="22" t="s">
        <v>91</v>
      </c>
      <c r="F401" s="74" t="s">
        <v>81</v>
      </c>
      <c r="G401" s="74" t="s">
        <v>979</v>
      </c>
      <c r="H401" s="75" t="n">
        <v>30.3</v>
      </c>
      <c r="I401" s="21" t="n">
        <v>31.88</v>
      </c>
      <c r="J401" s="52" t="n">
        <v>5</v>
      </c>
      <c r="K401" s="19" t="s">
        <v>1877</v>
      </c>
      <c r="L401" s="20" t="s">
        <v>1878</v>
      </c>
      <c r="M401" s="20" t="s">
        <v>1879</v>
      </c>
      <c r="N401" s="22" t="s">
        <v>91</v>
      </c>
      <c r="O401" s="20" t="s">
        <v>949</v>
      </c>
      <c r="P401" s="20" t="s">
        <v>169</v>
      </c>
      <c r="Q401" s="20" t="s">
        <v>1007</v>
      </c>
      <c r="R401" s="76" t="s">
        <v>95</v>
      </c>
      <c r="S401" s="0" t="n">
        <f aca="false">IF(Recherche!$B$4="",0,IF(ISNUMBER(SEARCH(Recherche!$B$4,D401))+ISNUMBER(SEARCH(Recherche!$B$4,K401))&gt;0,1,0))</f>
        <v>0</v>
      </c>
      <c r="T401" s="0" t="str">
        <f aca="false">IF(S401=1,SUM($S$2:S401),"")</f>
        <v/>
      </c>
    </row>
    <row r="402" customFormat="false" ht="23.85" hidden="false" customHeight="false" outlineLevel="0" collapsed="false">
      <c r="A402" s="24" t="s">
        <v>1882</v>
      </c>
      <c r="B402" s="24" t="s">
        <v>60</v>
      </c>
      <c r="C402" s="24" t="s">
        <v>1855</v>
      </c>
      <c r="D402" s="23" t="s">
        <v>444</v>
      </c>
      <c r="E402" s="26" t="s">
        <v>91</v>
      </c>
      <c r="F402" s="24" t="s">
        <v>76</v>
      </c>
      <c r="G402" s="24" t="s">
        <v>939</v>
      </c>
      <c r="H402" s="25" t="n">
        <v>123.77</v>
      </c>
      <c r="I402" s="25"/>
      <c r="J402" s="58"/>
      <c r="K402" s="23" t="s">
        <v>1883</v>
      </c>
      <c r="L402" s="24" t="s">
        <v>1280</v>
      </c>
      <c r="M402" s="24" t="s">
        <v>1884</v>
      </c>
      <c r="N402" s="26" t="s">
        <v>91</v>
      </c>
      <c r="O402" s="24"/>
      <c r="P402" s="24" t="s">
        <v>93</v>
      </c>
      <c r="Q402" s="24" t="s">
        <v>942</v>
      </c>
      <c r="R402" s="73" t="s">
        <v>95</v>
      </c>
      <c r="S402" s="0" t="n">
        <f aca="false">IF(Recherche!$B$4="",0,IF(ISNUMBER(SEARCH(Recherche!$B$4,D402))+ISNUMBER(SEARCH(Recherche!$B$4,K402))&gt;0,1,0))</f>
        <v>0</v>
      </c>
      <c r="T402" s="0" t="str">
        <f aca="false">IF(S402=1,SUM($S$2:S402),"")</f>
        <v/>
      </c>
    </row>
    <row r="403" customFormat="false" ht="15" hidden="false" customHeight="false" outlineLevel="0" collapsed="false">
      <c r="A403" s="20" t="s">
        <v>1885</v>
      </c>
      <c r="B403" s="20" t="s">
        <v>60</v>
      </c>
      <c r="C403" s="20" t="s">
        <v>1855</v>
      </c>
      <c r="D403" s="19" t="s">
        <v>445</v>
      </c>
      <c r="E403" s="22" t="s">
        <v>91</v>
      </c>
      <c r="F403" s="74" t="s">
        <v>82</v>
      </c>
      <c r="G403" s="74" t="s">
        <v>943</v>
      </c>
      <c r="H403" s="75" t="n">
        <v>221.62</v>
      </c>
      <c r="I403" s="21"/>
      <c r="J403" s="52"/>
      <c r="K403" s="19" t="s">
        <v>446</v>
      </c>
      <c r="L403" s="20" t="s">
        <v>1886</v>
      </c>
      <c r="M403" s="20" t="s">
        <v>1887</v>
      </c>
      <c r="N403" s="22" t="s">
        <v>91</v>
      </c>
      <c r="O403" s="20"/>
      <c r="P403" s="20" t="s">
        <v>290</v>
      </c>
      <c r="Q403" s="20" t="s">
        <v>1016</v>
      </c>
      <c r="R403" s="76" t="s">
        <v>95</v>
      </c>
      <c r="S403" s="0" t="n">
        <f aca="false">IF(Recherche!$B$4="",0,IF(ISNUMBER(SEARCH(Recherche!$B$4,D403))+ISNUMBER(SEARCH(Recherche!$B$4,K403))&gt;0,1,0))</f>
        <v>0</v>
      </c>
      <c r="T403" s="0" t="str">
        <f aca="false">IF(S403=1,SUM($S$2:S403),"")</f>
        <v/>
      </c>
    </row>
    <row r="404" customFormat="false" ht="23.85" hidden="false" customHeight="false" outlineLevel="0" collapsed="false">
      <c r="A404" s="24" t="s">
        <v>1888</v>
      </c>
      <c r="B404" s="24" t="s">
        <v>60</v>
      </c>
      <c r="C404" s="24" t="s">
        <v>1855</v>
      </c>
      <c r="D404" s="23" t="s">
        <v>447</v>
      </c>
      <c r="E404" s="26" t="s">
        <v>91</v>
      </c>
      <c r="F404" s="74" t="s">
        <v>81</v>
      </c>
      <c r="G404" s="74" t="s">
        <v>979</v>
      </c>
      <c r="H404" s="75" t="n">
        <v>15.82</v>
      </c>
      <c r="I404" s="25" t="n">
        <v>16.62</v>
      </c>
      <c r="J404" s="58" t="n">
        <v>4.8</v>
      </c>
      <c r="K404" s="23" t="s">
        <v>448</v>
      </c>
      <c r="L404" s="24" t="s">
        <v>1858</v>
      </c>
      <c r="M404" s="24" t="s">
        <v>1889</v>
      </c>
      <c r="N404" s="26" t="s">
        <v>91</v>
      </c>
      <c r="O404" s="24" t="s">
        <v>949</v>
      </c>
      <c r="P404" s="24" t="s">
        <v>119</v>
      </c>
      <c r="Q404" s="24" t="s">
        <v>1016</v>
      </c>
      <c r="R404" s="73" t="s">
        <v>95</v>
      </c>
      <c r="S404" s="0" t="n">
        <f aca="false">IF(Recherche!$B$4="",0,IF(ISNUMBER(SEARCH(Recherche!$B$4,D404))+ISNUMBER(SEARCH(Recherche!$B$4,K404))&gt;0,1,0))</f>
        <v>0</v>
      </c>
      <c r="T404" s="0" t="str">
        <f aca="false">IF(S404=1,SUM($S$2:S404),"")</f>
        <v/>
      </c>
    </row>
    <row r="405" customFormat="false" ht="23.85" hidden="false" customHeight="false" outlineLevel="0" collapsed="false">
      <c r="A405" s="20" t="s">
        <v>1888</v>
      </c>
      <c r="B405" s="20" t="s">
        <v>60</v>
      </c>
      <c r="C405" s="20" t="s">
        <v>1855</v>
      </c>
      <c r="D405" s="19" t="s">
        <v>447</v>
      </c>
      <c r="E405" s="22" t="s">
        <v>91</v>
      </c>
      <c r="F405" s="20" t="s">
        <v>80</v>
      </c>
      <c r="G405" s="20" t="s">
        <v>939</v>
      </c>
      <c r="H405" s="21" t="n">
        <v>24.07</v>
      </c>
      <c r="I405" s="21"/>
      <c r="J405" s="52"/>
      <c r="K405" s="19" t="s">
        <v>1890</v>
      </c>
      <c r="L405" s="20"/>
      <c r="M405" s="20" t="s">
        <v>1891</v>
      </c>
      <c r="N405" s="22" t="s">
        <v>91</v>
      </c>
      <c r="O405" s="20"/>
      <c r="P405" s="20" t="s">
        <v>303</v>
      </c>
      <c r="Q405" s="20" t="s">
        <v>963</v>
      </c>
      <c r="R405" s="76" t="s">
        <v>95</v>
      </c>
      <c r="S405" s="0" t="n">
        <f aca="false">IF(Recherche!$B$4="",0,IF(ISNUMBER(SEARCH(Recherche!$B$4,D405))+ISNUMBER(SEARCH(Recherche!$B$4,K405))&gt;0,1,0))</f>
        <v>0</v>
      </c>
      <c r="T405" s="0" t="str">
        <f aca="false">IF(S405=1,SUM($S$2:S405),"")</f>
        <v/>
      </c>
    </row>
    <row r="406" customFormat="false" ht="15" hidden="false" customHeight="false" outlineLevel="0" collapsed="false">
      <c r="A406" s="24" t="s">
        <v>1888</v>
      </c>
      <c r="B406" s="24" t="s">
        <v>60</v>
      </c>
      <c r="C406" s="24" t="s">
        <v>1855</v>
      </c>
      <c r="D406" s="23" t="s">
        <v>447</v>
      </c>
      <c r="E406" s="26" t="s">
        <v>91</v>
      </c>
      <c r="F406" s="74" t="s">
        <v>82</v>
      </c>
      <c r="G406" s="74" t="s">
        <v>943</v>
      </c>
      <c r="H406" s="75" t="n">
        <v>27.76</v>
      </c>
      <c r="I406" s="25"/>
      <c r="J406" s="58"/>
      <c r="K406" s="23" t="s">
        <v>1892</v>
      </c>
      <c r="L406" s="24"/>
      <c r="M406" s="24" t="s">
        <v>1893</v>
      </c>
      <c r="N406" s="26" t="s">
        <v>91</v>
      </c>
      <c r="O406" s="24"/>
      <c r="P406" s="24" t="s">
        <v>290</v>
      </c>
      <c r="Q406" s="24" t="s">
        <v>1380</v>
      </c>
      <c r="R406" s="73" t="s">
        <v>95</v>
      </c>
      <c r="S406" s="0" t="n">
        <f aca="false">IF(Recherche!$B$4="",0,IF(ISNUMBER(SEARCH(Recherche!$B$4,D406))+ISNUMBER(SEARCH(Recherche!$B$4,K406))&gt;0,1,0))</f>
        <v>0</v>
      </c>
      <c r="T406" s="0" t="str">
        <f aca="false">IF(S406=1,SUM($S$2:S406),"")</f>
        <v/>
      </c>
    </row>
    <row r="407" customFormat="false" ht="23.85" hidden="false" customHeight="false" outlineLevel="0" collapsed="false">
      <c r="A407" s="20" t="s">
        <v>1888</v>
      </c>
      <c r="B407" s="20" t="s">
        <v>60</v>
      </c>
      <c r="C407" s="20" t="s">
        <v>1855</v>
      </c>
      <c r="D407" s="19" t="s">
        <v>447</v>
      </c>
      <c r="E407" s="22" t="s">
        <v>91</v>
      </c>
      <c r="F407" s="20" t="s">
        <v>76</v>
      </c>
      <c r="G407" s="20" t="s">
        <v>939</v>
      </c>
      <c r="H407" s="21" t="n">
        <v>1341.06</v>
      </c>
      <c r="I407" s="21"/>
      <c r="J407" s="52"/>
      <c r="K407" s="19" t="s">
        <v>1894</v>
      </c>
      <c r="L407" s="20" t="s">
        <v>1895</v>
      </c>
      <c r="M407" s="20" t="s">
        <v>1896</v>
      </c>
      <c r="N407" s="22" t="s">
        <v>91</v>
      </c>
      <c r="O407" s="20"/>
      <c r="P407" s="20" t="s">
        <v>93</v>
      </c>
      <c r="Q407" s="20" t="s">
        <v>942</v>
      </c>
      <c r="R407" s="76" t="s">
        <v>95</v>
      </c>
      <c r="S407" s="0" t="n">
        <f aca="false">IF(Recherche!$B$4="",0,IF(ISNUMBER(SEARCH(Recherche!$B$4,D407))+ISNUMBER(SEARCH(Recherche!$B$4,K407))&gt;0,1,0))</f>
        <v>0</v>
      </c>
      <c r="T407" s="0" t="str">
        <f aca="false">IF(S407=1,SUM($S$2:S407),"")</f>
        <v/>
      </c>
    </row>
    <row r="408" customFormat="false" ht="23.85" hidden="false" customHeight="false" outlineLevel="0" collapsed="false">
      <c r="A408" s="24" t="s">
        <v>1897</v>
      </c>
      <c r="B408" s="24" t="s">
        <v>60</v>
      </c>
      <c r="C408" s="24" t="s">
        <v>1855</v>
      </c>
      <c r="D408" s="23" t="s">
        <v>449</v>
      </c>
      <c r="E408" s="26" t="s">
        <v>91</v>
      </c>
      <c r="F408" s="24" t="s">
        <v>80</v>
      </c>
      <c r="G408" s="24" t="s">
        <v>939</v>
      </c>
      <c r="H408" s="25" t="n">
        <v>34.39</v>
      </c>
      <c r="I408" s="25"/>
      <c r="J408" s="58"/>
      <c r="K408" s="23" t="s">
        <v>450</v>
      </c>
      <c r="L408" s="24"/>
      <c r="M408" s="24" t="s">
        <v>1860</v>
      </c>
      <c r="N408" s="26" t="s">
        <v>91</v>
      </c>
      <c r="O408" s="24"/>
      <c r="P408" s="24" t="s">
        <v>303</v>
      </c>
      <c r="Q408" s="24" t="s">
        <v>963</v>
      </c>
      <c r="R408" s="73" t="s">
        <v>95</v>
      </c>
      <c r="S408" s="0" t="n">
        <f aca="false">IF(Recherche!$B$4="",0,IF(ISNUMBER(SEARCH(Recherche!$B$4,D408))+ISNUMBER(SEARCH(Recherche!$B$4,K408))&gt;0,1,0))</f>
        <v>0</v>
      </c>
      <c r="T408" s="0" t="str">
        <f aca="false">IF(S408=1,SUM($S$2:S408),"")</f>
        <v/>
      </c>
    </row>
    <row r="409" customFormat="false" ht="15" hidden="false" customHeight="false" outlineLevel="0" collapsed="false">
      <c r="A409" s="20" t="s">
        <v>1897</v>
      </c>
      <c r="B409" s="20" t="s">
        <v>60</v>
      </c>
      <c r="C409" s="20" t="s">
        <v>1855</v>
      </c>
      <c r="D409" s="19" t="s">
        <v>449</v>
      </c>
      <c r="E409" s="22" t="s">
        <v>91</v>
      </c>
      <c r="F409" s="20" t="s">
        <v>76</v>
      </c>
      <c r="G409" s="20" t="s">
        <v>939</v>
      </c>
      <c r="H409" s="21" t="n">
        <v>45</v>
      </c>
      <c r="I409" s="21"/>
      <c r="J409" s="52"/>
      <c r="K409" s="19" t="s">
        <v>1898</v>
      </c>
      <c r="L409" s="20" t="s">
        <v>1211</v>
      </c>
      <c r="M409" s="20" t="s">
        <v>1899</v>
      </c>
      <c r="N409" s="22" t="s">
        <v>91</v>
      </c>
      <c r="O409" s="20"/>
      <c r="P409" s="20" t="s">
        <v>93</v>
      </c>
      <c r="Q409" s="20" t="s">
        <v>942</v>
      </c>
      <c r="R409" s="76" t="s">
        <v>95</v>
      </c>
      <c r="S409" s="0" t="n">
        <f aca="false">IF(Recherche!$B$4="",0,IF(ISNUMBER(SEARCH(Recherche!$B$4,D409))+ISNUMBER(SEARCH(Recherche!$B$4,K409))&gt;0,1,0))</f>
        <v>0</v>
      </c>
      <c r="T409" s="0" t="str">
        <f aca="false">IF(S409=1,SUM($S$2:S409),"")</f>
        <v/>
      </c>
    </row>
    <row r="410" customFormat="false" ht="23.85" hidden="false" customHeight="false" outlineLevel="0" collapsed="false">
      <c r="A410" s="24" t="s">
        <v>1897</v>
      </c>
      <c r="B410" s="24" t="s">
        <v>60</v>
      </c>
      <c r="C410" s="24" t="s">
        <v>1855</v>
      </c>
      <c r="D410" s="23" t="s">
        <v>449</v>
      </c>
      <c r="E410" s="26" t="s">
        <v>91</v>
      </c>
      <c r="F410" s="74" t="s">
        <v>82</v>
      </c>
      <c r="G410" s="74" t="s">
        <v>943</v>
      </c>
      <c r="H410" s="75" t="n">
        <v>107.41</v>
      </c>
      <c r="I410" s="25"/>
      <c r="J410" s="58"/>
      <c r="K410" s="23" t="s">
        <v>1900</v>
      </c>
      <c r="L410" s="24"/>
      <c r="M410" s="24" t="s">
        <v>1901</v>
      </c>
      <c r="N410" s="26" t="s">
        <v>91</v>
      </c>
      <c r="O410" s="24"/>
      <c r="P410" s="24" t="s">
        <v>290</v>
      </c>
      <c r="Q410" s="24" t="s">
        <v>1380</v>
      </c>
      <c r="R410" s="73" t="s">
        <v>95</v>
      </c>
      <c r="S410" s="0" t="n">
        <f aca="false">IF(Recherche!$B$4="",0,IF(ISNUMBER(SEARCH(Recherche!$B$4,D410))+ISNUMBER(SEARCH(Recherche!$B$4,K410))&gt;0,1,0))</f>
        <v>0</v>
      </c>
      <c r="T410" s="0" t="str">
        <f aca="false">IF(S410=1,SUM($S$2:S410),"")</f>
        <v/>
      </c>
    </row>
    <row r="411" customFormat="false" ht="23.85" hidden="false" customHeight="false" outlineLevel="0" collapsed="false">
      <c r="A411" s="20" t="s">
        <v>1902</v>
      </c>
      <c r="B411" s="20" t="s">
        <v>60</v>
      </c>
      <c r="C411" s="20" t="s">
        <v>1855</v>
      </c>
      <c r="D411" s="19" t="s">
        <v>451</v>
      </c>
      <c r="E411" s="22" t="s">
        <v>91</v>
      </c>
      <c r="F411" s="20" t="s">
        <v>80</v>
      </c>
      <c r="G411" s="20" t="s">
        <v>939</v>
      </c>
      <c r="H411" s="21" t="n">
        <v>34.39</v>
      </c>
      <c r="I411" s="21"/>
      <c r="J411" s="52"/>
      <c r="K411" s="19" t="s">
        <v>450</v>
      </c>
      <c r="L411" s="20"/>
      <c r="M411" s="20" t="s">
        <v>1860</v>
      </c>
      <c r="N411" s="22" t="s">
        <v>91</v>
      </c>
      <c r="O411" s="20"/>
      <c r="P411" s="20" t="s">
        <v>303</v>
      </c>
      <c r="Q411" s="20" t="s">
        <v>963</v>
      </c>
      <c r="R411" s="76" t="s">
        <v>95</v>
      </c>
      <c r="S411" s="0" t="n">
        <f aca="false">IF(Recherche!$B$4="",0,IF(ISNUMBER(SEARCH(Recherche!$B$4,D411))+ISNUMBER(SEARCH(Recherche!$B$4,K411))&gt;0,1,0))</f>
        <v>0</v>
      </c>
      <c r="T411" s="0" t="str">
        <f aca="false">IF(S411=1,SUM($S$2:S411),"")</f>
        <v/>
      </c>
    </row>
    <row r="412" customFormat="false" ht="15" hidden="false" customHeight="false" outlineLevel="0" collapsed="false">
      <c r="A412" s="24" t="s">
        <v>1902</v>
      </c>
      <c r="B412" s="24" t="s">
        <v>60</v>
      </c>
      <c r="C412" s="24" t="s">
        <v>1855</v>
      </c>
      <c r="D412" s="23" t="s">
        <v>451</v>
      </c>
      <c r="E412" s="26" t="s">
        <v>91</v>
      </c>
      <c r="F412" s="74" t="s">
        <v>77</v>
      </c>
      <c r="G412" s="74" t="s">
        <v>979</v>
      </c>
      <c r="H412" s="75" t="n">
        <v>68.98</v>
      </c>
      <c r="I412" s="25" t="n">
        <v>74.98</v>
      </c>
      <c r="J412" s="58" t="n">
        <v>8</v>
      </c>
      <c r="K412" s="23" t="s">
        <v>1903</v>
      </c>
      <c r="L412" s="24" t="s">
        <v>1904</v>
      </c>
      <c r="M412" s="24" t="s">
        <v>1905</v>
      </c>
      <c r="N412" s="26" t="s">
        <v>91</v>
      </c>
      <c r="O412" s="24"/>
      <c r="P412" s="24" t="s">
        <v>114</v>
      </c>
      <c r="Q412" s="24" t="s">
        <v>983</v>
      </c>
      <c r="R412" s="73"/>
      <c r="S412" s="0" t="n">
        <f aca="false">IF(Recherche!$B$4="",0,IF(ISNUMBER(SEARCH(Recherche!$B$4,D412))+ISNUMBER(SEARCH(Recherche!$B$4,K412))&gt;0,1,0))</f>
        <v>0</v>
      </c>
      <c r="T412" s="0" t="str">
        <f aca="false">IF(S412=1,SUM($S$2:S412),"")</f>
        <v/>
      </c>
    </row>
    <row r="413" customFormat="false" ht="23.85" hidden="false" customHeight="false" outlineLevel="0" collapsed="false">
      <c r="A413" s="20" t="s">
        <v>1902</v>
      </c>
      <c r="B413" s="20" t="s">
        <v>60</v>
      </c>
      <c r="C413" s="20" t="s">
        <v>1855</v>
      </c>
      <c r="D413" s="19" t="s">
        <v>451</v>
      </c>
      <c r="E413" s="22" t="s">
        <v>91</v>
      </c>
      <c r="F413" s="74" t="s">
        <v>82</v>
      </c>
      <c r="G413" s="74" t="s">
        <v>943</v>
      </c>
      <c r="H413" s="75" t="n">
        <v>85.36</v>
      </c>
      <c r="I413" s="21"/>
      <c r="J413" s="52"/>
      <c r="K413" s="19" t="s">
        <v>1906</v>
      </c>
      <c r="L413" s="20"/>
      <c r="M413" s="20" t="s">
        <v>1907</v>
      </c>
      <c r="N413" s="22" t="s">
        <v>91</v>
      </c>
      <c r="O413" s="20"/>
      <c r="P413" s="20" t="s">
        <v>290</v>
      </c>
      <c r="Q413" s="20" t="s">
        <v>1380</v>
      </c>
      <c r="R413" s="76" t="s">
        <v>95</v>
      </c>
      <c r="S413" s="0" t="n">
        <f aca="false">IF(Recherche!$B$4="",0,IF(ISNUMBER(SEARCH(Recherche!$B$4,D413))+ISNUMBER(SEARCH(Recherche!$B$4,K413))&gt;0,1,0))</f>
        <v>0</v>
      </c>
      <c r="T413" s="0" t="str">
        <f aca="false">IF(S413=1,SUM($S$2:S413),"")</f>
        <v/>
      </c>
    </row>
    <row r="414" customFormat="false" ht="23.85" hidden="false" customHeight="false" outlineLevel="0" collapsed="false">
      <c r="A414" s="24" t="s">
        <v>1902</v>
      </c>
      <c r="B414" s="24" t="s">
        <v>60</v>
      </c>
      <c r="C414" s="24" t="s">
        <v>1855</v>
      </c>
      <c r="D414" s="23" t="s">
        <v>451</v>
      </c>
      <c r="E414" s="26" t="s">
        <v>91</v>
      </c>
      <c r="F414" s="24" t="s">
        <v>76</v>
      </c>
      <c r="G414" s="24" t="s">
        <v>939</v>
      </c>
      <c r="H414" s="25" t="n">
        <v>154.07</v>
      </c>
      <c r="I414" s="25"/>
      <c r="J414" s="58"/>
      <c r="K414" s="23" t="s">
        <v>1908</v>
      </c>
      <c r="L414" s="24" t="s">
        <v>1909</v>
      </c>
      <c r="M414" s="24" t="s">
        <v>1910</v>
      </c>
      <c r="N414" s="26" t="s">
        <v>91</v>
      </c>
      <c r="O414" s="24"/>
      <c r="P414" s="24" t="s">
        <v>93</v>
      </c>
      <c r="Q414" s="24" t="s">
        <v>942</v>
      </c>
      <c r="R414" s="73" t="s">
        <v>95</v>
      </c>
      <c r="S414" s="0" t="n">
        <f aca="false">IF(Recherche!$B$4="",0,IF(ISNUMBER(SEARCH(Recherche!$B$4,D414))+ISNUMBER(SEARCH(Recherche!$B$4,K414))&gt;0,1,0))</f>
        <v>0</v>
      </c>
      <c r="T414" s="0" t="str">
        <f aca="false">IF(S414=1,SUM($S$2:S414),"")</f>
        <v/>
      </c>
    </row>
    <row r="415" customFormat="false" ht="15" hidden="false" customHeight="false" outlineLevel="0" collapsed="false">
      <c r="A415" s="20" t="s">
        <v>1911</v>
      </c>
      <c r="B415" s="20" t="s">
        <v>60</v>
      </c>
      <c r="C415" s="20" t="s">
        <v>1855</v>
      </c>
      <c r="D415" s="19" t="s">
        <v>452</v>
      </c>
      <c r="E415" s="22" t="s">
        <v>91</v>
      </c>
      <c r="F415" s="20" t="s">
        <v>76</v>
      </c>
      <c r="G415" s="20" t="s">
        <v>939</v>
      </c>
      <c r="H415" s="21" t="n">
        <v>19.94</v>
      </c>
      <c r="I415" s="21"/>
      <c r="J415" s="52"/>
      <c r="K415" s="19" t="s">
        <v>453</v>
      </c>
      <c r="L415" s="20" t="s">
        <v>1909</v>
      </c>
      <c r="M415" s="20" t="s">
        <v>1912</v>
      </c>
      <c r="N415" s="22" t="s">
        <v>91</v>
      </c>
      <c r="O415" s="20"/>
      <c r="P415" s="20" t="s">
        <v>93</v>
      </c>
      <c r="Q415" s="20" t="s">
        <v>942</v>
      </c>
      <c r="R415" s="76" t="s">
        <v>95</v>
      </c>
      <c r="S415" s="0" t="n">
        <f aca="false">IF(Recherche!$B$4="",0,IF(ISNUMBER(SEARCH(Recherche!$B$4,D415))+ISNUMBER(SEARCH(Recherche!$B$4,K415))&gt;0,1,0))</f>
        <v>0</v>
      </c>
      <c r="T415" s="0" t="str">
        <f aca="false">IF(S415=1,SUM($S$2:S415),"")</f>
        <v/>
      </c>
    </row>
    <row r="416" customFormat="false" ht="23.85" hidden="false" customHeight="false" outlineLevel="0" collapsed="false">
      <c r="A416" s="24" t="s">
        <v>1911</v>
      </c>
      <c r="B416" s="24" t="s">
        <v>60</v>
      </c>
      <c r="C416" s="24" t="s">
        <v>1855</v>
      </c>
      <c r="D416" s="23" t="s">
        <v>452</v>
      </c>
      <c r="E416" s="26" t="s">
        <v>91</v>
      </c>
      <c r="F416" s="74" t="s">
        <v>82</v>
      </c>
      <c r="G416" s="74" t="s">
        <v>943</v>
      </c>
      <c r="H416" s="75" t="n">
        <v>57.78</v>
      </c>
      <c r="I416" s="25"/>
      <c r="J416" s="58"/>
      <c r="K416" s="23" t="s">
        <v>1913</v>
      </c>
      <c r="L416" s="24"/>
      <c r="M416" s="24" t="s">
        <v>1914</v>
      </c>
      <c r="N416" s="26" t="s">
        <v>91</v>
      </c>
      <c r="O416" s="24"/>
      <c r="P416" s="24" t="s">
        <v>290</v>
      </c>
      <c r="Q416" s="24" t="s">
        <v>1380</v>
      </c>
      <c r="R416" s="73" t="s">
        <v>95</v>
      </c>
      <c r="S416" s="0" t="n">
        <f aca="false">IF(Recherche!$B$4="",0,IF(ISNUMBER(SEARCH(Recherche!$B$4,D416))+ISNUMBER(SEARCH(Recherche!$B$4,K416))&gt;0,1,0))</f>
        <v>0</v>
      </c>
      <c r="T416" s="0" t="str">
        <f aca="false">IF(S416=1,SUM($S$2:S416),"")</f>
        <v/>
      </c>
    </row>
    <row r="417" customFormat="false" ht="15" hidden="false" customHeight="false" outlineLevel="0" collapsed="false">
      <c r="A417" s="20" t="s">
        <v>1911</v>
      </c>
      <c r="B417" s="20" t="s">
        <v>60</v>
      </c>
      <c r="C417" s="20" t="s">
        <v>1855</v>
      </c>
      <c r="D417" s="19" t="s">
        <v>452</v>
      </c>
      <c r="E417" s="22" t="s">
        <v>91</v>
      </c>
      <c r="F417" s="74" t="s">
        <v>77</v>
      </c>
      <c r="G417" s="74" t="s">
        <v>979</v>
      </c>
      <c r="H417" s="75" t="n">
        <v>75.79</v>
      </c>
      <c r="I417" s="21" t="n">
        <v>82.38</v>
      </c>
      <c r="J417" s="52" t="n">
        <v>8</v>
      </c>
      <c r="K417" s="19" t="s">
        <v>1915</v>
      </c>
      <c r="L417" s="20" t="s">
        <v>1904</v>
      </c>
      <c r="M417" s="20" t="s">
        <v>1916</v>
      </c>
      <c r="N417" s="22" t="s">
        <v>91</v>
      </c>
      <c r="O417" s="20"/>
      <c r="P417" s="20" t="s">
        <v>114</v>
      </c>
      <c r="Q417" s="20" t="s">
        <v>983</v>
      </c>
      <c r="R417" s="76"/>
      <c r="S417" s="0" t="n">
        <f aca="false">IF(Recherche!$B$4="",0,IF(ISNUMBER(SEARCH(Recherche!$B$4,D417))+ISNUMBER(SEARCH(Recherche!$B$4,K417))&gt;0,1,0))</f>
        <v>0</v>
      </c>
      <c r="T417" s="0" t="str">
        <f aca="false">IF(S417=1,SUM($S$2:S417),"")</f>
        <v/>
      </c>
    </row>
    <row r="418" customFormat="false" ht="23.85" hidden="false" customHeight="false" outlineLevel="0" collapsed="false">
      <c r="A418" s="24" t="s">
        <v>1917</v>
      </c>
      <c r="B418" s="24" t="s">
        <v>60</v>
      </c>
      <c r="C418" s="24" t="s">
        <v>1855</v>
      </c>
      <c r="D418" s="23" t="s">
        <v>454</v>
      </c>
      <c r="E418" s="26" t="s">
        <v>91</v>
      </c>
      <c r="F418" s="74" t="s">
        <v>82</v>
      </c>
      <c r="G418" s="74" t="s">
        <v>943</v>
      </c>
      <c r="H418" s="75" t="n">
        <v>30.65</v>
      </c>
      <c r="I418" s="25"/>
      <c r="J418" s="58"/>
      <c r="K418" s="23" t="s">
        <v>455</v>
      </c>
      <c r="L418" s="24"/>
      <c r="M418" s="24" t="s">
        <v>1918</v>
      </c>
      <c r="N418" s="26" t="s">
        <v>91</v>
      </c>
      <c r="O418" s="24"/>
      <c r="P418" s="24" t="s">
        <v>290</v>
      </c>
      <c r="Q418" s="24" t="s">
        <v>1380</v>
      </c>
      <c r="R418" s="73" t="s">
        <v>95</v>
      </c>
      <c r="S418" s="0" t="n">
        <f aca="false">IF(Recherche!$B$4="",0,IF(ISNUMBER(SEARCH(Recherche!$B$4,D418))+ISNUMBER(SEARCH(Recherche!$B$4,K418))&gt;0,1,0))</f>
        <v>0</v>
      </c>
      <c r="T418" s="0" t="str">
        <f aca="false">IF(S418=1,SUM($S$2:S418),"")</f>
        <v/>
      </c>
    </row>
    <row r="419" customFormat="false" ht="15" hidden="false" customHeight="false" outlineLevel="0" collapsed="false">
      <c r="A419" s="20" t="s">
        <v>1917</v>
      </c>
      <c r="B419" s="20" t="s">
        <v>60</v>
      </c>
      <c r="C419" s="20" t="s">
        <v>1855</v>
      </c>
      <c r="D419" s="19" t="s">
        <v>454</v>
      </c>
      <c r="E419" s="22" t="s">
        <v>91</v>
      </c>
      <c r="F419" s="20" t="s">
        <v>76</v>
      </c>
      <c r="G419" s="20" t="s">
        <v>939</v>
      </c>
      <c r="H419" s="21" t="n">
        <v>337.05</v>
      </c>
      <c r="I419" s="21"/>
      <c r="J419" s="52"/>
      <c r="K419" s="19" t="s">
        <v>1919</v>
      </c>
      <c r="L419" s="20" t="s">
        <v>1920</v>
      </c>
      <c r="M419" s="20" t="s">
        <v>1921</v>
      </c>
      <c r="N419" s="22" t="s">
        <v>91</v>
      </c>
      <c r="O419" s="20"/>
      <c r="P419" s="20" t="s">
        <v>93</v>
      </c>
      <c r="Q419" s="20" t="s">
        <v>963</v>
      </c>
      <c r="R419" s="76" t="s">
        <v>95</v>
      </c>
      <c r="S419" s="0" t="n">
        <f aca="false">IF(Recherche!$B$4="",0,IF(ISNUMBER(SEARCH(Recherche!$B$4,D419))+ISNUMBER(SEARCH(Recherche!$B$4,K419))&gt;0,1,0))</f>
        <v>0</v>
      </c>
      <c r="T419" s="0" t="str">
        <f aca="false">IF(S419=1,SUM($S$2:S419),"")</f>
        <v/>
      </c>
    </row>
    <row r="420" customFormat="false" ht="15" hidden="false" customHeight="false" outlineLevel="0" collapsed="false">
      <c r="A420" s="24" t="s">
        <v>1922</v>
      </c>
      <c r="B420" s="24" t="s">
        <v>60</v>
      </c>
      <c r="C420" s="24" t="s">
        <v>1923</v>
      </c>
      <c r="D420" s="23" t="s">
        <v>456</v>
      </c>
      <c r="E420" s="26" t="s">
        <v>91</v>
      </c>
      <c r="F420" s="24" t="s">
        <v>76</v>
      </c>
      <c r="G420" s="24" t="s">
        <v>939</v>
      </c>
      <c r="H420" s="25" t="n">
        <v>18.94</v>
      </c>
      <c r="I420" s="25"/>
      <c r="J420" s="58"/>
      <c r="K420" s="23" t="s">
        <v>457</v>
      </c>
      <c r="L420" s="24" t="s">
        <v>1280</v>
      </c>
      <c r="M420" s="24" t="s">
        <v>1924</v>
      </c>
      <c r="N420" s="26" t="s">
        <v>91</v>
      </c>
      <c r="O420" s="24"/>
      <c r="P420" s="24" t="s">
        <v>93</v>
      </c>
      <c r="Q420" s="24" t="s">
        <v>942</v>
      </c>
      <c r="R420" s="73" t="s">
        <v>95</v>
      </c>
      <c r="S420" s="0" t="n">
        <f aca="false">IF(Recherche!$B$4="",0,IF(ISNUMBER(SEARCH(Recherche!$B$4,D420))+ISNUMBER(SEARCH(Recherche!$B$4,K420))&gt;0,1,0))</f>
        <v>0</v>
      </c>
      <c r="T420" s="0" t="str">
        <f aca="false">IF(S420=1,SUM($S$2:S420),"")</f>
        <v/>
      </c>
    </row>
    <row r="421" customFormat="false" ht="15" hidden="false" customHeight="false" outlineLevel="0" collapsed="false">
      <c r="A421" s="20" t="s">
        <v>1922</v>
      </c>
      <c r="B421" s="20" t="s">
        <v>60</v>
      </c>
      <c r="C421" s="20" t="s">
        <v>1923</v>
      </c>
      <c r="D421" s="19" t="s">
        <v>456</v>
      </c>
      <c r="E421" s="22" t="s">
        <v>91</v>
      </c>
      <c r="F421" s="74" t="s">
        <v>81</v>
      </c>
      <c r="G421" s="74" t="s">
        <v>979</v>
      </c>
      <c r="H421" s="75" t="n">
        <v>25.69</v>
      </c>
      <c r="I421" s="21" t="n">
        <v>27</v>
      </c>
      <c r="J421" s="52" t="n">
        <v>4.9</v>
      </c>
      <c r="K421" s="19" t="s">
        <v>1925</v>
      </c>
      <c r="L421" s="20" t="s">
        <v>1926</v>
      </c>
      <c r="M421" s="20" t="s">
        <v>1927</v>
      </c>
      <c r="N421" s="22" t="s">
        <v>91</v>
      </c>
      <c r="O421" s="20" t="s">
        <v>949</v>
      </c>
      <c r="P421" s="20" t="s">
        <v>119</v>
      </c>
      <c r="Q421" s="20" t="s">
        <v>1007</v>
      </c>
      <c r="R421" s="76" t="s">
        <v>95</v>
      </c>
      <c r="S421" s="0" t="n">
        <f aca="false">IF(Recherche!$B$4="",0,IF(ISNUMBER(SEARCH(Recherche!$B$4,D421))+ISNUMBER(SEARCH(Recherche!$B$4,K421))&gt;0,1,0))</f>
        <v>0</v>
      </c>
      <c r="T421" s="0" t="str">
        <f aca="false">IF(S421=1,SUM($S$2:S421),"")</f>
        <v/>
      </c>
    </row>
    <row r="422" customFormat="false" ht="15" hidden="false" customHeight="false" outlineLevel="0" collapsed="false">
      <c r="A422" s="24" t="s">
        <v>1922</v>
      </c>
      <c r="B422" s="24" t="s">
        <v>60</v>
      </c>
      <c r="C422" s="24" t="s">
        <v>1923</v>
      </c>
      <c r="D422" s="23" t="s">
        <v>456</v>
      </c>
      <c r="E422" s="26" t="s">
        <v>91</v>
      </c>
      <c r="F422" s="74" t="s">
        <v>82</v>
      </c>
      <c r="G422" s="74" t="s">
        <v>943</v>
      </c>
      <c r="H422" s="75" t="n">
        <v>38.53</v>
      </c>
      <c r="I422" s="25"/>
      <c r="J422" s="58"/>
      <c r="K422" s="23" t="s">
        <v>1928</v>
      </c>
      <c r="L422" s="24"/>
      <c r="M422" s="24" t="s">
        <v>1929</v>
      </c>
      <c r="N422" s="26" t="s">
        <v>91</v>
      </c>
      <c r="O422" s="24"/>
      <c r="P422" s="24" t="s">
        <v>290</v>
      </c>
      <c r="Q422" s="24" t="s">
        <v>1380</v>
      </c>
      <c r="R422" s="73" t="s">
        <v>95</v>
      </c>
      <c r="S422" s="0" t="n">
        <f aca="false">IF(Recherche!$B$4="",0,IF(ISNUMBER(SEARCH(Recherche!$B$4,D422))+ISNUMBER(SEARCH(Recherche!$B$4,K422))&gt;0,1,0))</f>
        <v>0</v>
      </c>
      <c r="T422" s="0" t="str">
        <f aca="false">IF(S422=1,SUM($S$2:S422),"")</f>
        <v/>
      </c>
    </row>
    <row r="423" customFormat="false" ht="23.85" hidden="false" customHeight="false" outlineLevel="0" collapsed="false">
      <c r="A423" s="20" t="s">
        <v>1922</v>
      </c>
      <c r="B423" s="20" t="s">
        <v>60</v>
      </c>
      <c r="C423" s="20" t="s">
        <v>1923</v>
      </c>
      <c r="D423" s="19" t="s">
        <v>456</v>
      </c>
      <c r="E423" s="22" t="s">
        <v>91</v>
      </c>
      <c r="F423" s="20" t="s">
        <v>80</v>
      </c>
      <c r="G423" s="20" t="s">
        <v>939</v>
      </c>
      <c r="H423" s="21" t="n">
        <v>92.92</v>
      </c>
      <c r="I423" s="21"/>
      <c r="J423" s="52"/>
      <c r="K423" s="19" t="s">
        <v>1930</v>
      </c>
      <c r="L423" s="20"/>
      <c r="M423" s="20" t="s">
        <v>1931</v>
      </c>
      <c r="N423" s="22" t="s">
        <v>91</v>
      </c>
      <c r="O423" s="20"/>
      <c r="P423" s="20" t="s">
        <v>303</v>
      </c>
      <c r="Q423" s="20" t="s">
        <v>1085</v>
      </c>
      <c r="R423" s="76" t="s">
        <v>95</v>
      </c>
      <c r="S423" s="0" t="n">
        <f aca="false">IF(Recherche!$B$4="",0,IF(ISNUMBER(SEARCH(Recherche!$B$4,D423))+ISNUMBER(SEARCH(Recherche!$B$4,K423))&gt;0,1,0))</f>
        <v>0</v>
      </c>
      <c r="T423" s="0" t="str">
        <f aca="false">IF(S423=1,SUM($S$2:S423),"")</f>
        <v/>
      </c>
    </row>
    <row r="424" customFormat="false" ht="23.85" hidden="false" customHeight="false" outlineLevel="0" collapsed="false">
      <c r="A424" s="24" t="s">
        <v>1932</v>
      </c>
      <c r="B424" s="24" t="s">
        <v>60</v>
      </c>
      <c r="C424" s="24" t="s">
        <v>1923</v>
      </c>
      <c r="D424" s="23" t="s">
        <v>458</v>
      </c>
      <c r="E424" s="26" t="s">
        <v>91</v>
      </c>
      <c r="F424" s="24" t="s">
        <v>80</v>
      </c>
      <c r="G424" s="24" t="s">
        <v>939</v>
      </c>
      <c r="H424" s="25" t="n">
        <v>2.65</v>
      </c>
      <c r="I424" s="25"/>
      <c r="J424" s="58"/>
      <c r="K424" s="23" t="s">
        <v>459</v>
      </c>
      <c r="L424" s="24"/>
      <c r="M424" s="24" t="s">
        <v>1933</v>
      </c>
      <c r="N424" s="26" t="s">
        <v>91</v>
      </c>
      <c r="O424" s="24"/>
      <c r="P424" s="24" t="s">
        <v>303</v>
      </c>
      <c r="Q424" s="24" t="s">
        <v>963</v>
      </c>
      <c r="R424" s="73" t="s">
        <v>95</v>
      </c>
      <c r="S424" s="0" t="n">
        <f aca="false">IF(Recherche!$B$4="",0,IF(ISNUMBER(SEARCH(Recherche!$B$4,D424))+ISNUMBER(SEARCH(Recherche!$B$4,K424))&gt;0,1,0))</f>
        <v>0</v>
      </c>
      <c r="T424" s="0" t="str">
        <f aca="false">IF(S424=1,SUM($S$2:S424),"")</f>
        <v/>
      </c>
    </row>
    <row r="425" customFormat="false" ht="23.85" hidden="false" customHeight="false" outlineLevel="0" collapsed="false">
      <c r="A425" s="20" t="s">
        <v>1932</v>
      </c>
      <c r="B425" s="20" t="s">
        <v>60</v>
      </c>
      <c r="C425" s="20" t="s">
        <v>1923</v>
      </c>
      <c r="D425" s="19" t="s">
        <v>458</v>
      </c>
      <c r="E425" s="22" t="s">
        <v>91</v>
      </c>
      <c r="F425" s="74" t="s">
        <v>81</v>
      </c>
      <c r="G425" s="74" t="s">
        <v>979</v>
      </c>
      <c r="H425" s="75" t="n">
        <v>6.24</v>
      </c>
      <c r="I425" s="21" t="n">
        <v>6.8</v>
      </c>
      <c r="J425" s="52" t="n">
        <v>8.2</v>
      </c>
      <c r="K425" s="19" t="s">
        <v>1934</v>
      </c>
      <c r="L425" s="20" t="s">
        <v>1935</v>
      </c>
      <c r="M425" s="20" t="s">
        <v>1936</v>
      </c>
      <c r="N425" s="22" t="s">
        <v>91</v>
      </c>
      <c r="O425" s="20" t="s">
        <v>949</v>
      </c>
      <c r="P425" s="20" t="s">
        <v>169</v>
      </c>
      <c r="Q425" s="20" t="s">
        <v>1016</v>
      </c>
      <c r="R425" s="76" t="s">
        <v>95</v>
      </c>
      <c r="S425" s="0" t="n">
        <f aca="false">IF(Recherche!$B$4="",0,IF(ISNUMBER(SEARCH(Recherche!$B$4,D425))+ISNUMBER(SEARCH(Recherche!$B$4,K425))&gt;0,1,0))</f>
        <v>0</v>
      </c>
      <c r="T425" s="0" t="str">
        <f aca="false">IF(S425=1,SUM($S$2:S425),"")</f>
        <v/>
      </c>
    </row>
    <row r="426" customFormat="false" ht="23.85" hidden="false" customHeight="false" outlineLevel="0" collapsed="false">
      <c r="A426" s="24" t="s">
        <v>1932</v>
      </c>
      <c r="B426" s="24" t="s">
        <v>60</v>
      </c>
      <c r="C426" s="24" t="s">
        <v>1923</v>
      </c>
      <c r="D426" s="23" t="s">
        <v>458</v>
      </c>
      <c r="E426" s="26" t="s">
        <v>91</v>
      </c>
      <c r="F426" s="24" t="s">
        <v>76</v>
      </c>
      <c r="G426" s="24" t="s">
        <v>939</v>
      </c>
      <c r="H426" s="25" t="n">
        <v>44.12</v>
      </c>
      <c r="I426" s="25"/>
      <c r="J426" s="58"/>
      <c r="K426" s="23" t="s">
        <v>1937</v>
      </c>
      <c r="L426" s="24" t="s">
        <v>1938</v>
      </c>
      <c r="M426" s="24" t="s">
        <v>1939</v>
      </c>
      <c r="N426" s="26" t="s">
        <v>91</v>
      </c>
      <c r="O426" s="24"/>
      <c r="P426" s="24" t="s">
        <v>93</v>
      </c>
      <c r="Q426" s="24" t="s">
        <v>942</v>
      </c>
      <c r="R426" s="73" t="s">
        <v>95</v>
      </c>
      <c r="S426" s="0" t="n">
        <f aca="false">IF(Recherche!$B$4="",0,IF(ISNUMBER(SEARCH(Recherche!$B$4,D426))+ISNUMBER(SEARCH(Recherche!$B$4,K426))&gt;0,1,0))</f>
        <v>0</v>
      </c>
      <c r="T426" s="0" t="str">
        <f aca="false">IF(S426=1,SUM($S$2:S426),"")</f>
        <v/>
      </c>
    </row>
    <row r="427" customFormat="false" ht="15" hidden="false" customHeight="false" outlineLevel="0" collapsed="false">
      <c r="A427" s="20" t="s">
        <v>1932</v>
      </c>
      <c r="B427" s="20" t="s">
        <v>60</v>
      </c>
      <c r="C427" s="20" t="s">
        <v>1923</v>
      </c>
      <c r="D427" s="19" t="s">
        <v>458</v>
      </c>
      <c r="E427" s="22" t="s">
        <v>91</v>
      </c>
      <c r="F427" s="74" t="s">
        <v>82</v>
      </c>
      <c r="G427" s="74" t="s">
        <v>943</v>
      </c>
      <c r="H427" s="75" t="n">
        <v>57.09</v>
      </c>
      <c r="I427" s="21"/>
      <c r="J427" s="52"/>
      <c r="K427" s="19" t="s">
        <v>1940</v>
      </c>
      <c r="L427" s="20"/>
      <c r="M427" s="20" t="s">
        <v>1941</v>
      </c>
      <c r="N427" s="22" t="s">
        <v>91</v>
      </c>
      <c r="O427" s="20"/>
      <c r="P427" s="20" t="s">
        <v>290</v>
      </c>
      <c r="Q427" s="20" t="s">
        <v>1380</v>
      </c>
      <c r="R427" s="76" t="s">
        <v>95</v>
      </c>
      <c r="S427" s="0" t="n">
        <f aca="false">IF(Recherche!$B$4="",0,IF(ISNUMBER(SEARCH(Recherche!$B$4,D427))+ISNUMBER(SEARCH(Recherche!$B$4,K427))&gt;0,1,0))</f>
        <v>0</v>
      </c>
      <c r="T427" s="0" t="str">
        <f aca="false">IF(S427=1,SUM($S$2:S427),"")</f>
        <v/>
      </c>
    </row>
    <row r="428" customFormat="false" ht="23.85" hidden="false" customHeight="false" outlineLevel="0" collapsed="false">
      <c r="A428" s="24" t="s">
        <v>1942</v>
      </c>
      <c r="B428" s="24" t="s">
        <v>60</v>
      </c>
      <c r="C428" s="24" t="s">
        <v>1923</v>
      </c>
      <c r="D428" s="23" t="s">
        <v>460</v>
      </c>
      <c r="E428" s="26" t="s">
        <v>91</v>
      </c>
      <c r="F428" s="24" t="s">
        <v>80</v>
      </c>
      <c r="G428" s="24" t="s">
        <v>939</v>
      </c>
      <c r="H428" s="25" t="n">
        <v>102.12</v>
      </c>
      <c r="I428" s="25"/>
      <c r="J428" s="58"/>
      <c r="K428" s="23" t="s">
        <v>461</v>
      </c>
      <c r="L428" s="24"/>
      <c r="M428" s="24" t="s">
        <v>1943</v>
      </c>
      <c r="N428" s="26" t="s">
        <v>91</v>
      </c>
      <c r="O428" s="24"/>
      <c r="P428" s="24" t="s">
        <v>303</v>
      </c>
      <c r="Q428" s="24" t="s">
        <v>942</v>
      </c>
      <c r="R428" s="73" t="s">
        <v>95</v>
      </c>
      <c r="S428" s="0" t="n">
        <f aca="false">IF(Recherche!$B$4="",0,IF(ISNUMBER(SEARCH(Recherche!$B$4,D428))+ISNUMBER(SEARCH(Recherche!$B$4,K428))&gt;0,1,0))</f>
        <v>0</v>
      </c>
      <c r="T428" s="0" t="str">
        <f aca="false">IF(S428=1,SUM($S$2:S428),"")</f>
        <v/>
      </c>
    </row>
    <row r="429" customFormat="false" ht="23.85" hidden="false" customHeight="false" outlineLevel="0" collapsed="false">
      <c r="A429" s="20" t="s">
        <v>1942</v>
      </c>
      <c r="B429" s="20" t="s">
        <v>60</v>
      </c>
      <c r="C429" s="20" t="s">
        <v>1923</v>
      </c>
      <c r="D429" s="19" t="s">
        <v>460</v>
      </c>
      <c r="E429" s="22" t="s">
        <v>91</v>
      </c>
      <c r="F429" s="20" t="s">
        <v>76</v>
      </c>
      <c r="G429" s="20" t="s">
        <v>939</v>
      </c>
      <c r="H429" s="21" t="n">
        <v>143.87</v>
      </c>
      <c r="I429" s="21"/>
      <c r="J429" s="52"/>
      <c r="K429" s="19" t="s">
        <v>1944</v>
      </c>
      <c r="L429" s="20" t="s">
        <v>1886</v>
      </c>
      <c r="M429" s="20" t="s">
        <v>1945</v>
      </c>
      <c r="N429" s="22" t="s">
        <v>91</v>
      </c>
      <c r="O429" s="20"/>
      <c r="P429" s="20" t="s">
        <v>93</v>
      </c>
      <c r="Q429" s="20" t="s">
        <v>942</v>
      </c>
      <c r="R429" s="76" t="s">
        <v>95</v>
      </c>
      <c r="S429" s="0" t="n">
        <f aca="false">IF(Recherche!$B$4="",0,IF(ISNUMBER(SEARCH(Recherche!$B$4,D429))+ISNUMBER(SEARCH(Recherche!$B$4,K429))&gt;0,1,0))</f>
        <v>0</v>
      </c>
      <c r="T429" s="0" t="str">
        <f aca="false">IF(S429=1,SUM($S$2:S429),"")</f>
        <v/>
      </c>
    </row>
    <row r="430" customFormat="false" ht="23.85" hidden="false" customHeight="false" outlineLevel="0" collapsed="false">
      <c r="A430" s="24" t="s">
        <v>1946</v>
      </c>
      <c r="B430" s="24" t="s">
        <v>60</v>
      </c>
      <c r="C430" s="24" t="s">
        <v>1923</v>
      </c>
      <c r="D430" s="23" t="s">
        <v>462</v>
      </c>
      <c r="E430" s="26" t="s">
        <v>91</v>
      </c>
      <c r="F430" s="24" t="s">
        <v>80</v>
      </c>
      <c r="G430" s="24" t="s">
        <v>939</v>
      </c>
      <c r="H430" s="25" t="n">
        <v>144.03</v>
      </c>
      <c r="I430" s="25"/>
      <c r="J430" s="58"/>
      <c r="K430" s="23" t="s">
        <v>463</v>
      </c>
      <c r="L430" s="24"/>
      <c r="M430" s="24" t="s">
        <v>1947</v>
      </c>
      <c r="N430" s="26" t="s">
        <v>91</v>
      </c>
      <c r="O430" s="24"/>
      <c r="P430" s="24" t="s">
        <v>303</v>
      </c>
      <c r="Q430" s="24" t="s">
        <v>942</v>
      </c>
      <c r="R430" s="73" t="s">
        <v>95</v>
      </c>
      <c r="S430" s="0" t="n">
        <f aca="false">IF(Recherche!$B$4="",0,IF(ISNUMBER(SEARCH(Recherche!$B$4,D430))+ISNUMBER(SEARCH(Recherche!$B$4,K430))&gt;0,1,0))</f>
        <v>0</v>
      </c>
      <c r="T430" s="0" t="str">
        <f aca="false">IF(S430=1,SUM($S$2:S430),"")</f>
        <v/>
      </c>
    </row>
    <row r="431" customFormat="false" ht="23.85" hidden="false" customHeight="false" outlineLevel="0" collapsed="false">
      <c r="A431" s="20" t="s">
        <v>1946</v>
      </c>
      <c r="B431" s="20" t="s">
        <v>60</v>
      </c>
      <c r="C431" s="20" t="s">
        <v>1923</v>
      </c>
      <c r="D431" s="19" t="s">
        <v>462</v>
      </c>
      <c r="E431" s="22" t="s">
        <v>91</v>
      </c>
      <c r="F431" s="20" t="s">
        <v>76</v>
      </c>
      <c r="G431" s="20" t="s">
        <v>939</v>
      </c>
      <c r="H431" s="21" t="n">
        <v>263.93</v>
      </c>
      <c r="I431" s="21"/>
      <c r="J431" s="52"/>
      <c r="K431" s="19" t="s">
        <v>1948</v>
      </c>
      <c r="L431" s="20" t="s">
        <v>1886</v>
      </c>
      <c r="M431" s="20" t="s">
        <v>1949</v>
      </c>
      <c r="N431" s="22" t="s">
        <v>91</v>
      </c>
      <c r="O431" s="20"/>
      <c r="P431" s="20" t="s">
        <v>93</v>
      </c>
      <c r="Q431" s="20" t="s">
        <v>942</v>
      </c>
      <c r="R431" s="76" t="s">
        <v>95</v>
      </c>
      <c r="S431" s="0" t="n">
        <f aca="false">IF(Recherche!$B$4="",0,IF(ISNUMBER(SEARCH(Recherche!$B$4,D431))+ISNUMBER(SEARCH(Recherche!$B$4,K431))&gt;0,1,0))</f>
        <v>0</v>
      </c>
      <c r="T431" s="0" t="str">
        <f aca="false">IF(S431=1,SUM($S$2:S431),"")</f>
        <v/>
      </c>
    </row>
    <row r="432" customFormat="false" ht="23.85" hidden="false" customHeight="false" outlineLevel="0" collapsed="false">
      <c r="A432" s="24" t="s">
        <v>1950</v>
      </c>
      <c r="B432" s="24" t="s">
        <v>60</v>
      </c>
      <c r="C432" s="24" t="s">
        <v>1923</v>
      </c>
      <c r="D432" s="23" t="s">
        <v>464</v>
      </c>
      <c r="E432" s="26" t="s">
        <v>91</v>
      </c>
      <c r="F432" s="24" t="s">
        <v>80</v>
      </c>
      <c r="G432" s="24" t="s">
        <v>939</v>
      </c>
      <c r="H432" s="25" t="n">
        <v>9.69</v>
      </c>
      <c r="I432" s="25"/>
      <c r="J432" s="58"/>
      <c r="K432" s="23" t="s">
        <v>465</v>
      </c>
      <c r="L432" s="24"/>
      <c r="M432" s="24" t="s">
        <v>1951</v>
      </c>
      <c r="N432" s="26" t="s">
        <v>91</v>
      </c>
      <c r="O432" s="24"/>
      <c r="P432" s="24" t="s">
        <v>303</v>
      </c>
      <c r="Q432" s="24" t="s">
        <v>963</v>
      </c>
      <c r="R432" s="73" t="s">
        <v>95</v>
      </c>
      <c r="S432" s="0" t="n">
        <f aca="false">IF(Recherche!$B$4="",0,IF(ISNUMBER(SEARCH(Recherche!$B$4,D432))+ISNUMBER(SEARCH(Recherche!$B$4,K432))&gt;0,1,0))</f>
        <v>0</v>
      </c>
      <c r="T432" s="0" t="str">
        <f aca="false">IF(S432=1,SUM($S$2:S432),"")</f>
        <v/>
      </c>
    </row>
    <row r="433" customFormat="false" ht="15" hidden="false" customHeight="false" outlineLevel="0" collapsed="false">
      <c r="A433" s="20" t="s">
        <v>1950</v>
      </c>
      <c r="B433" s="20" t="s">
        <v>60</v>
      </c>
      <c r="C433" s="20" t="s">
        <v>1923</v>
      </c>
      <c r="D433" s="19" t="s">
        <v>464</v>
      </c>
      <c r="E433" s="22" t="s">
        <v>91</v>
      </c>
      <c r="F433" s="20" t="s">
        <v>76</v>
      </c>
      <c r="G433" s="20" t="s">
        <v>939</v>
      </c>
      <c r="H433" s="21" t="n">
        <v>22.56</v>
      </c>
      <c r="I433" s="21"/>
      <c r="J433" s="52"/>
      <c r="K433" s="19" t="s">
        <v>1952</v>
      </c>
      <c r="L433" s="20" t="s">
        <v>1280</v>
      </c>
      <c r="M433" s="20" t="s">
        <v>1953</v>
      </c>
      <c r="N433" s="22" t="s">
        <v>91</v>
      </c>
      <c r="O433" s="20"/>
      <c r="P433" s="20" t="s">
        <v>93</v>
      </c>
      <c r="Q433" s="20" t="s">
        <v>942</v>
      </c>
      <c r="R433" s="76" t="s">
        <v>95</v>
      </c>
      <c r="S433" s="0" t="n">
        <f aca="false">IF(Recherche!$B$4="",0,IF(ISNUMBER(SEARCH(Recherche!$B$4,D433))+ISNUMBER(SEARCH(Recherche!$B$4,K433))&gt;0,1,0))</f>
        <v>0</v>
      </c>
      <c r="T433" s="0" t="str">
        <f aca="false">IF(S433=1,SUM($S$2:S433),"")</f>
        <v/>
      </c>
    </row>
    <row r="434" customFormat="false" ht="35.05" hidden="false" customHeight="false" outlineLevel="0" collapsed="false">
      <c r="A434" s="24" t="s">
        <v>1950</v>
      </c>
      <c r="B434" s="24" t="s">
        <v>60</v>
      </c>
      <c r="C434" s="24" t="s">
        <v>1923</v>
      </c>
      <c r="D434" s="23" t="s">
        <v>464</v>
      </c>
      <c r="E434" s="26" t="s">
        <v>91</v>
      </c>
      <c r="F434" s="74" t="s">
        <v>81</v>
      </c>
      <c r="G434" s="74" t="s">
        <v>979</v>
      </c>
      <c r="H434" s="75" t="n">
        <v>44.74</v>
      </c>
      <c r="I434" s="25" t="n">
        <v>47.04</v>
      </c>
      <c r="J434" s="58" t="n">
        <v>4.9</v>
      </c>
      <c r="K434" s="23" t="s">
        <v>1954</v>
      </c>
      <c r="L434" s="24" t="s">
        <v>1955</v>
      </c>
      <c r="M434" s="24" t="s">
        <v>1956</v>
      </c>
      <c r="N434" s="26" t="s">
        <v>91</v>
      </c>
      <c r="O434" s="24" t="s">
        <v>949</v>
      </c>
      <c r="P434" s="24" t="s">
        <v>119</v>
      </c>
      <c r="Q434" s="24" t="s">
        <v>1007</v>
      </c>
      <c r="R434" s="73" t="s">
        <v>95</v>
      </c>
      <c r="S434" s="0" t="n">
        <f aca="false">IF(Recherche!$B$4="",0,IF(ISNUMBER(SEARCH(Recherche!$B$4,D434))+ISNUMBER(SEARCH(Recherche!$B$4,K434))&gt;0,1,0))</f>
        <v>0</v>
      </c>
      <c r="T434" s="0" t="str">
        <f aca="false">IF(S434=1,SUM($S$2:S434),"")</f>
        <v/>
      </c>
    </row>
    <row r="435" customFormat="false" ht="15" hidden="false" customHeight="false" outlineLevel="0" collapsed="false">
      <c r="A435" s="20" t="s">
        <v>1957</v>
      </c>
      <c r="B435" s="20" t="s">
        <v>60</v>
      </c>
      <c r="C435" s="20" t="s">
        <v>1923</v>
      </c>
      <c r="D435" s="19" t="s">
        <v>466</v>
      </c>
      <c r="E435" s="22" t="s">
        <v>91</v>
      </c>
      <c r="F435" s="74" t="s">
        <v>81</v>
      </c>
      <c r="G435" s="74" t="s">
        <v>979</v>
      </c>
      <c r="H435" s="75" t="n">
        <v>12.39</v>
      </c>
      <c r="I435" s="21" t="n">
        <v>13</v>
      </c>
      <c r="J435" s="52" t="n">
        <v>4.7</v>
      </c>
      <c r="K435" s="19" t="s">
        <v>467</v>
      </c>
      <c r="L435" s="20" t="s">
        <v>1858</v>
      </c>
      <c r="M435" s="20" t="s">
        <v>1958</v>
      </c>
      <c r="N435" s="22" t="s">
        <v>91</v>
      </c>
      <c r="O435" s="20" t="s">
        <v>949</v>
      </c>
      <c r="P435" s="20" t="s">
        <v>119</v>
      </c>
      <c r="Q435" s="20" t="s">
        <v>1016</v>
      </c>
      <c r="R435" s="76" t="s">
        <v>95</v>
      </c>
      <c r="S435" s="0" t="n">
        <f aca="false">IF(Recherche!$B$4="",0,IF(ISNUMBER(SEARCH(Recherche!$B$4,D435))+ISNUMBER(SEARCH(Recherche!$B$4,K435))&gt;0,1,0))</f>
        <v>0</v>
      </c>
      <c r="T435" s="0" t="str">
        <f aca="false">IF(S435=1,SUM($S$2:S435),"")</f>
        <v/>
      </c>
    </row>
    <row r="436" customFormat="false" ht="23.85" hidden="false" customHeight="false" outlineLevel="0" collapsed="false">
      <c r="A436" s="24" t="s">
        <v>1957</v>
      </c>
      <c r="B436" s="24" t="s">
        <v>60</v>
      </c>
      <c r="C436" s="24" t="s">
        <v>1923</v>
      </c>
      <c r="D436" s="23" t="s">
        <v>466</v>
      </c>
      <c r="E436" s="26" t="s">
        <v>91</v>
      </c>
      <c r="F436" s="74" t="s">
        <v>82</v>
      </c>
      <c r="G436" s="74" t="s">
        <v>943</v>
      </c>
      <c r="H436" s="75" t="n">
        <v>14.86</v>
      </c>
      <c r="I436" s="25"/>
      <c r="J436" s="58"/>
      <c r="K436" s="23" t="s">
        <v>1959</v>
      </c>
      <c r="L436" s="24"/>
      <c r="M436" s="24" t="s">
        <v>1960</v>
      </c>
      <c r="N436" s="26" t="s">
        <v>91</v>
      </c>
      <c r="O436" s="24"/>
      <c r="P436" s="24" t="s">
        <v>290</v>
      </c>
      <c r="Q436" s="24" t="s">
        <v>1380</v>
      </c>
      <c r="R436" s="73" t="s">
        <v>95</v>
      </c>
      <c r="S436" s="0" t="n">
        <f aca="false">IF(Recherche!$B$4="",0,IF(ISNUMBER(SEARCH(Recherche!$B$4,D436))+ISNUMBER(SEARCH(Recherche!$B$4,K436))&gt;0,1,0))</f>
        <v>0</v>
      </c>
      <c r="T436" s="0" t="str">
        <f aca="false">IF(S436=1,SUM($S$2:S436),"")</f>
        <v/>
      </c>
    </row>
    <row r="437" customFormat="false" ht="23.85" hidden="false" customHeight="false" outlineLevel="0" collapsed="false">
      <c r="A437" s="20" t="s">
        <v>1957</v>
      </c>
      <c r="B437" s="20" t="s">
        <v>60</v>
      </c>
      <c r="C437" s="20" t="s">
        <v>1923</v>
      </c>
      <c r="D437" s="19" t="s">
        <v>466</v>
      </c>
      <c r="E437" s="22" t="s">
        <v>91</v>
      </c>
      <c r="F437" s="20" t="s">
        <v>76</v>
      </c>
      <c r="G437" s="20" t="s">
        <v>939</v>
      </c>
      <c r="H437" s="21" t="n">
        <v>17.49</v>
      </c>
      <c r="I437" s="21"/>
      <c r="J437" s="52"/>
      <c r="K437" s="19" t="s">
        <v>1961</v>
      </c>
      <c r="L437" s="20" t="s">
        <v>1280</v>
      </c>
      <c r="M437" s="20" t="s">
        <v>1962</v>
      </c>
      <c r="N437" s="22" t="s">
        <v>91</v>
      </c>
      <c r="O437" s="20"/>
      <c r="P437" s="20" t="s">
        <v>93</v>
      </c>
      <c r="Q437" s="20" t="s">
        <v>942</v>
      </c>
      <c r="R437" s="76" t="s">
        <v>95</v>
      </c>
      <c r="S437" s="0" t="n">
        <f aca="false">IF(Recherche!$B$4="",0,IF(ISNUMBER(SEARCH(Recherche!$B$4,D437))+ISNUMBER(SEARCH(Recherche!$B$4,K437))&gt;0,1,0))</f>
        <v>0</v>
      </c>
      <c r="T437" s="0" t="str">
        <f aca="false">IF(S437=1,SUM($S$2:S437),"")</f>
        <v/>
      </c>
    </row>
    <row r="438" customFormat="false" ht="23.85" hidden="false" customHeight="false" outlineLevel="0" collapsed="false">
      <c r="A438" s="24" t="s">
        <v>1957</v>
      </c>
      <c r="B438" s="24" t="s">
        <v>60</v>
      </c>
      <c r="C438" s="24" t="s">
        <v>1923</v>
      </c>
      <c r="D438" s="23" t="s">
        <v>466</v>
      </c>
      <c r="E438" s="26" t="s">
        <v>91</v>
      </c>
      <c r="F438" s="24" t="s">
        <v>80</v>
      </c>
      <c r="G438" s="24" t="s">
        <v>939</v>
      </c>
      <c r="H438" s="25" t="n">
        <v>47.29</v>
      </c>
      <c r="I438" s="25"/>
      <c r="J438" s="58"/>
      <c r="K438" s="23" t="s">
        <v>1963</v>
      </c>
      <c r="L438" s="24"/>
      <c r="M438" s="24" t="s">
        <v>1964</v>
      </c>
      <c r="N438" s="26" t="s">
        <v>91</v>
      </c>
      <c r="O438" s="24"/>
      <c r="P438" s="24" t="s">
        <v>303</v>
      </c>
      <c r="Q438" s="24" t="s">
        <v>942</v>
      </c>
      <c r="R438" s="73" t="s">
        <v>95</v>
      </c>
      <c r="S438" s="0" t="n">
        <f aca="false">IF(Recherche!$B$4="",0,IF(ISNUMBER(SEARCH(Recherche!$B$4,D438))+ISNUMBER(SEARCH(Recherche!$B$4,K438))&gt;0,1,0))</f>
        <v>0</v>
      </c>
      <c r="T438" s="0" t="str">
        <f aca="false">IF(S438=1,SUM($S$2:S438),"")</f>
        <v/>
      </c>
    </row>
    <row r="439" customFormat="false" ht="15" hidden="false" customHeight="false" outlineLevel="0" collapsed="false">
      <c r="A439" s="20" t="s">
        <v>1965</v>
      </c>
      <c r="B439" s="20" t="s">
        <v>60</v>
      </c>
      <c r="C439" s="20" t="s">
        <v>1923</v>
      </c>
      <c r="D439" s="19" t="s">
        <v>468</v>
      </c>
      <c r="E439" s="22" t="s">
        <v>91</v>
      </c>
      <c r="F439" s="74" t="s">
        <v>82</v>
      </c>
      <c r="G439" s="74" t="s">
        <v>943</v>
      </c>
      <c r="H439" s="75" t="n">
        <v>3.1</v>
      </c>
      <c r="I439" s="21"/>
      <c r="J439" s="52"/>
      <c r="K439" s="19" t="s">
        <v>469</v>
      </c>
      <c r="L439" s="20"/>
      <c r="M439" s="20" t="s">
        <v>1966</v>
      </c>
      <c r="N439" s="22" t="s">
        <v>91</v>
      </c>
      <c r="O439" s="20"/>
      <c r="P439" s="20" t="s">
        <v>290</v>
      </c>
      <c r="Q439" s="20" t="s">
        <v>1380</v>
      </c>
      <c r="R439" s="76" t="s">
        <v>95</v>
      </c>
      <c r="S439" s="0" t="n">
        <f aca="false">IF(Recherche!$B$4="",0,IF(ISNUMBER(SEARCH(Recherche!$B$4,D439))+ISNUMBER(SEARCH(Recherche!$B$4,K439))&gt;0,1,0))</f>
        <v>0</v>
      </c>
      <c r="T439" s="0" t="str">
        <f aca="false">IF(S439=1,SUM($S$2:S439),"")</f>
        <v/>
      </c>
    </row>
    <row r="440" customFormat="false" ht="23.85" hidden="false" customHeight="false" outlineLevel="0" collapsed="false">
      <c r="A440" s="24" t="s">
        <v>1965</v>
      </c>
      <c r="B440" s="24" t="s">
        <v>60</v>
      </c>
      <c r="C440" s="24" t="s">
        <v>1923</v>
      </c>
      <c r="D440" s="23" t="s">
        <v>468</v>
      </c>
      <c r="E440" s="26" t="s">
        <v>91</v>
      </c>
      <c r="F440" s="24" t="s">
        <v>76</v>
      </c>
      <c r="G440" s="24" t="s">
        <v>939</v>
      </c>
      <c r="H440" s="25" t="n">
        <v>3.99</v>
      </c>
      <c r="I440" s="25"/>
      <c r="J440" s="58"/>
      <c r="K440" s="23" t="s">
        <v>1967</v>
      </c>
      <c r="L440" s="24" t="s">
        <v>1280</v>
      </c>
      <c r="M440" s="24" t="s">
        <v>1968</v>
      </c>
      <c r="N440" s="26" t="s">
        <v>91</v>
      </c>
      <c r="O440" s="24"/>
      <c r="P440" s="24" t="s">
        <v>93</v>
      </c>
      <c r="Q440" s="24" t="s">
        <v>942</v>
      </c>
      <c r="R440" s="73" t="s">
        <v>95</v>
      </c>
      <c r="S440" s="0" t="n">
        <f aca="false">IF(Recherche!$B$4="",0,IF(ISNUMBER(SEARCH(Recherche!$B$4,D440))+ISNUMBER(SEARCH(Recherche!$B$4,K440))&gt;0,1,0))</f>
        <v>0</v>
      </c>
      <c r="T440" s="0" t="str">
        <f aca="false">IF(S440=1,SUM($S$2:S440),"")</f>
        <v/>
      </c>
    </row>
    <row r="441" customFormat="false" ht="15" hidden="false" customHeight="false" outlineLevel="0" collapsed="false">
      <c r="A441" s="20" t="s">
        <v>1969</v>
      </c>
      <c r="B441" s="20" t="s">
        <v>60</v>
      </c>
      <c r="C441" s="20" t="s">
        <v>1923</v>
      </c>
      <c r="D441" s="19" t="s">
        <v>470</v>
      </c>
      <c r="E441" s="22" t="s">
        <v>91</v>
      </c>
      <c r="F441" s="20" t="s">
        <v>76</v>
      </c>
      <c r="G441" s="20" t="s">
        <v>939</v>
      </c>
      <c r="H441" s="21" t="n">
        <v>22.09</v>
      </c>
      <c r="I441" s="21"/>
      <c r="J441" s="52"/>
      <c r="K441" s="19" t="s">
        <v>471</v>
      </c>
      <c r="L441" s="20" t="s">
        <v>1970</v>
      </c>
      <c r="M441" s="20" t="s">
        <v>1971</v>
      </c>
      <c r="N441" s="22" t="s">
        <v>91</v>
      </c>
      <c r="O441" s="20"/>
      <c r="P441" s="20" t="s">
        <v>93</v>
      </c>
      <c r="Q441" s="20" t="s">
        <v>963</v>
      </c>
      <c r="R441" s="76" t="s">
        <v>95</v>
      </c>
      <c r="S441" s="0" t="n">
        <f aca="false">IF(Recherche!$B$4="",0,IF(ISNUMBER(SEARCH(Recherche!$B$4,D441))+ISNUMBER(SEARCH(Recherche!$B$4,K441))&gt;0,1,0))</f>
        <v>0</v>
      </c>
      <c r="T441" s="0" t="str">
        <f aca="false">IF(S441=1,SUM($S$2:S441),"")</f>
        <v/>
      </c>
    </row>
    <row r="442" customFormat="false" ht="23.85" hidden="false" customHeight="false" outlineLevel="0" collapsed="false">
      <c r="A442" s="24" t="s">
        <v>1972</v>
      </c>
      <c r="B442" s="24" t="s">
        <v>60</v>
      </c>
      <c r="C442" s="24" t="s">
        <v>1923</v>
      </c>
      <c r="D442" s="23" t="s">
        <v>472</v>
      </c>
      <c r="E442" s="26" t="s">
        <v>91</v>
      </c>
      <c r="F442" s="24" t="s">
        <v>80</v>
      </c>
      <c r="G442" s="24" t="s">
        <v>939</v>
      </c>
      <c r="H442" s="25" t="n">
        <v>1.76</v>
      </c>
      <c r="I442" s="25"/>
      <c r="J442" s="58"/>
      <c r="K442" s="23" t="s">
        <v>473</v>
      </c>
      <c r="L442" s="24"/>
      <c r="M442" s="24" t="s">
        <v>1973</v>
      </c>
      <c r="N442" s="26" t="s">
        <v>91</v>
      </c>
      <c r="O442" s="24"/>
      <c r="P442" s="24" t="s">
        <v>303</v>
      </c>
      <c r="Q442" s="24" t="s">
        <v>963</v>
      </c>
      <c r="R442" s="73" t="s">
        <v>95</v>
      </c>
      <c r="S442" s="0" t="n">
        <f aca="false">IF(Recherche!$B$4="",0,IF(ISNUMBER(SEARCH(Recherche!$B$4,D442))+ISNUMBER(SEARCH(Recherche!$B$4,K442))&gt;0,1,0))</f>
        <v>0</v>
      </c>
      <c r="T442" s="0" t="str">
        <f aca="false">IF(S442=1,SUM($S$2:S442),"")</f>
        <v/>
      </c>
    </row>
    <row r="443" customFormat="false" ht="15" hidden="false" customHeight="false" outlineLevel="0" collapsed="false">
      <c r="A443" s="20" t="s">
        <v>1972</v>
      </c>
      <c r="B443" s="20" t="s">
        <v>60</v>
      </c>
      <c r="C443" s="20" t="s">
        <v>1923</v>
      </c>
      <c r="D443" s="19" t="s">
        <v>472</v>
      </c>
      <c r="E443" s="22" t="s">
        <v>91</v>
      </c>
      <c r="F443" s="20" t="s">
        <v>76</v>
      </c>
      <c r="G443" s="20" t="s">
        <v>939</v>
      </c>
      <c r="H443" s="21" t="n">
        <v>2.59</v>
      </c>
      <c r="I443" s="21"/>
      <c r="J443" s="52"/>
      <c r="K443" s="19" t="s">
        <v>1974</v>
      </c>
      <c r="L443" s="20" t="s">
        <v>1975</v>
      </c>
      <c r="M443" s="20" t="s">
        <v>1976</v>
      </c>
      <c r="N443" s="22" t="s">
        <v>91</v>
      </c>
      <c r="O443" s="20"/>
      <c r="P443" s="20" t="s">
        <v>93</v>
      </c>
      <c r="Q443" s="20" t="s">
        <v>963</v>
      </c>
      <c r="R443" s="76" t="s">
        <v>95</v>
      </c>
      <c r="S443" s="0" t="n">
        <f aca="false">IF(Recherche!$B$4="",0,IF(ISNUMBER(SEARCH(Recherche!$B$4,D443))+ISNUMBER(SEARCH(Recherche!$B$4,K443))&gt;0,1,0))</f>
        <v>0</v>
      </c>
      <c r="T443" s="0" t="str">
        <f aca="false">IF(S443=1,SUM($S$2:S443),"")</f>
        <v/>
      </c>
    </row>
    <row r="444" customFormat="false" ht="15" hidden="false" customHeight="false" outlineLevel="0" collapsed="false">
      <c r="A444" s="24" t="s">
        <v>1977</v>
      </c>
      <c r="B444" s="24" t="s">
        <v>60</v>
      </c>
      <c r="C444" s="24" t="s">
        <v>1923</v>
      </c>
      <c r="D444" s="23" t="s">
        <v>474</v>
      </c>
      <c r="E444" s="26" t="s">
        <v>91</v>
      </c>
      <c r="F444" s="24" t="s">
        <v>76</v>
      </c>
      <c r="G444" s="24" t="s">
        <v>939</v>
      </c>
      <c r="H444" s="25" t="n">
        <v>20.29</v>
      </c>
      <c r="I444" s="25"/>
      <c r="J444" s="58"/>
      <c r="K444" s="23" t="s">
        <v>475</v>
      </c>
      <c r="L444" s="24" t="s">
        <v>1280</v>
      </c>
      <c r="M444" s="24" t="s">
        <v>1978</v>
      </c>
      <c r="N444" s="26" t="s">
        <v>91</v>
      </c>
      <c r="O444" s="24"/>
      <c r="P444" s="24" t="s">
        <v>93</v>
      </c>
      <c r="Q444" s="24" t="s">
        <v>963</v>
      </c>
      <c r="R444" s="73" t="s">
        <v>95</v>
      </c>
      <c r="S444" s="0" t="n">
        <f aca="false">IF(Recherche!$B$4="",0,IF(ISNUMBER(SEARCH(Recherche!$B$4,D444))+ISNUMBER(SEARCH(Recherche!$B$4,K444))&gt;0,1,0))</f>
        <v>0</v>
      </c>
      <c r="T444" s="0" t="str">
        <f aca="false">IF(S444=1,SUM($S$2:S444),"")</f>
        <v/>
      </c>
    </row>
    <row r="445" customFormat="false" ht="23.85" hidden="false" customHeight="false" outlineLevel="0" collapsed="false">
      <c r="A445" s="20" t="s">
        <v>1979</v>
      </c>
      <c r="B445" s="20" t="s">
        <v>60</v>
      </c>
      <c r="C445" s="20" t="s">
        <v>1923</v>
      </c>
      <c r="D445" s="19" t="s">
        <v>476</v>
      </c>
      <c r="E445" s="22" t="s">
        <v>137</v>
      </c>
      <c r="F445" s="20" t="s">
        <v>80</v>
      </c>
      <c r="G445" s="20" t="s">
        <v>939</v>
      </c>
      <c r="H445" s="21" t="n">
        <v>1.56</v>
      </c>
      <c r="I445" s="21"/>
      <c r="J445" s="52"/>
      <c r="K445" s="19" t="s">
        <v>477</v>
      </c>
      <c r="L445" s="20"/>
      <c r="M445" s="20" t="s">
        <v>1980</v>
      </c>
      <c r="N445" s="22" t="s">
        <v>1533</v>
      </c>
      <c r="O445" s="20"/>
      <c r="P445" s="20" t="s">
        <v>303</v>
      </c>
      <c r="Q445" s="20" t="s">
        <v>963</v>
      </c>
      <c r="R445" s="76" t="s">
        <v>95</v>
      </c>
      <c r="S445" s="0" t="n">
        <f aca="false">IF(Recherche!$B$4="",0,IF(ISNUMBER(SEARCH(Recherche!$B$4,D445))+ISNUMBER(SEARCH(Recherche!$B$4,K445))&gt;0,1,0))</f>
        <v>0</v>
      </c>
      <c r="T445" s="0" t="str">
        <f aca="false">IF(S445=1,SUM($S$2:S445),"")</f>
        <v/>
      </c>
    </row>
    <row r="446" customFormat="false" ht="15" hidden="false" customHeight="false" outlineLevel="0" collapsed="false">
      <c r="A446" s="24" t="s">
        <v>1979</v>
      </c>
      <c r="B446" s="24" t="s">
        <v>60</v>
      </c>
      <c r="C446" s="24" t="s">
        <v>1923</v>
      </c>
      <c r="D446" s="23" t="s">
        <v>476</v>
      </c>
      <c r="E446" s="26" t="s">
        <v>137</v>
      </c>
      <c r="F446" s="24" t="s">
        <v>76</v>
      </c>
      <c r="G446" s="24" t="s">
        <v>939</v>
      </c>
      <c r="H446" s="25" t="n">
        <v>6.31</v>
      </c>
      <c r="I446" s="25"/>
      <c r="J446" s="58"/>
      <c r="K446" s="23" t="s">
        <v>1981</v>
      </c>
      <c r="L446" s="24" t="s">
        <v>1982</v>
      </c>
      <c r="M446" s="24" t="s">
        <v>1983</v>
      </c>
      <c r="N446" s="26" t="s">
        <v>137</v>
      </c>
      <c r="O446" s="24"/>
      <c r="P446" s="24" t="s">
        <v>93</v>
      </c>
      <c r="Q446" s="24" t="s">
        <v>963</v>
      </c>
      <c r="R446" s="73" t="s">
        <v>95</v>
      </c>
      <c r="S446" s="0" t="n">
        <f aca="false">IF(Recherche!$B$4="",0,IF(ISNUMBER(SEARCH(Recherche!$B$4,D446))+ISNUMBER(SEARCH(Recherche!$B$4,K446))&gt;0,1,0))</f>
        <v>0</v>
      </c>
      <c r="T446" s="0" t="str">
        <f aca="false">IF(S446=1,SUM($S$2:S446),"")</f>
        <v/>
      </c>
    </row>
    <row r="447" customFormat="false" ht="23.85" hidden="false" customHeight="false" outlineLevel="0" collapsed="false">
      <c r="A447" s="20" t="s">
        <v>1979</v>
      </c>
      <c r="B447" s="20" t="s">
        <v>60</v>
      </c>
      <c r="C447" s="20" t="s">
        <v>1923</v>
      </c>
      <c r="D447" s="19" t="s">
        <v>476</v>
      </c>
      <c r="E447" s="22" t="s">
        <v>137</v>
      </c>
      <c r="F447" s="74" t="s">
        <v>82</v>
      </c>
      <c r="G447" s="74" t="s">
        <v>943</v>
      </c>
      <c r="H447" s="75" t="n">
        <v>42.7</v>
      </c>
      <c r="I447" s="21"/>
      <c r="J447" s="52"/>
      <c r="K447" s="19" t="s">
        <v>1984</v>
      </c>
      <c r="L447" s="20"/>
      <c r="M447" s="20" t="s">
        <v>1985</v>
      </c>
      <c r="N447" s="22" t="s">
        <v>91</v>
      </c>
      <c r="O447" s="20"/>
      <c r="P447" s="20" t="s">
        <v>290</v>
      </c>
      <c r="Q447" s="20" t="s">
        <v>1016</v>
      </c>
      <c r="R447" s="76" t="s">
        <v>95</v>
      </c>
      <c r="S447" s="0" t="n">
        <f aca="false">IF(Recherche!$B$4="",0,IF(ISNUMBER(SEARCH(Recherche!$B$4,D447))+ISNUMBER(SEARCH(Recherche!$B$4,K447))&gt;0,1,0))</f>
        <v>0</v>
      </c>
      <c r="T447" s="0" t="str">
        <f aca="false">IF(S447=1,SUM($S$2:S447),"")</f>
        <v/>
      </c>
    </row>
    <row r="448" customFormat="false" ht="23.85" hidden="false" customHeight="false" outlineLevel="0" collapsed="false">
      <c r="A448" s="24" t="s">
        <v>1979</v>
      </c>
      <c r="B448" s="24" t="s">
        <v>60</v>
      </c>
      <c r="C448" s="24" t="s">
        <v>1923</v>
      </c>
      <c r="D448" s="23" t="s">
        <v>476</v>
      </c>
      <c r="E448" s="26" t="s">
        <v>137</v>
      </c>
      <c r="F448" s="74" t="s">
        <v>81</v>
      </c>
      <c r="G448" s="74" t="s">
        <v>979</v>
      </c>
      <c r="H448" s="75" t="n">
        <v>343.64</v>
      </c>
      <c r="I448" s="25" t="n">
        <v>380.32</v>
      </c>
      <c r="J448" s="58" t="n">
        <v>9.6</v>
      </c>
      <c r="K448" s="23" t="s">
        <v>1986</v>
      </c>
      <c r="L448" s="24" t="s">
        <v>1987</v>
      </c>
      <c r="M448" s="24" t="s">
        <v>1988</v>
      </c>
      <c r="N448" s="26" t="s">
        <v>91</v>
      </c>
      <c r="O448" s="24" t="s">
        <v>949</v>
      </c>
      <c r="P448" s="24" t="s">
        <v>169</v>
      </c>
      <c r="Q448" s="24" t="s">
        <v>1007</v>
      </c>
      <c r="R448" s="73" t="s">
        <v>95</v>
      </c>
      <c r="S448" s="0" t="n">
        <f aca="false">IF(Recherche!$B$4="",0,IF(ISNUMBER(SEARCH(Recherche!$B$4,D448))+ISNUMBER(SEARCH(Recherche!$B$4,K448))&gt;0,1,0))</f>
        <v>0</v>
      </c>
      <c r="T448" s="0" t="str">
        <f aca="false">IF(S448=1,SUM($S$2:S448),"")</f>
        <v/>
      </c>
    </row>
    <row r="449" customFormat="false" ht="23.85" hidden="false" customHeight="false" outlineLevel="0" collapsed="false">
      <c r="A449" s="20" t="s">
        <v>1989</v>
      </c>
      <c r="B449" s="20" t="s">
        <v>60</v>
      </c>
      <c r="C449" s="20" t="s">
        <v>1923</v>
      </c>
      <c r="D449" s="19" t="s">
        <v>478</v>
      </c>
      <c r="E449" s="22" t="s">
        <v>91</v>
      </c>
      <c r="F449" s="74" t="s">
        <v>82</v>
      </c>
      <c r="G449" s="74" t="s">
        <v>943</v>
      </c>
      <c r="H449" s="75" t="n">
        <v>24.4</v>
      </c>
      <c r="I449" s="21"/>
      <c r="J449" s="52"/>
      <c r="K449" s="19" t="s">
        <v>479</v>
      </c>
      <c r="L449" s="20"/>
      <c r="M449" s="20" t="s">
        <v>1990</v>
      </c>
      <c r="N449" s="22" t="s">
        <v>91</v>
      </c>
      <c r="O449" s="20"/>
      <c r="P449" s="20" t="s">
        <v>290</v>
      </c>
      <c r="Q449" s="20" t="s">
        <v>1380</v>
      </c>
      <c r="R449" s="76" t="s">
        <v>95</v>
      </c>
      <c r="S449" s="0" t="n">
        <f aca="false">IF(Recherche!$B$4="",0,IF(ISNUMBER(SEARCH(Recherche!$B$4,D449))+ISNUMBER(SEARCH(Recherche!$B$4,K449))&gt;0,1,0))</f>
        <v>0</v>
      </c>
      <c r="T449" s="0" t="str">
        <f aca="false">IF(S449=1,SUM($S$2:S449),"")</f>
        <v/>
      </c>
    </row>
    <row r="450" customFormat="false" ht="23.85" hidden="false" customHeight="false" outlineLevel="0" collapsed="false">
      <c r="A450" s="24" t="s">
        <v>1989</v>
      </c>
      <c r="B450" s="24" t="s">
        <v>60</v>
      </c>
      <c r="C450" s="24" t="s">
        <v>1923</v>
      </c>
      <c r="D450" s="23" t="s">
        <v>478</v>
      </c>
      <c r="E450" s="26" t="s">
        <v>91</v>
      </c>
      <c r="F450" s="24" t="s">
        <v>76</v>
      </c>
      <c r="G450" s="24" t="s">
        <v>939</v>
      </c>
      <c r="H450" s="25" t="n">
        <v>31.78</v>
      </c>
      <c r="I450" s="25"/>
      <c r="J450" s="58"/>
      <c r="K450" s="23" t="s">
        <v>1991</v>
      </c>
      <c r="L450" s="24" t="s">
        <v>1992</v>
      </c>
      <c r="M450" s="24" t="s">
        <v>1993</v>
      </c>
      <c r="N450" s="26" t="s">
        <v>91</v>
      </c>
      <c r="O450" s="24"/>
      <c r="P450" s="24" t="s">
        <v>93</v>
      </c>
      <c r="Q450" s="24" t="s">
        <v>942</v>
      </c>
      <c r="R450" s="73" t="s">
        <v>95</v>
      </c>
      <c r="S450" s="0" t="n">
        <f aca="false">IF(Recherche!$B$4="",0,IF(ISNUMBER(SEARCH(Recherche!$B$4,D450))+ISNUMBER(SEARCH(Recherche!$B$4,K450))&gt;0,1,0))</f>
        <v>0</v>
      </c>
      <c r="T450" s="0" t="str">
        <f aca="false">IF(S450=1,SUM($S$2:S450),"")</f>
        <v/>
      </c>
    </row>
    <row r="451" customFormat="false" ht="23.85" hidden="false" customHeight="false" outlineLevel="0" collapsed="false">
      <c r="A451" s="20" t="s">
        <v>1989</v>
      </c>
      <c r="B451" s="20" t="s">
        <v>60</v>
      </c>
      <c r="C451" s="20" t="s">
        <v>1923</v>
      </c>
      <c r="D451" s="19" t="s">
        <v>478</v>
      </c>
      <c r="E451" s="22" t="s">
        <v>91</v>
      </c>
      <c r="F451" s="20" t="s">
        <v>80</v>
      </c>
      <c r="G451" s="20" t="s">
        <v>939</v>
      </c>
      <c r="H451" s="21" t="n">
        <v>56.63</v>
      </c>
      <c r="I451" s="21"/>
      <c r="J451" s="52"/>
      <c r="K451" s="19" t="s">
        <v>1994</v>
      </c>
      <c r="L451" s="20"/>
      <c r="M451" s="20" t="s">
        <v>1995</v>
      </c>
      <c r="N451" s="22" t="s">
        <v>91</v>
      </c>
      <c r="O451" s="20"/>
      <c r="P451" s="20" t="s">
        <v>303</v>
      </c>
      <c r="Q451" s="20" t="s">
        <v>942</v>
      </c>
      <c r="R451" s="76" t="s">
        <v>95</v>
      </c>
      <c r="S451" s="0" t="n">
        <f aca="false">IF(Recherche!$B$4="",0,IF(ISNUMBER(SEARCH(Recherche!$B$4,D451))+ISNUMBER(SEARCH(Recherche!$B$4,K451))&gt;0,1,0))</f>
        <v>0</v>
      </c>
      <c r="T451" s="0" t="str">
        <f aca="false">IF(S451=1,SUM($S$2:S451),"")</f>
        <v/>
      </c>
    </row>
    <row r="452" customFormat="false" ht="35.05" hidden="false" customHeight="false" outlineLevel="0" collapsed="false">
      <c r="A452" s="24" t="s">
        <v>1989</v>
      </c>
      <c r="B452" s="24" t="s">
        <v>60</v>
      </c>
      <c r="C452" s="24" t="s">
        <v>1923</v>
      </c>
      <c r="D452" s="23" t="s">
        <v>478</v>
      </c>
      <c r="E452" s="26" t="s">
        <v>91</v>
      </c>
      <c r="F452" s="74" t="s">
        <v>81</v>
      </c>
      <c r="G452" s="74" t="s">
        <v>979</v>
      </c>
      <c r="H452" s="75" t="n">
        <v>188.61</v>
      </c>
      <c r="I452" s="25" t="n">
        <v>208</v>
      </c>
      <c r="J452" s="58" t="n">
        <v>9.3</v>
      </c>
      <c r="K452" s="23" t="s">
        <v>1996</v>
      </c>
      <c r="L452" s="24" t="s">
        <v>1997</v>
      </c>
      <c r="M452" s="24" t="s">
        <v>1998</v>
      </c>
      <c r="N452" s="26" t="s">
        <v>91</v>
      </c>
      <c r="O452" s="24" t="s">
        <v>949</v>
      </c>
      <c r="P452" s="24" t="s">
        <v>169</v>
      </c>
      <c r="Q452" s="24" t="s">
        <v>1016</v>
      </c>
      <c r="R452" s="73" t="s">
        <v>95</v>
      </c>
      <c r="S452" s="0" t="n">
        <f aca="false">IF(Recherche!$B$4="",0,IF(ISNUMBER(SEARCH(Recherche!$B$4,D452))+ISNUMBER(SEARCH(Recherche!$B$4,K452))&gt;0,1,0))</f>
        <v>0</v>
      </c>
      <c r="T452" s="0" t="str">
        <f aca="false">IF(S452=1,SUM($S$2:S452),"")</f>
        <v/>
      </c>
    </row>
    <row r="453" customFormat="false" ht="23.85" hidden="false" customHeight="false" outlineLevel="0" collapsed="false">
      <c r="A453" s="20" t="s">
        <v>1999</v>
      </c>
      <c r="B453" s="20" t="s">
        <v>60</v>
      </c>
      <c r="C453" s="20" t="s">
        <v>2000</v>
      </c>
      <c r="D453" s="19" t="s">
        <v>480</v>
      </c>
      <c r="E453" s="22" t="s">
        <v>91</v>
      </c>
      <c r="F453" s="20" t="s">
        <v>76</v>
      </c>
      <c r="G453" s="20" t="s">
        <v>939</v>
      </c>
      <c r="H453" s="21" t="n">
        <v>36.33</v>
      </c>
      <c r="I453" s="21"/>
      <c r="J453" s="52"/>
      <c r="K453" s="19" t="s">
        <v>481</v>
      </c>
      <c r="L453" s="20" t="s">
        <v>2001</v>
      </c>
      <c r="M453" s="20" t="s">
        <v>2002</v>
      </c>
      <c r="N453" s="22" t="s">
        <v>91</v>
      </c>
      <c r="O453" s="20"/>
      <c r="P453" s="20" t="s">
        <v>93</v>
      </c>
      <c r="Q453" s="20" t="s">
        <v>942</v>
      </c>
      <c r="R453" s="76" t="s">
        <v>95</v>
      </c>
      <c r="S453" s="0" t="n">
        <f aca="false">IF(Recherche!$B$4="",0,IF(ISNUMBER(SEARCH(Recherche!$B$4,D453))+ISNUMBER(SEARCH(Recherche!$B$4,K453))&gt;0,1,0))</f>
        <v>0</v>
      </c>
      <c r="T453" s="0" t="str">
        <f aca="false">IF(S453=1,SUM($S$2:S453),"")</f>
        <v/>
      </c>
    </row>
    <row r="454" customFormat="false" ht="23.85" hidden="false" customHeight="false" outlineLevel="0" collapsed="false">
      <c r="A454" s="24" t="s">
        <v>1999</v>
      </c>
      <c r="B454" s="24" t="s">
        <v>60</v>
      </c>
      <c r="C454" s="24" t="s">
        <v>2000</v>
      </c>
      <c r="D454" s="23" t="s">
        <v>480</v>
      </c>
      <c r="E454" s="26" t="s">
        <v>91</v>
      </c>
      <c r="F454" s="74" t="s">
        <v>82</v>
      </c>
      <c r="G454" s="74" t="s">
        <v>943</v>
      </c>
      <c r="H454" s="75" t="n">
        <v>44.12</v>
      </c>
      <c r="I454" s="25"/>
      <c r="J454" s="58"/>
      <c r="K454" s="23" t="s">
        <v>2003</v>
      </c>
      <c r="L454" s="24"/>
      <c r="M454" s="24" t="s">
        <v>2004</v>
      </c>
      <c r="N454" s="26" t="s">
        <v>91</v>
      </c>
      <c r="O454" s="24"/>
      <c r="P454" s="24" t="s">
        <v>290</v>
      </c>
      <c r="Q454" s="24" t="s">
        <v>1380</v>
      </c>
      <c r="R454" s="73" t="s">
        <v>95</v>
      </c>
      <c r="S454" s="0" t="n">
        <f aca="false">IF(Recherche!$B$4="",0,IF(ISNUMBER(SEARCH(Recherche!$B$4,D454))+ISNUMBER(SEARCH(Recherche!$B$4,K454))&gt;0,1,0))</f>
        <v>0</v>
      </c>
      <c r="T454" s="0" t="str">
        <f aca="false">IF(S454=1,SUM($S$2:S454),"")</f>
        <v/>
      </c>
    </row>
    <row r="455" customFormat="false" ht="23.85" hidden="false" customHeight="false" outlineLevel="0" collapsed="false">
      <c r="A455" s="20" t="s">
        <v>2005</v>
      </c>
      <c r="B455" s="20" t="s">
        <v>60</v>
      </c>
      <c r="C455" s="20" t="s">
        <v>2000</v>
      </c>
      <c r="D455" s="19" t="s">
        <v>482</v>
      </c>
      <c r="E455" s="22" t="s">
        <v>91</v>
      </c>
      <c r="F455" s="74" t="s">
        <v>77</v>
      </c>
      <c r="G455" s="74" t="s">
        <v>979</v>
      </c>
      <c r="H455" s="75" t="n">
        <v>28.67</v>
      </c>
      <c r="I455" s="21" t="n">
        <v>34.54</v>
      </c>
      <c r="J455" s="52" t="n">
        <v>17</v>
      </c>
      <c r="K455" s="19" t="s">
        <v>483</v>
      </c>
      <c r="L455" s="20" t="s">
        <v>981</v>
      </c>
      <c r="M455" s="20" t="s">
        <v>2006</v>
      </c>
      <c r="N455" s="22" t="s">
        <v>91</v>
      </c>
      <c r="O455" s="20"/>
      <c r="P455" s="20" t="s">
        <v>114</v>
      </c>
      <c r="Q455" s="20" t="s">
        <v>983</v>
      </c>
      <c r="R455" s="76"/>
      <c r="S455" s="0" t="n">
        <f aca="false">IF(Recherche!$B$4="",0,IF(ISNUMBER(SEARCH(Recherche!$B$4,D455))+ISNUMBER(SEARCH(Recherche!$B$4,K455))&gt;0,1,0))</f>
        <v>0</v>
      </c>
      <c r="T455" s="0" t="str">
        <f aca="false">IF(S455=1,SUM($S$2:S455),"")</f>
        <v/>
      </c>
    </row>
    <row r="456" customFormat="false" ht="15" hidden="false" customHeight="false" outlineLevel="0" collapsed="false">
      <c r="A456" s="24" t="s">
        <v>2005</v>
      </c>
      <c r="B456" s="24" t="s">
        <v>60</v>
      </c>
      <c r="C456" s="24" t="s">
        <v>2000</v>
      </c>
      <c r="D456" s="23" t="s">
        <v>482</v>
      </c>
      <c r="E456" s="26" t="s">
        <v>91</v>
      </c>
      <c r="F456" s="74" t="s">
        <v>82</v>
      </c>
      <c r="G456" s="74" t="s">
        <v>943</v>
      </c>
      <c r="H456" s="75" t="n">
        <v>108.66</v>
      </c>
      <c r="I456" s="25"/>
      <c r="J456" s="58"/>
      <c r="K456" s="23" t="s">
        <v>2007</v>
      </c>
      <c r="L456" s="24"/>
      <c r="M456" s="24" t="s">
        <v>2008</v>
      </c>
      <c r="N456" s="26" t="s">
        <v>91</v>
      </c>
      <c r="O456" s="24"/>
      <c r="P456" s="24" t="s">
        <v>290</v>
      </c>
      <c r="Q456" s="24" t="s">
        <v>1380</v>
      </c>
      <c r="R456" s="73" t="s">
        <v>95</v>
      </c>
      <c r="S456" s="0" t="n">
        <f aca="false">IF(Recherche!$B$4="",0,IF(ISNUMBER(SEARCH(Recherche!$B$4,D456))+ISNUMBER(SEARCH(Recherche!$B$4,K456))&gt;0,1,0))</f>
        <v>0</v>
      </c>
      <c r="T456" s="0" t="str">
        <f aca="false">IF(S456=1,SUM($S$2:S456),"")</f>
        <v/>
      </c>
    </row>
    <row r="457" customFormat="false" ht="15" hidden="false" customHeight="false" outlineLevel="0" collapsed="false">
      <c r="A457" s="20" t="s">
        <v>2005</v>
      </c>
      <c r="B457" s="20" t="s">
        <v>60</v>
      </c>
      <c r="C457" s="20" t="s">
        <v>2000</v>
      </c>
      <c r="D457" s="19" t="s">
        <v>482</v>
      </c>
      <c r="E457" s="22" t="s">
        <v>91</v>
      </c>
      <c r="F457" s="74" t="s">
        <v>81</v>
      </c>
      <c r="G457" s="74" t="s">
        <v>979</v>
      </c>
      <c r="H457" s="75" t="n">
        <v>178.51</v>
      </c>
      <c r="I457" s="21" t="n">
        <v>189</v>
      </c>
      <c r="J457" s="52" t="n">
        <v>5.6</v>
      </c>
      <c r="K457" s="19" t="s">
        <v>2009</v>
      </c>
      <c r="L457" s="20" t="s">
        <v>2010</v>
      </c>
      <c r="M457" s="20" t="s">
        <v>2011</v>
      </c>
      <c r="N457" s="22" t="s">
        <v>91</v>
      </c>
      <c r="O457" s="20" t="s">
        <v>949</v>
      </c>
      <c r="P457" s="20" t="s">
        <v>169</v>
      </c>
      <c r="Q457" s="20" t="s">
        <v>1007</v>
      </c>
      <c r="R457" s="76" t="s">
        <v>95</v>
      </c>
      <c r="S457" s="0" t="n">
        <f aca="false">IF(Recherche!$B$4="",0,IF(ISNUMBER(SEARCH(Recherche!$B$4,D457))+ISNUMBER(SEARCH(Recherche!$B$4,K457))&gt;0,1,0))</f>
        <v>0</v>
      </c>
      <c r="T457" s="0" t="str">
        <f aca="false">IF(S457=1,SUM($S$2:S457),"")</f>
        <v/>
      </c>
    </row>
    <row r="458" customFormat="false" ht="23.85" hidden="false" customHeight="false" outlineLevel="0" collapsed="false">
      <c r="A458" s="24" t="s">
        <v>2012</v>
      </c>
      <c r="B458" s="24" t="s">
        <v>60</v>
      </c>
      <c r="C458" s="24" t="s">
        <v>2000</v>
      </c>
      <c r="D458" s="23" t="s">
        <v>484</v>
      </c>
      <c r="E458" s="26" t="s">
        <v>91</v>
      </c>
      <c r="F458" s="24" t="s">
        <v>76</v>
      </c>
      <c r="G458" s="24" t="s">
        <v>939</v>
      </c>
      <c r="H458" s="25" t="n">
        <v>21.64</v>
      </c>
      <c r="I458" s="25"/>
      <c r="J458" s="58"/>
      <c r="K458" s="23" t="s">
        <v>485</v>
      </c>
      <c r="L458" s="24" t="s">
        <v>2013</v>
      </c>
      <c r="M458" s="24" t="s">
        <v>2014</v>
      </c>
      <c r="N458" s="26" t="s">
        <v>91</v>
      </c>
      <c r="O458" s="24"/>
      <c r="P458" s="24" t="s">
        <v>93</v>
      </c>
      <c r="Q458" s="24" t="s">
        <v>942</v>
      </c>
      <c r="R458" s="73" t="s">
        <v>95</v>
      </c>
      <c r="S458" s="0" t="n">
        <f aca="false">IF(Recherche!$B$4="",0,IF(ISNUMBER(SEARCH(Recherche!$B$4,D458))+ISNUMBER(SEARCH(Recherche!$B$4,K458))&gt;0,1,0))</f>
        <v>0</v>
      </c>
      <c r="T458" s="0" t="str">
        <f aca="false">IF(S458=1,SUM($S$2:S458),"")</f>
        <v/>
      </c>
    </row>
    <row r="459" customFormat="false" ht="23.85" hidden="false" customHeight="false" outlineLevel="0" collapsed="false">
      <c r="A459" s="20" t="s">
        <v>2015</v>
      </c>
      <c r="B459" s="20" t="s">
        <v>60</v>
      </c>
      <c r="C459" s="20" t="s">
        <v>2000</v>
      </c>
      <c r="D459" s="19" t="s">
        <v>486</v>
      </c>
      <c r="E459" s="22" t="s">
        <v>91</v>
      </c>
      <c r="F459" s="20" t="s">
        <v>80</v>
      </c>
      <c r="G459" s="20" t="s">
        <v>939</v>
      </c>
      <c r="H459" s="21" t="n">
        <v>7.98</v>
      </c>
      <c r="I459" s="21"/>
      <c r="J459" s="52"/>
      <c r="K459" s="19" t="s">
        <v>487</v>
      </c>
      <c r="L459" s="20"/>
      <c r="M459" s="20" t="s">
        <v>2016</v>
      </c>
      <c r="N459" s="22" t="s">
        <v>91</v>
      </c>
      <c r="O459" s="20"/>
      <c r="P459" s="20" t="s">
        <v>303</v>
      </c>
      <c r="Q459" s="20" t="s">
        <v>942</v>
      </c>
      <c r="R459" s="76" t="s">
        <v>95</v>
      </c>
      <c r="S459" s="0" t="n">
        <f aca="false">IF(Recherche!$B$4="",0,IF(ISNUMBER(SEARCH(Recherche!$B$4,D459))+ISNUMBER(SEARCH(Recherche!$B$4,K459))&gt;0,1,0))</f>
        <v>0</v>
      </c>
      <c r="T459" s="0" t="str">
        <f aca="false">IF(S459=1,SUM($S$2:S459),"")</f>
        <v/>
      </c>
    </row>
    <row r="460" customFormat="false" ht="23.85" hidden="false" customHeight="false" outlineLevel="0" collapsed="false">
      <c r="A460" s="24" t="s">
        <v>2015</v>
      </c>
      <c r="B460" s="24" t="s">
        <v>60</v>
      </c>
      <c r="C460" s="24" t="s">
        <v>2000</v>
      </c>
      <c r="D460" s="23" t="s">
        <v>486</v>
      </c>
      <c r="E460" s="26" t="s">
        <v>91</v>
      </c>
      <c r="F460" s="24" t="s">
        <v>76</v>
      </c>
      <c r="G460" s="24" t="s">
        <v>939</v>
      </c>
      <c r="H460" s="25" t="n">
        <v>8.49</v>
      </c>
      <c r="I460" s="25"/>
      <c r="J460" s="58"/>
      <c r="K460" s="23" t="s">
        <v>2017</v>
      </c>
      <c r="L460" s="24" t="s">
        <v>1280</v>
      </c>
      <c r="M460" s="24" t="s">
        <v>2018</v>
      </c>
      <c r="N460" s="26" t="s">
        <v>91</v>
      </c>
      <c r="O460" s="24"/>
      <c r="P460" s="24" t="s">
        <v>93</v>
      </c>
      <c r="Q460" s="24" t="s">
        <v>942</v>
      </c>
      <c r="R460" s="73" t="s">
        <v>95</v>
      </c>
      <c r="S460" s="0" t="n">
        <f aca="false">IF(Recherche!$B$4="",0,IF(ISNUMBER(SEARCH(Recherche!$B$4,D460))+ISNUMBER(SEARCH(Recherche!$B$4,K460))&gt;0,1,0))</f>
        <v>0</v>
      </c>
      <c r="T460" s="0" t="str">
        <f aca="false">IF(S460=1,SUM($S$2:S460),"")</f>
        <v/>
      </c>
    </row>
    <row r="461" customFormat="false" ht="15" hidden="false" customHeight="false" outlineLevel="0" collapsed="false">
      <c r="A461" s="20" t="s">
        <v>2015</v>
      </c>
      <c r="B461" s="20" t="s">
        <v>60</v>
      </c>
      <c r="C461" s="20" t="s">
        <v>2000</v>
      </c>
      <c r="D461" s="19" t="s">
        <v>486</v>
      </c>
      <c r="E461" s="22" t="s">
        <v>91</v>
      </c>
      <c r="F461" s="74" t="s">
        <v>81</v>
      </c>
      <c r="G461" s="74" t="s">
        <v>979</v>
      </c>
      <c r="H461" s="75" t="n">
        <v>29.62</v>
      </c>
      <c r="I461" s="21" t="n">
        <v>31.18</v>
      </c>
      <c r="J461" s="52" t="n">
        <v>5</v>
      </c>
      <c r="K461" s="19" t="s">
        <v>2019</v>
      </c>
      <c r="L461" s="20" t="s">
        <v>1878</v>
      </c>
      <c r="M461" s="20" t="s">
        <v>2020</v>
      </c>
      <c r="N461" s="22" t="s">
        <v>1700</v>
      </c>
      <c r="O461" s="20" t="s">
        <v>1700</v>
      </c>
      <c r="P461" s="20" t="s">
        <v>119</v>
      </c>
      <c r="Q461" s="20" t="s">
        <v>1007</v>
      </c>
      <c r="R461" s="76" t="s">
        <v>95</v>
      </c>
      <c r="S461" s="0" t="n">
        <f aca="false">IF(Recherche!$B$4="",0,IF(ISNUMBER(SEARCH(Recherche!$B$4,D461))+ISNUMBER(SEARCH(Recherche!$B$4,K461))&gt;0,1,0))</f>
        <v>0</v>
      </c>
      <c r="T461" s="0" t="str">
        <f aca="false">IF(S461=1,SUM($S$2:S461),"")</f>
        <v/>
      </c>
    </row>
    <row r="462" customFormat="false" ht="23.85" hidden="false" customHeight="false" outlineLevel="0" collapsed="false">
      <c r="A462" s="24" t="s">
        <v>2015</v>
      </c>
      <c r="B462" s="24" t="s">
        <v>60</v>
      </c>
      <c r="C462" s="24" t="s">
        <v>2000</v>
      </c>
      <c r="D462" s="23" t="s">
        <v>486</v>
      </c>
      <c r="E462" s="26" t="s">
        <v>91</v>
      </c>
      <c r="F462" s="74" t="s">
        <v>82</v>
      </c>
      <c r="G462" s="74" t="s">
        <v>943</v>
      </c>
      <c r="H462" s="75" t="n">
        <v>35.43</v>
      </c>
      <c r="I462" s="25"/>
      <c r="J462" s="58"/>
      <c r="K462" s="23" t="s">
        <v>2021</v>
      </c>
      <c r="L462" s="24"/>
      <c r="M462" s="24" t="s">
        <v>2022</v>
      </c>
      <c r="N462" s="26" t="s">
        <v>91</v>
      </c>
      <c r="O462" s="24"/>
      <c r="P462" s="24" t="s">
        <v>290</v>
      </c>
      <c r="Q462" s="24" t="s">
        <v>1380</v>
      </c>
      <c r="R462" s="73" t="s">
        <v>95</v>
      </c>
      <c r="S462" s="0" t="n">
        <f aca="false">IF(Recherche!$B$4="",0,IF(ISNUMBER(SEARCH(Recherche!$B$4,D462))+ISNUMBER(SEARCH(Recherche!$B$4,K462))&gt;0,1,0))</f>
        <v>0</v>
      </c>
      <c r="T462" s="0" t="str">
        <f aca="false">IF(S462=1,SUM($S$2:S462),"")</f>
        <v/>
      </c>
    </row>
    <row r="463" customFormat="false" ht="15" hidden="false" customHeight="false" outlineLevel="0" collapsed="false">
      <c r="A463" s="20" t="s">
        <v>2023</v>
      </c>
      <c r="B463" s="20" t="s">
        <v>60</v>
      </c>
      <c r="C463" s="20" t="s">
        <v>2000</v>
      </c>
      <c r="D463" s="19" t="s">
        <v>488</v>
      </c>
      <c r="E463" s="22" t="s">
        <v>91</v>
      </c>
      <c r="F463" s="20" t="s">
        <v>76</v>
      </c>
      <c r="G463" s="20" t="s">
        <v>939</v>
      </c>
      <c r="H463" s="21" t="n">
        <v>14.98</v>
      </c>
      <c r="I463" s="21"/>
      <c r="J463" s="52"/>
      <c r="K463" s="19" t="s">
        <v>489</v>
      </c>
      <c r="L463" s="20" t="s">
        <v>1280</v>
      </c>
      <c r="M463" s="20" t="s">
        <v>2024</v>
      </c>
      <c r="N463" s="22" t="s">
        <v>91</v>
      </c>
      <c r="O463" s="20"/>
      <c r="P463" s="20" t="s">
        <v>93</v>
      </c>
      <c r="Q463" s="20" t="s">
        <v>963</v>
      </c>
      <c r="R463" s="76" t="s">
        <v>95</v>
      </c>
      <c r="S463" s="0" t="n">
        <f aca="false">IF(Recherche!$B$4="",0,IF(ISNUMBER(SEARCH(Recherche!$B$4,D463))+ISNUMBER(SEARCH(Recherche!$B$4,K463))&gt;0,1,0))</f>
        <v>0</v>
      </c>
      <c r="T463" s="0" t="str">
        <f aca="false">IF(S463=1,SUM($S$2:S463),"")</f>
        <v/>
      </c>
    </row>
    <row r="464" customFormat="false" ht="23.85" hidden="false" customHeight="false" outlineLevel="0" collapsed="false">
      <c r="A464" s="24" t="s">
        <v>2023</v>
      </c>
      <c r="B464" s="24" t="s">
        <v>60</v>
      </c>
      <c r="C464" s="24" t="s">
        <v>2000</v>
      </c>
      <c r="D464" s="23" t="s">
        <v>488</v>
      </c>
      <c r="E464" s="26" t="s">
        <v>91</v>
      </c>
      <c r="F464" s="24" t="s">
        <v>80</v>
      </c>
      <c r="G464" s="24" t="s">
        <v>939</v>
      </c>
      <c r="H464" s="25" t="n">
        <v>18.72</v>
      </c>
      <c r="I464" s="25"/>
      <c r="J464" s="58"/>
      <c r="K464" s="23" t="s">
        <v>2025</v>
      </c>
      <c r="L464" s="24"/>
      <c r="M464" s="24" t="s">
        <v>2026</v>
      </c>
      <c r="N464" s="26" t="s">
        <v>91</v>
      </c>
      <c r="O464" s="24"/>
      <c r="P464" s="24" t="s">
        <v>303</v>
      </c>
      <c r="Q464" s="24" t="s">
        <v>963</v>
      </c>
      <c r="R464" s="73" t="s">
        <v>95</v>
      </c>
      <c r="S464" s="0" t="n">
        <f aca="false">IF(Recherche!$B$4="",0,IF(ISNUMBER(SEARCH(Recherche!$B$4,D464))+ISNUMBER(SEARCH(Recherche!$B$4,K464))&gt;0,1,0))</f>
        <v>0</v>
      </c>
      <c r="T464" s="0" t="str">
        <f aca="false">IF(S464=1,SUM($S$2:S464),"")</f>
        <v/>
      </c>
    </row>
    <row r="465" customFormat="false" ht="15" hidden="false" customHeight="false" outlineLevel="0" collapsed="false">
      <c r="A465" s="20" t="s">
        <v>2023</v>
      </c>
      <c r="B465" s="20" t="s">
        <v>60</v>
      </c>
      <c r="C465" s="20" t="s">
        <v>2000</v>
      </c>
      <c r="D465" s="19" t="s">
        <v>488</v>
      </c>
      <c r="E465" s="22" t="s">
        <v>91</v>
      </c>
      <c r="F465" s="74" t="s">
        <v>81</v>
      </c>
      <c r="G465" s="74" t="s">
        <v>979</v>
      </c>
      <c r="H465" s="75" t="n">
        <v>27.3</v>
      </c>
      <c r="I465" s="21" t="n">
        <v>28.76</v>
      </c>
      <c r="J465" s="52" t="n">
        <v>5.1</v>
      </c>
      <c r="K465" s="19" t="s">
        <v>2027</v>
      </c>
      <c r="L465" s="20" t="s">
        <v>1878</v>
      </c>
      <c r="M465" s="20" t="s">
        <v>2028</v>
      </c>
      <c r="N465" s="22" t="s">
        <v>91</v>
      </c>
      <c r="O465" s="20" t="s">
        <v>949</v>
      </c>
      <c r="P465" s="20" t="s">
        <v>119</v>
      </c>
      <c r="Q465" s="20" t="s">
        <v>1016</v>
      </c>
      <c r="R465" s="76" t="s">
        <v>95</v>
      </c>
      <c r="S465" s="0" t="n">
        <f aca="false">IF(Recherche!$B$4="",0,IF(ISNUMBER(SEARCH(Recherche!$B$4,D465))+ISNUMBER(SEARCH(Recherche!$B$4,K465))&gt;0,1,0))</f>
        <v>0</v>
      </c>
      <c r="T465" s="0" t="str">
        <f aca="false">IF(S465=1,SUM($S$2:S465),"")</f>
        <v/>
      </c>
    </row>
    <row r="466" customFormat="false" ht="15" hidden="false" customHeight="false" outlineLevel="0" collapsed="false">
      <c r="A466" s="24" t="s">
        <v>2023</v>
      </c>
      <c r="B466" s="24" t="s">
        <v>60</v>
      </c>
      <c r="C466" s="24" t="s">
        <v>2000</v>
      </c>
      <c r="D466" s="23" t="s">
        <v>488</v>
      </c>
      <c r="E466" s="26" t="s">
        <v>91</v>
      </c>
      <c r="F466" s="74" t="s">
        <v>82</v>
      </c>
      <c r="G466" s="74" t="s">
        <v>943</v>
      </c>
      <c r="H466" s="75" t="n">
        <v>130.59</v>
      </c>
      <c r="I466" s="25"/>
      <c r="J466" s="58"/>
      <c r="K466" s="23" t="s">
        <v>2029</v>
      </c>
      <c r="L466" s="24"/>
      <c r="M466" s="24" t="s">
        <v>2030</v>
      </c>
      <c r="N466" s="26" t="s">
        <v>91</v>
      </c>
      <c r="O466" s="24"/>
      <c r="P466" s="24" t="s">
        <v>290</v>
      </c>
      <c r="Q466" s="24" t="s">
        <v>1380</v>
      </c>
      <c r="R466" s="73" t="s">
        <v>95</v>
      </c>
      <c r="S466" s="0" t="n">
        <f aca="false">IF(Recherche!$B$4="",0,IF(ISNUMBER(SEARCH(Recherche!$B$4,D466))+ISNUMBER(SEARCH(Recherche!$B$4,K466))&gt;0,1,0))</f>
        <v>0</v>
      </c>
      <c r="T466" s="0" t="str">
        <f aca="false">IF(S466=1,SUM($S$2:S466),"")</f>
        <v/>
      </c>
    </row>
    <row r="467" customFormat="false" ht="23.85" hidden="false" customHeight="false" outlineLevel="0" collapsed="false">
      <c r="A467" s="20" t="s">
        <v>2031</v>
      </c>
      <c r="B467" s="20" t="s">
        <v>60</v>
      </c>
      <c r="C467" s="20" t="s">
        <v>2032</v>
      </c>
      <c r="D467" s="19" t="s">
        <v>490</v>
      </c>
      <c r="E467" s="22" t="s">
        <v>137</v>
      </c>
      <c r="F467" s="74" t="s">
        <v>81</v>
      </c>
      <c r="G467" s="74" t="s">
        <v>979</v>
      </c>
      <c r="H467" s="75" t="n">
        <v>25.9</v>
      </c>
      <c r="I467" s="21" t="n">
        <v>27.19</v>
      </c>
      <c r="J467" s="52" t="n">
        <v>4.7</v>
      </c>
      <c r="K467" s="19" t="s">
        <v>2033</v>
      </c>
      <c r="L467" s="20" t="s">
        <v>2034</v>
      </c>
      <c r="M467" s="20" t="s">
        <v>2035</v>
      </c>
      <c r="N467" s="22" t="s">
        <v>91</v>
      </c>
      <c r="O467" s="20" t="s">
        <v>949</v>
      </c>
      <c r="P467" s="20" t="s">
        <v>119</v>
      </c>
      <c r="Q467" s="20" t="s">
        <v>1007</v>
      </c>
      <c r="R467" s="76" t="s">
        <v>95</v>
      </c>
      <c r="S467" s="0" t="n">
        <f aca="false">IF(Recherche!$B$4="",0,IF(ISNUMBER(SEARCH(Recherche!$B$4,D467))+ISNUMBER(SEARCH(Recherche!$B$4,K467))&gt;0,1,0))</f>
        <v>0</v>
      </c>
      <c r="T467" s="0" t="str">
        <f aca="false">IF(S467=1,SUM($S$2:S467),"")</f>
        <v/>
      </c>
    </row>
    <row r="468" customFormat="false" ht="15" hidden="false" customHeight="false" outlineLevel="0" collapsed="false">
      <c r="A468" s="24" t="s">
        <v>2031</v>
      </c>
      <c r="B468" s="24" t="s">
        <v>60</v>
      </c>
      <c r="C468" s="24" t="s">
        <v>2032</v>
      </c>
      <c r="D468" s="23" t="s">
        <v>490</v>
      </c>
      <c r="E468" s="26" t="s">
        <v>137</v>
      </c>
      <c r="F468" s="24" t="s">
        <v>76</v>
      </c>
      <c r="G468" s="24" t="s">
        <v>939</v>
      </c>
      <c r="H468" s="25" t="n">
        <v>79.4</v>
      </c>
      <c r="I468" s="25"/>
      <c r="J468" s="58"/>
      <c r="K468" s="23" t="s">
        <v>491</v>
      </c>
      <c r="L468" s="24" t="s">
        <v>2036</v>
      </c>
      <c r="M468" s="24" t="s">
        <v>2037</v>
      </c>
      <c r="N468" s="26" t="s">
        <v>137</v>
      </c>
      <c r="O468" s="24"/>
      <c r="P468" s="24" t="s">
        <v>93</v>
      </c>
      <c r="Q468" s="24" t="s">
        <v>1052</v>
      </c>
      <c r="R468" s="73" t="s">
        <v>95</v>
      </c>
      <c r="S468" s="0" t="n">
        <f aca="false">IF(Recherche!$B$4="",0,IF(ISNUMBER(SEARCH(Recherche!$B$4,D468))+ISNUMBER(SEARCH(Recherche!$B$4,K468))&gt;0,1,0))</f>
        <v>0</v>
      </c>
      <c r="T468" s="0" t="str">
        <f aca="false">IF(S468=1,SUM($S$2:S468),"")</f>
        <v/>
      </c>
    </row>
    <row r="469" customFormat="false" ht="23.85" hidden="false" customHeight="false" outlineLevel="0" collapsed="false">
      <c r="A469" s="20" t="s">
        <v>2038</v>
      </c>
      <c r="B469" s="20" t="s">
        <v>60</v>
      </c>
      <c r="C469" s="20" t="s">
        <v>2032</v>
      </c>
      <c r="D469" s="19" t="s">
        <v>492</v>
      </c>
      <c r="E469" s="22" t="s">
        <v>493</v>
      </c>
      <c r="F469" s="20" t="s">
        <v>76</v>
      </c>
      <c r="G469" s="20" t="s">
        <v>939</v>
      </c>
      <c r="H469" s="21" t="n">
        <v>8.64</v>
      </c>
      <c r="I469" s="21"/>
      <c r="J469" s="52"/>
      <c r="K469" s="19" t="s">
        <v>494</v>
      </c>
      <c r="L469" s="20" t="s">
        <v>2039</v>
      </c>
      <c r="M469" s="20" t="s">
        <v>2040</v>
      </c>
      <c r="N469" s="22" t="s">
        <v>493</v>
      </c>
      <c r="O469" s="20"/>
      <c r="P469" s="20" t="s">
        <v>93</v>
      </c>
      <c r="Q469" s="20" t="s">
        <v>963</v>
      </c>
      <c r="R469" s="76" t="s">
        <v>95</v>
      </c>
      <c r="S469" s="0" t="n">
        <f aca="false">IF(Recherche!$B$4="",0,IF(ISNUMBER(SEARCH(Recherche!$B$4,D469))+ISNUMBER(SEARCH(Recherche!$B$4,K469))&gt;0,1,0))</f>
        <v>0</v>
      </c>
      <c r="T469" s="0" t="str">
        <f aca="false">IF(S469=1,SUM($S$2:S469),"")</f>
        <v/>
      </c>
    </row>
    <row r="470" customFormat="false" ht="23.85" hidden="false" customHeight="false" outlineLevel="0" collapsed="false">
      <c r="A470" s="24" t="s">
        <v>2038</v>
      </c>
      <c r="B470" s="24" t="s">
        <v>60</v>
      </c>
      <c r="C470" s="24" t="s">
        <v>2032</v>
      </c>
      <c r="D470" s="23" t="s">
        <v>492</v>
      </c>
      <c r="E470" s="26" t="s">
        <v>493</v>
      </c>
      <c r="F470" s="74" t="s">
        <v>81</v>
      </c>
      <c r="G470" s="74" t="s">
        <v>979</v>
      </c>
      <c r="H470" s="75" t="n">
        <v>9.12</v>
      </c>
      <c r="I470" s="25" t="n">
        <v>9.6</v>
      </c>
      <c r="J470" s="58" t="n">
        <v>5</v>
      </c>
      <c r="K470" s="23" t="s">
        <v>2041</v>
      </c>
      <c r="L470" s="24" t="s">
        <v>2042</v>
      </c>
      <c r="M470" s="24" t="s">
        <v>2043</v>
      </c>
      <c r="N470" s="26" t="s">
        <v>1216</v>
      </c>
      <c r="O470" s="24" t="s">
        <v>1216</v>
      </c>
      <c r="P470" s="24" t="s">
        <v>119</v>
      </c>
      <c r="Q470" s="24" t="s">
        <v>1016</v>
      </c>
      <c r="R470" s="73" t="s">
        <v>95</v>
      </c>
      <c r="S470" s="0" t="n">
        <f aca="false">IF(Recherche!$B$4="",0,IF(ISNUMBER(SEARCH(Recherche!$B$4,D470))+ISNUMBER(SEARCH(Recherche!$B$4,K470))&gt;0,1,0))</f>
        <v>0</v>
      </c>
      <c r="T470" s="0" t="str">
        <f aca="false">IF(S470=1,SUM($S$2:S470),"")</f>
        <v/>
      </c>
    </row>
    <row r="471" customFormat="false" ht="23.85" hidden="false" customHeight="false" outlineLevel="0" collapsed="false">
      <c r="A471" s="20" t="s">
        <v>2038</v>
      </c>
      <c r="B471" s="20" t="s">
        <v>60</v>
      </c>
      <c r="C471" s="20" t="s">
        <v>2032</v>
      </c>
      <c r="D471" s="19" t="s">
        <v>492</v>
      </c>
      <c r="E471" s="22" t="s">
        <v>493</v>
      </c>
      <c r="F471" s="74" t="s">
        <v>77</v>
      </c>
      <c r="G471" s="74" t="s">
        <v>979</v>
      </c>
      <c r="H471" s="75" t="n">
        <v>69.69</v>
      </c>
      <c r="I471" s="21" t="n">
        <v>89.35</v>
      </c>
      <c r="J471" s="52" t="n">
        <v>22</v>
      </c>
      <c r="K471" s="19" t="s">
        <v>2044</v>
      </c>
      <c r="L471" s="20" t="s">
        <v>1121</v>
      </c>
      <c r="M471" s="20" t="s">
        <v>2045</v>
      </c>
      <c r="N471" s="22" t="s">
        <v>91</v>
      </c>
      <c r="O471" s="20"/>
      <c r="P471" s="20" t="s">
        <v>114</v>
      </c>
      <c r="Q471" s="20" t="s">
        <v>983</v>
      </c>
      <c r="R471" s="76"/>
      <c r="S471" s="0" t="n">
        <f aca="false">IF(Recherche!$B$4="",0,IF(ISNUMBER(SEARCH(Recherche!$B$4,D471))+ISNUMBER(SEARCH(Recherche!$B$4,K471))&gt;0,1,0))</f>
        <v>0</v>
      </c>
      <c r="T471" s="0" t="str">
        <f aca="false">IF(S471=1,SUM($S$2:S471),"")</f>
        <v/>
      </c>
    </row>
    <row r="472" customFormat="false" ht="23.85" hidden="false" customHeight="false" outlineLevel="0" collapsed="false">
      <c r="A472" s="24" t="s">
        <v>2046</v>
      </c>
      <c r="B472" s="24" t="s">
        <v>60</v>
      </c>
      <c r="C472" s="24" t="s">
        <v>2032</v>
      </c>
      <c r="D472" s="23" t="s">
        <v>495</v>
      </c>
      <c r="E472" s="26" t="s">
        <v>203</v>
      </c>
      <c r="F472" s="24" t="s">
        <v>76</v>
      </c>
      <c r="G472" s="24" t="s">
        <v>939</v>
      </c>
      <c r="H472" s="25" t="n">
        <v>24.74</v>
      </c>
      <c r="I472" s="25"/>
      <c r="J472" s="58"/>
      <c r="K472" s="23" t="s">
        <v>496</v>
      </c>
      <c r="L472" s="24" t="s">
        <v>2047</v>
      </c>
      <c r="M472" s="24" t="s">
        <v>2048</v>
      </c>
      <c r="N472" s="26" t="s">
        <v>203</v>
      </c>
      <c r="O472" s="24"/>
      <c r="P472" s="24" t="s">
        <v>93</v>
      </c>
      <c r="Q472" s="24" t="s">
        <v>1085</v>
      </c>
      <c r="R472" s="73" t="s">
        <v>95</v>
      </c>
      <c r="S472" s="0" t="n">
        <f aca="false">IF(Recherche!$B$4="",0,IF(ISNUMBER(SEARCH(Recherche!$B$4,D472))+ISNUMBER(SEARCH(Recherche!$B$4,K472))&gt;0,1,0))</f>
        <v>0</v>
      </c>
      <c r="T472" s="0" t="str">
        <f aca="false">IF(S472=1,SUM($S$2:S472),"")</f>
        <v/>
      </c>
    </row>
    <row r="473" customFormat="false" ht="15" hidden="false" customHeight="false" outlineLevel="0" collapsed="false">
      <c r="A473" s="20" t="s">
        <v>2046</v>
      </c>
      <c r="B473" s="20" t="s">
        <v>60</v>
      </c>
      <c r="C473" s="20" t="s">
        <v>2032</v>
      </c>
      <c r="D473" s="19" t="s">
        <v>495</v>
      </c>
      <c r="E473" s="22" t="s">
        <v>203</v>
      </c>
      <c r="F473" s="74" t="s">
        <v>81</v>
      </c>
      <c r="G473" s="74" t="s">
        <v>979</v>
      </c>
      <c r="H473" s="75" t="n">
        <v>143.07</v>
      </c>
      <c r="I473" s="21" t="n">
        <v>150.12</v>
      </c>
      <c r="J473" s="52" t="n">
        <v>4.7</v>
      </c>
      <c r="K473" s="19" t="s">
        <v>2049</v>
      </c>
      <c r="L473" s="20" t="s">
        <v>2050</v>
      </c>
      <c r="M473" s="20" t="s">
        <v>2051</v>
      </c>
      <c r="N473" s="22" t="s">
        <v>1216</v>
      </c>
      <c r="O473" s="20" t="s">
        <v>1216</v>
      </c>
      <c r="P473" s="20" t="s">
        <v>119</v>
      </c>
      <c r="Q473" s="20" t="s">
        <v>1007</v>
      </c>
      <c r="R473" s="76" t="s">
        <v>95</v>
      </c>
      <c r="S473" s="0" t="n">
        <f aca="false">IF(Recherche!$B$4="",0,IF(ISNUMBER(SEARCH(Recherche!$B$4,D473))+ISNUMBER(SEARCH(Recherche!$B$4,K473))&gt;0,1,0))</f>
        <v>0</v>
      </c>
      <c r="T473" s="0" t="str">
        <f aca="false">IF(S473=1,SUM($S$2:S473),"")</f>
        <v/>
      </c>
    </row>
    <row r="474" customFormat="false" ht="23.85" hidden="false" customHeight="false" outlineLevel="0" collapsed="false">
      <c r="A474" s="24" t="s">
        <v>2052</v>
      </c>
      <c r="B474" s="24" t="s">
        <v>60</v>
      </c>
      <c r="C474" s="24" t="s">
        <v>2032</v>
      </c>
      <c r="D474" s="23" t="s">
        <v>497</v>
      </c>
      <c r="E474" s="26" t="s">
        <v>91</v>
      </c>
      <c r="F474" s="24" t="s">
        <v>76</v>
      </c>
      <c r="G474" s="24" t="s">
        <v>939</v>
      </c>
      <c r="H474" s="25" t="n">
        <v>1.51</v>
      </c>
      <c r="I474" s="25"/>
      <c r="J474" s="58"/>
      <c r="K474" s="23" t="s">
        <v>498</v>
      </c>
      <c r="L474" s="24" t="s">
        <v>1761</v>
      </c>
      <c r="M474" s="24" t="s">
        <v>2053</v>
      </c>
      <c r="N474" s="26" t="s">
        <v>91</v>
      </c>
      <c r="O474" s="24"/>
      <c r="P474" s="24" t="s">
        <v>93</v>
      </c>
      <c r="Q474" s="24" t="s">
        <v>942</v>
      </c>
      <c r="R474" s="73" t="s">
        <v>95</v>
      </c>
      <c r="S474" s="0" t="n">
        <f aca="false">IF(Recherche!$B$4="",0,IF(ISNUMBER(SEARCH(Recherche!$B$4,D474))+ISNUMBER(SEARCH(Recherche!$B$4,K474))&gt;0,1,0))</f>
        <v>0</v>
      </c>
      <c r="T474" s="0" t="str">
        <f aca="false">IF(S474=1,SUM($S$2:S474),"")</f>
        <v/>
      </c>
    </row>
    <row r="475" customFormat="false" ht="23.85" hidden="false" customHeight="false" outlineLevel="0" collapsed="false">
      <c r="A475" s="20" t="s">
        <v>2052</v>
      </c>
      <c r="B475" s="20" t="s">
        <v>60</v>
      </c>
      <c r="C475" s="20" t="s">
        <v>2032</v>
      </c>
      <c r="D475" s="19" t="s">
        <v>497</v>
      </c>
      <c r="E475" s="22" t="s">
        <v>91</v>
      </c>
      <c r="F475" s="20" t="s">
        <v>80</v>
      </c>
      <c r="G475" s="20" t="s">
        <v>939</v>
      </c>
      <c r="H475" s="21" t="n">
        <v>1.61</v>
      </c>
      <c r="I475" s="21"/>
      <c r="J475" s="52"/>
      <c r="K475" s="19" t="s">
        <v>2054</v>
      </c>
      <c r="L475" s="20"/>
      <c r="M475" s="20" t="s">
        <v>2055</v>
      </c>
      <c r="N475" s="22" t="s">
        <v>91</v>
      </c>
      <c r="O475" s="20"/>
      <c r="P475" s="20" t="s">
        <v>303</v>
      </c>
      <c r="Q475" s="20" t="s">
        <v>942</v>
      </c>
      <c r="R475" s="76" t="s">
        <v>95</v>
      </c>
      <c r="S475" s="0" t="n">
        <f aca="false">IF(Recherche!$B$4="",0,IF(ISNUMBER(SEARCH(Recherche!$B$4,D475))+ISNUMBER(SEARCH(Recherche!$B$4,K475))&gt;0,1,0))</f>
        <v>0</v>
      </c>
      <c r="T475" s="0" t="str">
        <f aca="false">IF(S475=1,SUM($S$2:S475),"")</f>
        <v/>
      </c>
    </row>
    <row r="476" customFormat="false" ht="23.85" hidden="false" customHeight="false" outlineLevel="0" collapsed="false">
      <c r="A476" s="24" t="s">
        <v>2052</v>
      </c>
      <c r="B476" s="24" t="s">
        <v>60</v>
      </c>
      <c r="C476" s="24" t="s">
        <v>2032</v>
      </c>
      <c r="D476" s="23" t="s">
        <v>497</v>
      </c>
      <c r="E476" s="26" t="s">
        <v>91</v>
      </c>
      <c r="F476" s="74" t="s">
        <v>81</v>
      </c>
      <c r="G476" s="74" t="s">
        <v>979</v>
      </c>
      <c r="H476" s="75" t="n">
        <v>2.18</v>
      </c>
      <c r="I476" s="25" t="n">
        <v>2.29</v>
      </c>
      <c r="J476" s="58" t="n">
        <v>4.8</v>
      </c>
      <c r="K476" s="23" t="s">
        <v>2056</v>
      </c>
      <c r="L476" s="24" t="s">
        <v>2057</v>
      </c>
      <c r="M476" s="24" t="s">
        <v>2058</v>
      </c>
      <c r="N476" s="26" t="s">
        <v>91</v>
      </c>
      <c r="O476" s="24" t="s">
        <v>949</v>
      </c>
      <c r="P476" s="24" t="s">
        <v>119</v>
      </c>
      <c r="Q476" s="24" t="s">
        <v>1007</v>
      </c>
      <c r="R476" s="73" t="s">
        <v>95</v>
      </c>
      <c r="S476" s="0" t="n">
        <f aca="false">IF(Recherche!$B$4="",0,IF(ISNUMBER(SEARCH(Recherche!$B$4,D476))+ISNUMBER(SEARCH(Recherche!$B$4,K476))&gt;0,1,0))</f>
        <v>0</v>
      </c>
      <c r="T476" s="0" t="str">
        <f aca="false">IF(S476=1,SUM($S$2:S476),"")</f>
        <v/>
      </c>
    </row>
    <row r="477" customFormat="false" ht="23.85" hidden="false" customHeight="false" outlineLevel="0" collapsed="false">
      <c r="A477" s="20" t="s">
        <v>2059</v>
      </c>
      <c r="B477" s="20" t="s">
        <v>60</v>
      </c>
      <c r="C477" s="20" t="s">
        <v>2032</v>
      </c>
      <c r="D477" s="19" t="s">
        <v>499</v>
      </c>
      <c r="E477" s="22" t="s">
        <v>500</v>
      </c>
      <c r="F477" s="20" t="s">
        <v>80</v>
      </c>
      <c r="G477" s="20" t="s">
        <v>939</v>
      </c>
      <c r="H477" s="21" t="n">
        <v>11.7</v>
      </c>
      <c r="I477" s="21"/>
      <c r="J477" s="52"/>
      <c r="K477" s="19" t="s">
        <v>2060</v>
      </c>
      <c r="L477" s="20"/>
      <c r="M477" s="20" t="s">
        <v>2061</v>
      </c>
      <c r="N477" s="22" t="s">
        <v>91</v>
      </c>
      <c r="O477" s="20"/>
      <c r="P477" s="20" t="s">
        <v>303</v>
      </c>
      <c r="Q477" s="20" t="s">
        <v>963</v>
      </c>
      <c r="R477" s="76" t="s">
        <v>95</v>
      </c>
      <c r="S477" s="0" t="n">
        <f aca="false">IF(Recherche!$B$4="",0,IF(ISNUMBER(SEARCH(Recherche!$B$4,D477))+ISNUMBER(SEARCH(Recherche!$B$4,K477))&gt;0,1,0))</f>
        <v>0</v>
      </c>
      <c r="T477" s="0" t="str">
        <f aca="false">IF(S477=1,SUM($S$2:S477),"")</f>
        <v/>
      </c>
    </row>
    <row r="478" customFormat="false" ht="15" hidden="false" customHeight="false" outlineLevel="0" collapsed="false">
      <c r="A478" s="24" t="s">
        <v>2059</v>
      </c>
      <c r="B478" s="24" t="s">
        <v>60</v>
      </c>
      <c r="C478" s="24" t="s">
        <v>2032</v>
      </c>
      <c r="D478" s="23" t="s">
        <v>499</v>
      </c>
      <c r="E478" s="26" t="s">
        <v>500</v>
      </c>
      <c r="F478" s="74" t="s">
        <v>81</v>
      </c>
      <c r="G478" s="74" t="s">
        <v>979</v>
      </c>
      <c r="H478" s="75" t="n">
        <v>14.31</v>
      </c>
      <c r="I478" s="25" t="n">
        <v>15.01</v>
      </c>
      <c r="J478" s="58" t="n">
        <v>4.7</v>
      </c>
      <c r="K478" s="23" t="s">
        <v>2062</v>
      </c>
      <c r="L478" s="24" t="s">
        <v>2063</v>
      </c>
      <c r="M478" s="24" t="s">
        <v>2064</v>
      </c>
      <c r="N478" s="26" t="s">
        <v>91</v>
      </c>
      <c r="O478" s="24" t="s">
        <v>949</v>
      </c>
      <c r="P478" s="24" t="s">
        <v>119</v>
      </c>
      <c r="Q478" s="24" t="s">
        <v>1016</v>
      </c>
      <c r="R478" s="73" t="s">
        <v>95</v>
      </c>
      <c r="S478" s="0" t="n">
        <f aca="false">IF(Recherche!$B$4="",0,IF(ISNUMBER(SEARCH(Recherche!$B$4,D478))+ISNUMBER(SEARCH(Recherche!$B$4,K478))&gt;0,1,0))</f>
        <v>0</v>
      </c>
      <c r="T478" s="0" t="str">
        <f aca="false">IF(S478=1,SUM($S$2:S478),"")</f>
        <v/>
      </c>
    </row>
    <row r="479" customFormat="false" ht="15" hidden="false" customHeight="false" outlineLevel="0" collapsed="false">
      <c r="A479" s="20" t="s">
        <v>2059</v>
      </c>
      <c r="B479" s="20" t="s">
        <v>60</v>
      </c>
      <c r="C479" s="20" t="s">
        <v>2032</v>
      </c>
      <c r="D479" s="19" t="s">
        <v>499</v>
      </c>
      <c r="E479" s="22" t="s">
        <v>500</v>
      </c>
      <c r="F479" s="74" t="s">
        <v>82</v>
      </c>
      <c r="G479" s="74" t="s">
        <v>943</v>
      </c>
      <c r="H479" s="75" t="n">
        <v>32</v>
      </c>
      <c r="I479" s="21"/>
      <c r="J479" s="52"/>
      <c r="K479" s="19" t="s">
        <v>2065</v>
      </c>
      <c r="L479" s="20"/>
      <c r="M479" s="20" t="s">
        <v>2066</v>
      </c>
      <c r="N479" s="22" t="s">
        <v>91</v>
      </c>
      <c r="O479" s="20"/>
      <c r="P479" s="20" t="s">
        <v>290</v>
      </c>
      <c r="Q479" s="20" t="s">
        <v>1016</v>
      </c>
      <c r="R479" s="76" t="s">
        <v>95</v>
      </c>
      <c r="S479" s="0" t="n">
        <f aca="false">IF(Recherche!$B$4="",0,IF(ISNUMBER(SEARCH(Recherche!$B$4,D479))+ISNUMBER(SEARCH(Recherche!$B$4,K479))&gt;0,1,0))</f>
        <v>0</v>
      </c>
      <c r="T479" s="0" t="str">
        <f aca="false">IF(S479=1,SUM($S$2:S479),"")</f>
        <v/>
      </c>
    </row>
    <row r="480" customFormat="false" ht="15" hidden="false" customHeight="false" outlineLevel="0" collapsed="false">
      <c r="A480" s="24" t="s">
        <v>2059</v>
      </c>
      <c r="B480" s="24" t="s">
        <v>60</v>
      </c>
      <c r="C480" s="24" t="s">
        <v>2032</v>
      </c>
      <c r="D480" s="23" t="s">
        <v>499</v>
      </c>
      <c r="E480" s="26" t="s">
        <v>500</v>
      </c>
      <c r="F480" s="24" t="s">
        <v>76</v>
      </c>
      <c r="G480" s="24" t="s">
        <v>939</v>
      </c>
      <c r="H480" s="25" t="n">
        <v>52.41</v>
      </c>
      <c r="I480" s="25"/>
      <c r="J480" s="58"/>
      <c r="K480" s="23" t="s">
        <v>501</v>
      </c>
      <c r="L480" s="24" t="s">
        <v>2067</v>
      </c>
      <c r="M480" s="24" t="s">
        <v>2068</v>
      </c>
      <c r="N480" s="26" t="s">
        <v>500</v>
      </c>
      <c r="O480" s="24"/>
      <c r="P480" s="24" t="s">
        <v>93</v>
      </c>
      <c r="Q480" s="24" t="s">
        <v>963</v>
      </c>
      <c r="R480" s="73" t="s">
        <v>95</v>
      </c>
      <c r="S480" s="0" t="n">
        <f aca="false">IF(Recherche!$B$4="",0,IF(ISNUMBER(SEARCH(Recherche!$B$4,D480))+ISNUMBER(SEARCH(Recherche!$B$4,K480))&gt;0,1,0))</f>
        <v>0</v>
      </c>
      <c r="T480" s="0" t="str">
        <f aca="false">IF(S480=1,SUM($S$2:S480),"")</f>
        <v/>
      </c>
    </row>
    <row r="481" customFormat="false" ht="15" hidden="false" customHeight="false" outlineLevel="0" collapsed="false">
      <c r="A481" s="20" t="s">
        <v>2069</v>
      </c>
      <c r="B481" s="20" t="s">
        <v>61</v>
      </c>
      <c r="C481" s="20" t="s">
        <v>2070</v>
      </c>
      <c r="D481" s="19" t="s">
        <v>502</v>
      </c>
      <c r="E481" s="22" t="s">
        <v>91</v>
      </c>
      <c r="F481" s="20" t="s">
        <v>76</v>
      </c>
      <c r="G481" s="20" t="s">
        <v>939</v>
      </c>
      <c r="H481" s="21" t="n">
        <v>4.7</v>
      </c>
      <c r="I481" s="21"/>
      <c r="J481" s="52"/>
      <c r="K481" s="19" t="s">
        <v>503</v>
      </c>
      <c r="L481" s="20" t="s">
        <v>2071</v>
      </c>
      <c r="M481" s="20" t="s">
        <v>2072</v>
      </c>
      <c r="N481" s="22" t="s">
        <v>91</v>
      </c>
      <c r="O481" s="20"/>
      <c r="P481" s="20" t="s">
        <v>93</v>
      </c>
      <c r="Q481" s="20" t="s">
        <v>963</v>
      </c>
      <c r="R481" s="76" t="s">
        <v>95</v>
      </c>
      <c r="S481" s="0" t="n">
        <f aca="false">IF(Recherche!$B$4="",0,IF(ISNUMBER(SEARCH(Recherche!$B$4,D481))+ISNUMBER(SEARCH(Recherche!$B$4,K481))&gt;0,1,0))</f>
        <v>0</v>
      </c>
      <c r="T481" s="0" t="str">
        <f aca="false">IF(S481=1,SUM($S$2:S481),"")</f>
        <v/>
      </c>
    </row>
    <row r="482" customFormat="false" ht="15" hidden="false" customHeight="false" outlineLevel="0" collapsed="false">
      <c r="A482" s="24" t="s">
        <v>2073</v>
      </c>
      <c r="B482" s="24" t="s">
        <v>61</v>
      </c>
      <c r="C482" s="24" t="s">
        <v>2070</v>
      </c>
      <c r="D482" s="23" t="s">
        <v>504</v>
      </c>
      <c r="E482" s="26" t="s">
        <v>91</v>
      </c>
      <c r="F482" s="24" t="s">
        <v>76</v>
      </c>
      <c r="G482" s="24" t="s">
        <v>939</v>
      </c>
      <c r="H482" s="25" t="n">
        <v>100.43</v>
      </c>
      <c r="I482" s="25"/>
      <c r="J482" s="58"/>
      <c r="K482" s="23" t="s">
        <v>505</v>
      </c>
      <c r="L482" s="24" t="s">
        <v>1293</v>
      </c>
      <c r="M482" s="24" t="s">
        <v>2074</v>
      </c>
      <c r="N482" s="26" t="s">
        <v>91</v>
      </c>
      <c r="O482" s="24"/>
      <c r="P482" s="24" t="s">
        <v>93</v>
      </c>
      <c r="Q482" s="24" t="s">
        <v>942</v>
      </c>
      <c r="R482" s="73" t="s">
        <v>95</v>
      </c>
      <c r="S482" s="0" t="n">
        <f aca="false">IF(Recherche!$B$4="",0,IF(ISNUMBER(SEARCH(Recherche!$B$4,D482))+ISNUMBER(SEARCH(Recherche!$B$4,K482))&gt;0,1,0))</f>
        <v>0</v>
      </c>
      <c r="T482" s="0" t="str">
        <f aca="false">IF(S482=1,SUM($S$2:S482),"")</f>
        <v/>
      </c>
    </row>
    <row r="483" customFormat="false" ht="15" hidden="false" customHeight="false" outlineLevel="0" collapsed="false">
      <c r="A483" s="20" t="s">
        <v>2073</v>
      </c>
      <c r="B483" s="20" t="s">
        <v>61</v>
      </c>
      <c r="C483" s="20" t="s">
        <v>2070</v>
      </c>
      <c r="D483" s="19" t="s">
        <v>504</v>
      </c>
      <c r="E483" s="22" t="s">
        <v>91</v>
      </c>
      <c r="F483" s="74" t="s">
        <v>82</v>
      </c>
      <c r="G483" s="74" t="s">
        <v>943</v>
      </c>
      <c r="H483" s="75" t="n">
        <v>153.33</v>
      </c>
      <c r="I483" s="21"/>
      <c r="J483" s="52"/>
      <c r="K483" s="19" t="s">
        <v>2075</v>
      </c>
      <c r="L483" s="20"/>
      <c r="M483" s="20" t="s">
        <v>2076</v>
      </c>
      <c r="N483" s="22" t="s">
        <v>91</v>
      </c>
      <c r="O483" s="20"/>
      <c r="P483" s="20" t="s">
        <v>290</v>
      </c>
      <c r="Q483" s="20" t="s">
        <v>1016</v>
      </c>
      <c r="R483" s="76" t="s">
        <v>95</v>
      </c>
      <c r="S483" s="0" t="n">
        <f aca="false">IF(Recherche!$B$4="",0,IF(ISNUMBER(SEARCH(Recherche!$B$4,D483))+ISNUMBER(SEARCH(Recherche!$B$4,K483))&gt;0,1,0))</f>
        <v>0</v>
      </c>
      <c r="T483" s="0" t="str">
        <f aca="false">IF(S483=1,SUM($S$2:S483),"")</f>
        <v/>
      </c>
    </row>
    <row r="484" customFormat="false" ht="15" hidden="false" customHeight="false" outlineLevel="0" collapsed="false">
      <c r="A484" s="24" t="s">
        <v>2077</v>
      </c>
      <c r="B484" s="24" t="s">
        <v>61</v>
      </c>
      <c r="C484" s="24" t="s">
        <v>2070</v>
      </c>
      <c r="D484" s="23" t="s">
        <v>506</v>
      </c>
      <c r="E484" s="26" t="s">
        <v>91</v>
      </c>
      <c r="F484" s="24" t="s">
        <v>76</v>
      </c>
      <c r="G484" s="24" t="s">
        <v>939</v>
      </c>
      <c r="H484" s="25" t="n">
        <v>4.7</v>
      </c>
      <c r="I484" s="25"/>
      <c r="J484" s="58"/>
      <c r="K484" s="23" t="s">
        <v>503</v>
      </c>
      <c r="L484" s="24" t="s">
        <v>2071</v>
      </c>
      <c r="M484" s="24" t="s">
        <v>2072</v>
      </c>
      <c r="N484" s="26" t="s">
        <v>91</v>
      </c>
      <c r="O484" s="24"/>
      <c r="P484" s="24" t="s">
        <v>93</v>
      </c>
      <c r="Q484" s="24" t="s">
        <v>963</v>
      </c>
      <c r="R484" s="73" t="s">
        <v>95</v>
      </c>
      <c r="S484" s="0" t="n">
        <f aca="false">IF(Recherche!$B$4="",0,IF(ISNUMBER(SEARCH(Recherche!$B$4,D484))+ISNUMBER(SEARCH(Recherche!$B$4,K484))&gt;0,1,0))</f>
        <v>0</v>
      </c>
      <c r="T484" s="0" t="str">
        <f aca="false">IF(S484=1,SUM($S$2:S484),"")</f>
        <v/>
      </c>
    </row>
    <row r="485" customFormat="false" ht="15" hidden="false" customHeight="false" outlineLevel="0" collapsed="false">
      <c r="A485" s="20" t="s">
        <v>2077</v>
      </c>
      <c r="B485" s="20" t="s">
        <v>61</v>
      </c>
      <c r="C485" s="20" t="s">
        <v>2070</v>
      </c>
      <c r="D485" s="19" t="s">
        <v>506</v>
      </c>
      <c r="E485" s="22" t="s">
        <v>91</v>
      </c>
      <c r="F485" s="74" t="s">
        <v>82</v>
      </c>
      <c r="G485" s="74" t="s">
        <v>943</v>
      </c>
      <c r="H485" s="75" t="n">
        <v>24.83</v>
      </c>
      <c r="I485" s="21"/>
      <c r="J485" s="52"/>
      <c r="K485" s="19" t="s">
        <v>2078</v>
      </c>
      <c r="L485" s="20"/>
      <c r="M485" s="20" t="s">
        <v>2079</v>
      </c>
      <c r="N485" s="22" t="s">
        <v>91</v>
      </c>
      <c r="O485" s="20"/>
      <c r="P485" s="20" t="s">
        <v>290</v>
      </c>
      <c r="Q485" s="20" t="s">
        <v>1380</v>
      </c>
      <c r="R485" s="76" t="s">
        <v>95</v>
      </c>
      <c r="S485" s="0" t="n">
        <f aca="false">IF(Recherche!$B$4="",0,IF(ISNUMBER(SEARCH(Recherche!$B$4,D485))+ISNUMBER(SEARCH(Recherche!$B$4,K485))&gt;0,1,0))</f>
        <v>0</v>
      </c>
      <c r="T485" s="0" t="str">
        <f aca="false">IF(S485=1,SUM($S$2:S485),"")</f>
        <v/>
      </c>
    </row>
    <row r="486" customFormat="false" ht="15" hidden="false" customHeight="false" outlineLevel="0" collapsed="false">
      <c r="A486" s="24" t="s">
        <v>2080</v>
      </c>
      <c r="B486" s="24" t="s">
        <v>61</v>
      </c>
      <c r="C486" s="24" t="s">
        <v>2081</v>
      </c>
      <c r="D486" s="23" t="s">
        <v>507</v>
      </c>
      <c r="E486" s="26" t="s">
        <v>91</v>
      </c>
      <c r="F486" s="74" t="s">
        <v>77</v>
      </c>
      <c r="G486" s="74" t="s">
        <v>979</v>
      </c>
      <c r="H486" s="75" t="n">
        <v>54.97</v>
      </c>
      <c r="I486" s="25" t="n">
        <v>78.53</v>
      </c>
      <c r="J486" s="58" t="n">
        <v>30</v>
      </c>
      <c r="K486" s="23" t="s">
        <v>508</v>
      </c>
      <c r="L486" s="24" t="s">
        <v>1121</v>
      </c>
      <c r="M486" s="24" t="s">
        <v>2082</v>
      </c>
      <c r="N486" s="26" t="s">
        <v>91</v>
      </c>
      <c r="O486" s="24"/>
      <c r="P486" s="24" t="s">
        <v>114</v>
      </c>
      <c r="Q486" s="24" t="s">
        <v>983</v>
      </c>
      <c r="R486" s="73"/>
      <c r="S486" s="0" t="n">
        <f aca="false">IF(Recherche!$B$4="",0,IF(ISNUMBER(SEARCH(Recherche!$B$4,D486))+ISNUMBER(SEARCH(Recherche!$B$4,K486))&gt;0,1,0))</f>
        <v>0</v>
      </c>
      <c r="T486" s="0" t="str">
        <f aca="false">IF(S486=1,SUM($S$2:S486),"")</f>
        <v/>
      </c>
    </row>
    <row r="487" customFormat="false" ht="15" hidden="false" customHeight="false" outlineLevel="0" collapsed="false">
      <c r="A487" s="20" t="s">
        <v>2083</v>
      </c>
      <c r="B487" s="20" t="s">
        <v>61</v>
      </c>
      <c r="C487" s="20" t="s">
        <v>2081</v>
      </c>
      <c r="D487" s="19" t="s">
        <v>509</v>
      </c>
      <c r="E487" s="22" t="s">
        <v>91</v>
      </c>
      <c r="F487" s="74" t="s">
        <v>82</v>
      </c>
      <c r="G487" s="74" t="s">
        <v>943</v>
      </c>
      <c r="H487" s="75" t="n">
        <v>106.67</v>
      </c>
      <c r="I487" s="21"/>
      <c r="J487" s="52"/>
      <c r="K487" s="19" t="s">
        <v>510</v>
      </c>
      <c r="L487" s="20"/>
      <c r="M487" s="20" t="s">
        <v>2084</v>
      </c>
      <c r="N487" s="22" t="s">
        <v>91</v>
      </c>
      <c r="O487" s="20"/>
      <c r="P487" s="20" t="s">
        <v>290</v>
      </c>
      <c r="Q487" s="20" t="s">
        <v>1380</v>
      </c>
      <c r="R487" s="76" t="s">
        <v>95</v>
      </c>
      <c r="S487" s="0" t="n">
        <f aca="false">IF(Recherche!$B$4="",0,IF(ISNUMBER(SEARCH(Recherche!$B$4,D487))+ISNUMBER(SEARCH(Recherche!$B$4,K487))&gt;0,1,0))</f>
        <v>0</v>
      </c>
      <c r="T487" s="0" t="str">
        <f aca="false">IF(S487=1,SUM($S$2:S487),"")</f>
        <v/>
      </c>
    </row>
    <row r="488" customFormat="false" ht="15" hidden="false" customHeight="false" outlineLevel="0" collapsed="false">
      <c r="A488" s="24" t="s">
        <v>2083</v>
      </c>
      <c r="B488" s="24" t="s">
        <v>61</v>
      </c>
      <c r="C488" s="24" t="s">
        <v>2081</v>
      </c>
      <c r="D488" s="23" t="s">
        <v>509</v>
      </c>
      <c r="E488" s="26" t="s">
        <v>91</v>
      </c>
      <c r="F488" s="74" t="s">
        <v>77</v>
      </c>
      <c r="G488" s="74" t="s">
        <v>979</v>
      </c>
      <c r="H488" s="75" t="n">
        <v>288.79</v>
      </c>
      <c r="I488" s="25" t="n">
        <v>335.8</v>
      </c>
      <c r="J488" s="58" t="n">
        <v>14</v>
      </c>
      <c r="K488" s="23" t="s">
        <v>2085</v>
      </c>
      <c r="L488" s="24" t="s">
        <v>2086</v>
      </c>
      <c r="M488" s="24" t="s">
        <v>2087</v>
      </c>
      <c r="N488" s="26" t="s">
        <v>91</v>
      </c>
      <c r="O488" s="24"/>
      <c r="P488" s="24" t="s">
        <v>114</v>
      </c>
      <c r="Q488" s="24" t="s">
        <v>983</v>
      </c>
      <c r="R488" s="73"/>
      <c r="S488" s="0" t="n">
        <f aca="false">IF(Recherche!$B$4="",0,IF(ISNUMBER(SEARCH(Recherche!$B$4,D488))+ISNUMBER(SEARCH(Recherche!$B$4,K488))&gt;0,1,0))</f>
        <v>0</v>
      </c>
      <c r="T488" s="0" t="str">
        <f aca="false">IF(S488=1,SUM($S$2:S488),"")</f>
        <v/>
      </c>
    </row>
    <row r="489" customFormat="false" ht="23.85" hidden="false" customHeight="false" outlineLevel="0" collapsed="false">
      <c r="A489" s="20" t="s">
        <v>2088</v>
      </c>
      <c r="B489" s="20" t="s">
        <v>61</v>
      </c>
      <c r="C489" s="20" t="s">
        <v>2081</v>
      </c>
      <c r="D489" s="19" t="s">
        <v>511</v>
      </c>
      <c r="E489" s="22" t="s">
        <v>91</v>
      </c>
      <c r="F489" s="20" t="s">
        <v>76</v>
      </c>
      <c r="G489" s="20" t="s">
        <v>939</v>
      </c>
      <c r="H489" s="21" t="n">
        <v>3.93</v>
      </c>
      <c r="I489" s="21"/>
      <c r="J489" s="52"/>
      <c r="K489" s="19" t="s">
        <v>512</v>
      </c>
      <c r="L489" s="20" t="s">
        <v>2089</v>
      </c>
      <c r="M489" s="20" t="s">
        <v>2090</v>
      </c>
      <c r="N489" s="22" t="s">
        <v>91</v>
      </c>
      <c r="O489" s="20"/>
      <c r="P489" s="20" t="s">
        <v>93</v>
      </c>
      <c r="Q489" s="20" t="s">
        <v>963</v>
      </c>
      <c r="R489" s="76" t="s">
        <v>95</v>
      </c>
      <c r="S489" s="0" t="n">
        <f aca="false">IF(Recherche!$B$4="",0,IF(ISNUMBER(SEARCH(Recherche!$B$4,D489))+ISNUMBER(SEARCH(Recherche!$B$4,K489))&gt;0,1,0))</f>
        <v>0</v>
      </c>
      <c r="T489" s="0" t="str">
        <f aca="false">IF(S489=1,SUM($S$2:S489),"")</f>
        <v/>
      </c>
    </row>
    <row r="490" customFormat="false" ht="23.85" hidden="false" customHeight="false" outlineLevel="0" collapsed="false">
      <c r="A490" s="24" t="s">
        <v>2088</v>
      </c>
      <c r="B490" s="24" t="s">
        <v>61</v>
      </c>
      <c r="C490" s="24" t="s">
        <v>2081</v>
      </c>
      <c r="D490" s="23" t="s">
        <v>511</v>
      </c>
      <c r="E490" s="26" t="s">
        <v>91</v>
      </c>
      <c r="F490" s="74" t="s">
        <v>77</v>
      </c>
      <c r="G490" s="74" t="s">
        <v>979</v>
      </c>
      <c r="H490" s="75" t="n">
        <v>64.21</v>
      </c>
      <c r="I490" s="25" t="n">
        <v>72.15</v>
      </c>
      <c r="J490" s="58" t="n">
        <v>11</v>
      </c>
      <c r="K490" s="23" t="s">
        <v>2091</v>
      </c>
      <c r="L490" s="24" t="s">
        <v>981</v>
      </c>
      <c r="M490" s="24" t="s">
        <v>2092</v>
      </c>
      <c r="N490" s="26" t="s">
        <v>91</v>
      </c>
      <c r="O490" s="24"/>
      <c r="P490" s="24" t="s">
        <v>114</v>
      </c>
      <c r="Q490" s="24" t="s">
        <v>983</v>
      </c>
      <c r="R490" s="73"/>
      <c r="S490" s="0" t="n">
        <f aca="false">IF(Recherche!$B$4="",0,IF(ISNUMBER(SEARCH(Recherche!$B$4,D490))+ISNUMBER(SEARCH(Recherche!$B$4,K490))&gt;0,1,0))</f>
        <v>0</v>
      </c>
      <c r="T490" s="0" t="str">
        <f aca="false">IF(S490=1,SUM($S$2:S490),"")</f>
        <v/>
      </c>
    </row>
    <row r="491" customFormat="false" ht="15" hidden="false" customHeight="false" outlineLevel="0" collapsed="false">
      <c r="A491" s="20" t="s">
        <v>2088</v>
      </c>
      <c r="B491" s="20" t="s">
        <v>61</v>
      </c>
      <c r="C491" s="20" t="s">
        <v>2081</v>
      </c>
      <c r="D491" s="19" t="s">
        <v>511</v>
      </c>
      <c r="E491" s="22" t="s">
        <v>91</v>
      </c>
      <c r="F491" s="74" t="s">
        <v>82</v>
      </c>
      <c r="G491" s="74" t="s">
        <v>943</v>
      </c>
      <c r="H491" s="75" t="n">
        <v>71.86</v>
      </c>
      <c r="I491" s="21"/>
      <c r="J491" s="52"/>
      <c r="K491" s="19" t="s">
        <v>2093</v>
      </c>
      <c r="L491" s="20"/>
      <c r="M491" s="20" t="s">
        <v>2094</v>
      </c>
      <c r="N491" s="22" t="s">
        <v>91</v>
      </c>
      <c r="O491" s="20"/>
      <c r="P491" s="20" t="s">
        <v>290</v>
      </c>
      <c r="Q491" s="20" t="s">
        <v>1380</v>
      </c>
      <c r="R491" s="76" t="s">
        <v>95</v>
      </c>
      <c r="S491" s="0" t="n">
        <f aca="false">IF(Recherche!$B$4="",0,IF(ISNUMBER(SEARCH(Recherche!$B$4,D491))+ISNUMBER(SEARCH(Recherche!$B$4,K491))&gt;0,1,0))</f>
        <v>0</v>
      </c>
      <c r="T491" s="0" t="str">
        <f aca="false">IF(S491=1,SUM($S$2:S491),"")</f>
        <v/>
      </c>
    </row>
    <row r="492" customFormat="false" ht="15" hidden="false" customHeight="false" outlineLevel="0" collapsed="false">
      <c r="A492" s="24" t="s">
        <v>2095</v>
      </c>
      <c r="B492" s="24" t="s">
        <v>61</v>
      </c>
      <c r="C492" s="24" t="s">
        <v>2081</v>
      </c>
      <c r="D492" s="23" t="s">
        <v>513</v>
      </c>
      <c r="E492" s="26" t="s">
        <v>91</v>
      </c>
      <c r="F492" s="24" t="s">
        <v>76</v>
      </c>
      <c r="G492" s="24" t="s">
        <v>939</v>
      </c>
      <c r="H492" s="25" t="n">
        <v>472.58</v>
      </c>
      <c r="I492" s="25"/>
      <c r="J492" s="58"/>
      <c r="K492" s="23" t="s">
        <v>236</v>
      </c>
      <c r="L492" s="24" t="s">
        <v>1280</v>
      </c>
      <c r="M492" s="24" t="s">
        <v>1281</v>
      </c>
      <c r="N492" s="26" t="s">
        <v>91</v>
      </c>
      <c r="O492" s="24"/>
      <c r="P492" s="24" t="s">
        <v>93</v>
      </c>
      <c r="Q492" s="24" t="s">
        <v>963</v>
      </c>
      <c r="R492" s="73" t="s">
        <v>95</v>
      </c>
      <c r="S492" s="0" t="n">
        <f aca="false">IF(Recherche!$B$4="",0,IF(ISNUMBER(SEARCH(Recherche!$B$4,D492))+ISNUMBER(SEARCH(Recherche!$B$4,K492))&gt;0,1,0))</f>
        <v>0</v>
      </c>
      <c r="T492" s="0" t="str">
        <f aca="false">IF(S492=1,SUM($S$2:S492),"")</f>
        <v/>
      </c>
    </row>
    <row r="493" customFormat="false" ht="23.85" hidden="false" customHeight="false" outlineLevel="0" collapsed="false">
      <c r="A493" s="20" t="s">
        <v>2096</v>
      </c>
      <c r="B493" s="20" t="s">
        <v>61</v>
      </c>
      <c r="C493" s="20" t="s">
        <v>2081</v>
      </c>
      <c r="D493" s="19" t="s">
        <v>514</v>
      </c>
      <c r="E493" s="22" t="s">
        <v>91</v>
      </c>
      <c r="F493" s="74" t="s">
        <v>77</v>
      </c>
      <c r="G493" s="74" t="s">
        <v>979</v>
      </c>
      <c r="H493" s="75" t="n">
        <v>931.57</v>
      </c>
      <c r="I493" s="21" t="n">
        <v>1046.71</v>
      </c>
      <c r="J493" s="52" t="n">
        <v>11</v>
      </c>
      <c r="K493" s="19" t="s">
        <v>515</v>
      </c>
      <c r="L493" s="20" t="s">
        <v>981</v>
      </c>
      <c r="M493" s="20" t="s">
        <v>2097</v>
      </c>
      <c r="N493" s="22" t="s">
        <v>91</v>
      </c>
      <c r="O493" s="20"/>
      <c r="P493" s="20" t="s">
        <v>114</v>
      </c>
      <c r="Q493" s="20" t="s">
        <v>983</v>
      </c>
      <c r="R493" s="76"/>
      <c r="S493" s="0" t="n">
        <f aca="false">IF(Recherche!$B$4="",0,IF(ISNUMBER(SEARCH(Recherche!$B$4,D493))+ISNUMBER(SEARCH(Recherche!$B$4,K493))&gt;0,1,0))</f>
        <v>0</v>
      </c>
      <c r="T493" s="0" t="str">
        <f aca="false">IF(S493=1,SUM($S$2:S493),"")</f>
        <v/>
      </c>
    </row>
    <row r="494" customFormat="false" ht="23.85" hidden="false" customHeight="false" outlineLevel="0" collapsed="false">
      <c r="A494" s="24" t="s">
        <v>2098</v>
      </c>
      <c r="B494" s="24" t="s">
        <v>61</v>
      </c>
      <c r="C494" s="24" t="s">
        <v>2099</v>
      </c>
      <c r="D494" s="23" t="s">
        <v>516</v>
      </c>
      <c r="E494" s="26" t="s">
        <v>91</v>
      </c>
      <c r="F494" s="74" t="s">
        <v>82</v>
      </c>
      <c r="G494" s="74" t="s">
        <v>943</v>
      </c>
      <c r="H494" s="75" t="n">
        <v>104.44</v>
      </c>
      <c r="I494" s="25"/>
      <c r="J494" s="58"/>
      <c r="K494" s="23" t="s">
        <v>517</v>
      </c>
      <c r="L494" s="24" t="s">
        <v>2100</v>
      </c>
      <c r="M494" s="24" t="s">
        <v>2101</v>
      </c>
      <c r="N494" s="26" t="s">
        <v>91</v>
      </c>
      <c r="O494" s="24"/>
      <c r="P494" s="24" t="s">
        <v>290</v>
      </c>
      <c r="Q494" s="24" t="s">
        <v>1016</v>
      </c>
      <c r="R494" s="73" t="s">
        <v>95</v>
      </c>
      <c r="S494" s="0" t="n">
        <f aca="false">IF(Recherche!$B$4="",0,IF(ISNUMBER(SEARCH(Recherche!$B$4,D494))+ISNUMBER(SEARCH(Recherche!$B$4,K494))&gt;0,1,0))</f>
        <v>0</v>
      </c>
      <c r="T494" s="0" t="str">
        <f aca="false">IF(S494=1,SUM($S$2:S494),"")</f>
        <v/>
      </c>
    </row>
    <row r="495" customFormat="false" ht="23.85" hidden="false" customHeight="false" outlineLevel="0" collapsed="false">
      <c r="A495" s="20" t="s">
        <v>2102</v>
      </c>
      <c r="B495" s="20" t="s">
        <v>61</v>
      </c>
      <c r="C495" s="20" t="s">
        <v>2103</v>
      </c>
      <c r="D495" s="19" t="s">
        <v>518</v>
      </c>
      <c r="E495" s="22" t="s">
        <v>519</v>
      </c>
      <c r="F495" s="74" t="s">
        <v>81</v>
      </c>
      <c r="G495" s="74" t="s">
        <v>979</v>
      </c>
      <c r="H495" s="75" t="n">
        <v>25.09</v>
      </c>
      <c r="I495" s="21" t="n">
        <v>26.4</v>
      </c>
      <c r="J495" s="52" t="n">
        <v>5</v>
      </c>
      <c r="K495" s="19" t="s">
        <v>2104</v>
      </c>
      <c r="L495" s="20" t="s">
        <v>2105</v>
      </c>
      <c r="M495" s="20" t="s">
        <v>2106</v>
      </c>
      <c r="N495" s="22" t="s">
        <v>91</v>
      </c>
      <c r="O495" s="20" t="s">
        <v>949</v>
      </c>
      <c r="P495" s="20" t="s">
        <v>169</v>
      </c>
      <c r="Q495" s="20" t="s">
        <v>1007</v>
      </c>
      <c r="R495" s="76" t="s">
        <v>95</v>
      </c>
      <c r="S495" s="0" t="n">
        <f aca="false">IF(Recherche!$B$4="",0,IF(ISNUMBER(SEARCH(Recherche!$B$4,D495))+ISNUMBER(SEARCH(Recherche!$B$4,K495))&gt;0,1,0))</f>
        <v>0</v>
      </c>
      <c r="T495" s="0" t="str">
        <f aca="false">IF(S495=1,SUM($S$2:S495),"")</f>
        <v/>
      </c>
    </row>
    <row r="496" customFormat="false" ht="23.85" hidden="false" customHeight="false" outlineLevel="0" collapsed="false">
      <c r="A496" s="24" t="s">
        <v>2102</v>
      </c>
      <c r="B496" s="24" t="s">
        <v>61</v>
      </c>
      <c r="C496" s="24" t="s">
        <v>2103</v>
      </c>
      <c r="D496" s="23" t="s">
        <v>518</v>
      </c>
      <c r="E496" s="26" t="s">
        <v>519</v>
      </c>
      <c r="F496" s="24" t="s">
        <v>76</v>
      </c>
      <c r="G496" s="24" t="s">
        <v>939</v>
      </c>
      <c r="H496" s="25" t="n">
        <v>36.23</v>
      </c>
      <c r="I496" s="25"/>
      <c r="J496" s="58"/>
      <c r="K496" s="23" t="s">
        <v>520</v>
      </c>
      <c r="L496" s="24" t="s">
        <v>2107</v>
      </c>
      <c r="M496" s="24" t="s">
        <v>2108</v>
      </c>
      <c r="N496" s="26" t="s">
        <v>519</v>
      </c>
      <c r="O496" s="24"/>
      <c r="P496" s="24" t="s">
        <v>93</v>
      </c>
      <c r="Q496" s="24" t="s">
        <v>1085</v>
      </c>
      <c r="R496" s="73" t="s">
        <v>95</v>
      </c>
      <c r="S496" s="0" t="n">
        <f aca="false">IF(Recherche!$B$4="",0,IF(ISNUMBER(SEARCH(Recherche!$B$4,D496))+ISNUMBER(SEARCH(Recherche!$B$4,K496))&gt;0,1,0))</f>
        <v>0</v>
      </c>
      <c r="T496" s="0" t="str">
        <f aca="false">IF(S496=1,SUM($S$2:S496),"")</f>
        <v/>
      </c>
    </row>
    <row r="497" customFormat="false" ht="23.85" hidden="false" customHeight="false" outlineLevel="0" collapsed="false">
      <c r="A497" s="20" t="s">
        <v>2102</v>
      </c>
      <c r="B497" s="20" t="s">
        <v>61</v>
      </c>
      <c r="C497" s="20" t="s">
        <v>2103</v>
      </c>
      <c r="D497" s="19" t="s">
        <v>518</v>
      </c>
      <c r="E497" s="22" t="s">
        <v>519</v>
      </c>
      <c r="F497" s="20" t="s">
        <v>80</v>
      </c>
      <c r="G497" s="20" t="s">
        <v>939</v>
      </c>
      <c r="H497" s="21" t="n">
        <v>46.3</v>
      </c>
      <c r="I497" s="21"/>
      <c r="J497" s="52"/>
      <c r="K497" s="19" t="s">
        <v>2109</v>
      </c>
      <c r="L497" s="20"/>
      <c r="M497" s="20" t="s">
        <v>2110</v>
      </c>
      <c r="N497" s="22" t="s">
        <v>91</v>
      </c>
      <c r="O497" s="20"/>
      <c r="P497" s="20" t="s">
        <v>303</v>
      </c>
      <c r="Q497" s="20" t="s">
        <v>1085</v>
      </c>
      <c r="R497" s="76" t="s">
        <v>95</v>
      </c>
      <c r="S497" s="0" t="n">
        <f aca="false">IF(Recherche!$B$4="",0,IF(ISNUMBER(SEARCH(Recherche!$B$4,D497))+ISNUMBER(SEARCH(Recherche!$B$4,K497))&gt;0,1,0))</f>
        <v>0</v>
      </c>
      <c r="T497" s="0" t="str">
        <f aca="false">IF(S497=1,SUM($S$2:S497),"")</f>
        <v/>
      </c>
    </row>
    <row r="498" customFormat="false" ht="15" hidden="false" customHeight="false" outlineLevel="0" collapsed="false">
      <c r="A498" s="24" t="s">
        <v>2102</v>
      </c>
      <c r="B498" s="24" t="s">
        <v>61</v>
      </c>
      <c r="C498" s="24" t="s">
        <v>2103</v>
      </c>
      <c r="D498" s="23" t="s">
        <v>518</v>
      </c>
      <c r="E498" s="26" t="s">
        <v>519</v>
      </c>
      <c r="F498" s="74" t="s">
        <v>82</v>
      </c>
      <c r="G498" s="74" t="s">
        <v>943</v>
      </c>
      <c r="H498" s="75" t="n">
        <v>49.32</v>
      </c>
      <c r="I498" s="25"/>
      <c r="J498" s="58"/>
      <c r="K498" s="23" t="s">
        <v>2111</v>
      </c>
      <c r="L498" s="24"/>
      <c r="M498" s="24" t="s">
        <v>2112</v>
      </c>
      <c r="N498" s="26" t="s">
        <v>91</v>
      </c>
      <c r="O498" s="24"/>
      <c r="P498" s="24" t="s">
        <v>290</v>
      </c>
      <c r="Q498" s="24" t="s">
        <v>1380</v>
      </c>
      <c r="R498" s="73" t="s">
        <v>95</v>
      </c>
      <c r="S498" s="0" t="n">
        <f aca="false">IF(Recherche!$B$4="",0,IF(ISNUMBER(SEARCH(Recherche!$B$4,D498))+ISNUMBER(SEARCH(Recherche!$B$4,K498))&gt;0,1,0))</f>
        <v>0</v>
      </c>
      <c r="T498" s="0" t="str">
        <f aca="false">IF(S498=1,SUM($S$2:S498),"")</f>
        <v/>
      </c>
    </row>
    <row r="499" customFormat="false" ht="15" hidden="false" customHeight="false" outlineLevel="0" collapsed="false">
      <c r="A499" s="20" t="s">
        <v>2102</v>
      </c>
      <c r="B499" s="20" t="s">
        <v>61</v>
      </c>
      <c r="C499" s="20" t="s">
        <v>2103</v>
      </c>
      <c r="D499" s="19" t="s">
        <v>518</v>
      </c>
      <c r="E499" s="22" t="s">
        <v>519</v>
      </c>
      <c r="F499" s="74" t="s">
        <v>77</v>
      </c>
      <c r="G499" s="74" t="s">
        <v>979</v>
      </c>
      <c r="H499" s="75" t="n">
        <v>139.69</v>
      </c>
      <c r="I499" s="21" t="n">
        <v>139.69</v>
      </c>
      <c r="J499" s="52"/>
      <c r="K499" s="19" t="s">
        <v>2113</v>
      </c>
      <c r="L499" s="20" t="s">
        <v>2114</v>
      </c>
      <c r="M499" s="20" t="s">
        <v>2115</v>
      </c>
      <c r="N499" s="22" t="s">
        <v>91</v>
      </c>
      <c r="O499" s="20"/>
      <c r="P499" s="20" t="s">
        <v>114</v>
      </c>
      <c r="Q499" s="20" t="s">
        <v>983</v>
      </c>
      <c r="R499" s="76"/>
      <c r="S499" s="0" t="n">
        <f aca="false">IF(Recherche!$B$4="",0,IF(ISNUMBER(SEARCH(Recherche!$B$4,D499))+ISNUMBER(SEARCH(Recherche!$B$4,K499))&gt;0,1,0))</f>
        <v>0</v>
      </c>
      <c r="T499" s="0" t="str">
        <f aca="false">IF(S499=1,SUM($S$2:S499),"")</f>
        <v/>
      </c>
    </row>
    <row r="500" customFormat="false" ht="23.85" hidden="false" customHeight="false" outlineLevel="0" collapsed="false">
      <c r="A500" s="24" t="s">
        <v>2116</v>
      </c>
      <c r="B500" s="24" t="s">
        <v>61</v>
      </c>
      <c r="C500" s="24" t="s">
        <v>2103</v>
      </c>
      <c r="D500" s="23" t="s">
        <v>521</v>
      </c>
      <c r="E500" s="26" t="s">
        <v>519</v>
      </c>
      <c r="F500" s="24" t="s">
        <v>80</v>
      </c>
      <c r="G500" s="24" t="s">
        <v>939</v>
      </c>
      <c r="H500" s="25" t="n">
        <v>16.92</v>
      </c>
      <c r="I500" s="25"/>
      <c r="J500" s="58"/>
      <c r="K500" s="23" t="s">
        <v>2117</v>
      </c>
      <c r="L500" s="24"/>
      <c r="M500" s="24" t="s">
        <v>2118</v>
      </c>
      <c r="N500" s="26" t="s">
        <v>91</v>
      </c>
      <c r="O500" s="24"/>
      <c r="P500" s="24" t="s">
        <v>303</v>
      </c>
      <c r="Q500" s="24" t="s">
        <v>942</v>
      </c>
      <c r="R500" s="73" t="s">
        <v>95</v>
      </c>
      <c r="S500" s="0" t="n">
        <f aca="false">IF(Recherche!$B$4="",0,IF(ISNUMBER(SEARCH(Recherche!$B$4,D500))+ISNUMBER(SEARCH(Recherche!$B$4,K500))&gt;0,1,0))</f>
        <v>0</v>
      </c>
      <c r="T500" s="0" t="str">
        <f aca="false">IF(S500=1,SUM($S$2:S500),"")</f>
        <v/>
      </c>
    </row>
    <row r="501" customFormat="false" ht="15" hidden="false" customHeight="false" outlineLevel="0" collapsed="false">
      <c r="A501" s="20" t="s">
        <v>2116</v>
      </c>
      <c r="B501" s="20" t="s">
        <v>61</v>
      </c>
      <c r="C501" s="20" t="s">
        <v>2103</v>
      </c>
      <c r="D501" s="19" t="s">
        <v>521</v>
      </c>
      <c r="E501" s="22" t="s">
        <v>519</v>
      </c>
      <c r="F501" s="74" t="s">
        <v>82</v>
      </c>
      <c r="G501" s="74" t="s">
        <v>943</v>
      </c>
      <c r="H501" s="75" t="n">
        <v>17.41</v>
      </c>
      <c r="I501" s="21"/>
      <c r="J501" s="52"/>
      <c r="K501" s="19" t="s">
        <v>2119</v>
      </c>
      <c r="L501" s="20"/>
      <c r="M501" s="20" t="s">
        <v>2120</v>
      </c>
      <c r="N501" s="22" t="s">
        <v>91</v>
      </c>
      <c r="O501" s="20"/>
      <c r="P501" s="20" t="s">
        <v>290</v>
      </c>
      <c r="Q501" s="20" t="s">
        <v>1380</v>
      </c>
      <c r="R501" s="76" t="s">
        <v>95</v>
      </c>
      <c r="S501" s="0" t="n">
        <f aca="false">IF(Recherche!$B$4="",0,IF(ISNUMBER(SEARCH(Recherche!$B$4,D501))+ISNUMBER(SEARCH(Recherche!$B$4,K501))&gt;0,1,0))</f>
        <v>0</v>
      </c>
      <c r="T501" s="0" t="str">
        <f aca="false">IF(S501=1,SUM($S$2:S501),"")</f>
        <v/>
      </c>
    </row>
    <row r="502" customFormat="false" ht="15" hidden="false" customHeight="false" outlineLevel="0" collapsed="false">
      <c r="A502" s="24" t="s">
        <v>2116</v>
      </c>
      <c r="B502" s="24" t="s">
        <v>61</v>
      </c>
      <c r="C502" s="24" t="s">
        <v>2103</v>
      </c>
      <c r="D502" s="23" t="s">
        <v>521</v>
      </c>
      <c r="E502" s="26" t="s">
        <v>519</v>
      </c>
      <c r="F502" s="74" t="s">
        <v>78</v>
      </c>
      <c r="G502" s="74" t="s">
        <v>943</v>
      </c>
      <c r="H502" s="75" t="n">
        <v>18.27</v>
      </c>
      <c r="I502" s="25"/>
      <c r="J502" s="58"/>
      <c r="K502" s="23" t="s">
        <v>2121</v>
      </c>
      <c r="L502" s="24"/>
      <c r="M502" s="24" t="s">
        <v>2122</v>
      </c>
      <c r="N502" s="26"/>
      <c r="O502" s="24"/>
      <c r="P502" s="24" t="s">
        <v>93</v>
      </c>
      <c r="Q502" s="24" t="s">
        <v>946</v>
      </c>
      <c r="R502" s="73" t="s">
        <v>95</v>
      </c>
      <c r="S502" s="0" t="n">
        <f aca="false">IF(Recherche!$B$4="",0,IF(ISNUMBER(SEARCH(Recherche!$B$4,D502))+ISNUMBER(SEARCH(Recherche!$B$4,K502))&gt;0,1,0))</f>
        <v>0</v>
      </c>
      <c r="T502" s="0" t="str">
        <f aca="false">IF(S502=1,SUM($S$2:S502),"")</f>
        <v/>
      </c>
    </row>
    <row r="503" customFormat="false" ht="23.85" hidden="false" customHeight="false" outlineLevel="0" collapsed="false">
      <c r="A503" s="20" t="s">
        <v>2116</v>
      </c>
      <c r="B503" s="20" t="s">
        <v>61</v>
      </c>
      <c r="C503" s="20" t="s">
        <v>2103</v>
      </c>
      <c r="D503" s="19" t="s">
        <v>521</v>
      </c>
      <c r="E503" s="22" t="s">
        <v>519</v>
      </c>
      <c r="F503" s="74" t="s">
        <v>81</v>
      </c>
      <c r="G503" s="74" t="s">
        <v>979</v>
      </c>
      <c r="H503" s="75" t="n">
        <v>21.84</v>
      </c>
      <c r="I503" s="21" t="n">
        <v>22.94</v>
      </c>
      <c r="J503" s="52" t="n">
        <v>4.8</v>
      </c>
      <c r="K503" s="19" t="s">
        <v>522</v>
      </c>
      <c r="L503" s="20" t="s">
        <v>2105</v>
      </c>
      <c r="M503" s="20" t="s">
        <v>2123</v>
      </c>
      <c r="N503" s="22" t="s">
        <v>519</v>
      </c>
      <c r="O503" s="20" t="s">
        <v>2124</v>
      </c>
      <c r="P503" s="20" t="s">
        <v>169</v>
      </c>
      <c r="Q503" s="20" t="s">
        <v>1007</v>
      </c>
      <c r="R503" s="76" t="s">
        <v>95</v>
      </c>
      <c r="S503" s="0" t="n">
        <f aca="false">IF(Recherche!$B$4="",0,IF(ISNUMBER(SEARCH(Recherche!$B$4,D503))+ISNUMBER(SEARCH(Recherche!$B$4,K503))&gt;0,1,0))</f>
        <v>0</v>
      </c>
      <c r="T503" s="0" t="str">
        <f aca="false">IF(S503=1,SUM($S$2:S503),"")</f>
        <v/>
      </c>
    </row>
    <row r="504" customFormat="false" ht="15" hidden="false" customHeight="false" outlineLevel="0" collapsed="false">
      <c r="A504" s="24" t="s">
        <v>2116</v>
      </c>
      <c r="B504" s="24" t="s">
        <v>61</v>
      </c>
      <c r="C504" s="24" t="s">
        <v>2103</v>
      </c>
      <c r="D504" s="23" t="s">
        <v>521</v>
      </c>
      <c r="E504" s="26" t="s">
        <v>519</v>
      </c>
      <c r="F504" s="74" t="s">
        <v>77</v>
      </c>
      <c r="G504" s="74" t="s">
        <v>979</v>
      </c>
      <c r="H504" s="75" t="n">
        <v>90.09</v>
      </c>
      <c r="I504" s="25" t="n">
        <v>90.09</v>
      </c>
      <c r="J504" s="58"/>
      <c r="K504" s="23" t="s">
        <v>2125</v>
      </c>
      <c r="L504" s="24" t="s">
        <v>2114</v>
      </c>
      <c r="M504" s="24" t="s">
        <v>2126</v>
      </c>
      <c r="N504" s="26" t="s">
        <v>91</v>
      </c>
      <c r="O504" s="24"/>
      <c r="P504" s="24" t="s">
        <v>114</v>
      </c>
      <c r="Q504" s="24" t="s">
        <v>983</v>
      </c>
      <c r="R504" s="73"/>
      <c r="S504" s="0" t="n">
        <f aca="false">IF(Recherche!$B$4="",0,IF(ISNUMBER(SEARCH(Recherche!$B$4,D504))+ISNUMBER(SEARCH(Recherche!$B$4,K504))&gt;0,1,0))</f>
        <v>0</v>
      </c>
      <c r="T504" s="0" t="str">
        <f aca="false">IF(S504=1,SUM($S$2:S504),"")</f>
        <v/>
      </c>
    </row>
    <row r="505" customFormat="false" ht="15" hidden="false" customHeight="false" outlineLevel="0" collapsed="false">
      <c r="A505" s="20" t="s">
        <v>2127</v>
      </c>
      <c r="B505" s="20" t="s">
        <v>61</v>
      </c>
      <c r="C505" s="20" t="s">
        <v>2103</v>
      </c>
      <c r="D505" s="19" t="s">
        <v>523</v>
      </c>
      <c r="E505" s="22" t="s">
        <v>91</v>
      </c>
      <c r="F505" s="74" t="s">
        <v>78</v>
      </c>
      <c r="G505" s="74" t="s">
        <v>943</v>
      </c>
      <c r="H505" s="75" t="n">
        <v>64.36</v>
      </c>
      <c r="I505" s="21"/>
      <c r="J505" s="52"/>
      <c r="K505" s="19" t="s">
        <v>524</v>
      </c>
      <c r="L505" s="20"/>
      <c r="M505" s="20" t="s">
        <v>2128</v>
      </c>
      <c r="N505" s="22" t="s">
        <v>91</v>
      </c>
      <c r="O505" s="20" t="s">
        <v>949</v>
      </c>
      <c r="P505" s="20" t="s">
        <v>93</v>
      </c>
      <c r="Q505" s="20" t="s">
        <v>946</v>
      </c>
      <c r="R505" s="76" t="s">
        <v>95</v>
      </c>
      <c r="S505" s="0" t="n">
        <f aca="false">IF(Recherche!$B$4="",0,IF(ISNUMBER(SEARCH(Recherche!$B$4,D505))+ISNUMBER(SEARCH(Recherche!$B$4,K505))&gt;0,1,0))</f>
        <v>0</v>
      </c>
      <c r="T505" s="0" t="str">
        <f aca="false">IF(S505=1,SUM($S$2:S505),"")</f>
        <v/>
      </c>
    </row>
    <row r="506" customFormat="false" ht="23.85" hidden="false" customHeight="false" outlineLevel="0" collapsed="false">
      <c r="A506" s="24" t="s">
        <v>2127</v>
      </c>
      <c r="B506" s="24" t="s">
        <v>61</v>
      </c>
      <c r="C506" s="24" t="s">
        <v>2103</v>
      </c>
      <c r="D506" s="23" t="s">
        <v>523</v>
      </c>
      <c r="E506" s="26" t="s">
        <v>91</v>
      </c>
      <c r="F506" s="74" t="s">
        <v>82</v>
      </c>
      <c r="G506" s="74" t="s">
        <v>943</v>
      </c>
      <c r="H506" s="75" t="n">
        <v>488.17</v>
      </c>
      <c r="I506" s="25"/>
      <c r="J506" s="58"/>
      <c r="K506" s="23" t="s">
        <v>2129</v>
      </c>
      <c r="L506" s="24" t="s">
        <v>2130</v>
      </c>
      <c r="M506" s="24" t="s">
        <v>2131</v>
      </c>
      <c r="N506" s="26" t="s">
        <v>91</v>
      </c>
      <c r="O506" s="24"/>
      <c r="P506" s="24" t="s">
        <v>290</v>
      </c>
      <c r="Q506" s="24" t="s">
        <v>1016</v>
      </c>
      <c r="R506" s="73" t="s">
        <v>95</v>
      </c>
      <c r="S506" s="0" t="n">
        <f aca="false">IF(Recherche!$B$4="",0,IF(ISNUMBER(SEARCH(Recherche!$B$4,D506))+ISNUMBER(SEARCH(Recherche!$B$4,K506))&gt;0,1,0))</f>
        <v>0</v>
      </c>
      <c r="T506" s="0" t="str">
        <f aca="false">IF(S506=1,SUM($S$2:S506),"")</f>
        <v/>
      </c>
    </row>
    <row r="507" customFormat="false" ht="23.85" hidden="false" customHeight="false" outlineLevel="0" collapsed="false">
      <c r="A507" s="20" t="s">
        <v>2132</v>
      </c>
      <c r="B507" s="20" t="s">
        <v>62</v>
      </c>
      <c r="C507" s="20" t="s">
        <v>2133</v>
      </c>
      <c r="D507" s="19" t="s">
        <v>525</v>
      </c>
      <c r="E507" s="22" t="s">
        <v>91</v>
      </c>
      <c r="F507" s="74" t="s">
        <v>79</v>
      </c>
      <c r="G507" s="74" t="s">
        <v>943</v>
      </c>
      <c r="H507" s="75" t="n">
        <v>10.36</v>
      </c>
      <c r="I507" s="21"/>
      <c r="J507" s="52"/>
      <c r="K507" s="19" t="s">
        <v>526</v>
      </c>
      <c r="L507" s="20"/>
      <c r="M507" s="20" t="s">
        <v>2134</v>
      </c>
      <c r="N507" s="22" t="s">
        <v>91</v>
      </c>
      <c r="O507" s="20" t="s">
        <v>2135</v>
      </c>
      <c r="P507" s="20" t="s">
        <v>313</v>
      </c>
      <c r="Q507" s="20" t="s">
        <v>1387</v>
      </c>
      <c r="R507" s="76"/>
      <c r="S507" s="0" t="n">
        <f aca="false">IF(Recherche!$B$4="",0,IF(ISNUMBER(SEARCH(Recherche!$B$4,D507))+ISNUMBER(SEARCH(Recherche!$B$4,K507))&gt;0,1,0))</f>
        <v>0</v>
      </c>
      <c r="T507" s="0" t="str">
        <f aca="false">IF(S507=1,SUM($S$2:S507),"")</f>
        <v/>
      </c>
    </row>
    <row r="508" customFormat="false" ht="23.85" hidden="false" customHeight="false" outlineLevel="0" collapsed="false">
      <c r="A508" s="24" t="s">
        <v>2132</v>
      </c>
      <c r="B508" s="24" t="s">
        <v>62</v>
      </c>
      <c r="C508" s="24" t="s">
        <v>2133</v>
      </c>
      <c r="D508" s="23" t="s">
        <v>525</v>
      </c>
      <c r="E508" s="26" t="s">
        <v>91</v>
      </c>
      <c r="F508" s="24" t="s">
        <v>80</v>
      </c>
      <c r="G508" s="24" t="s">
        <v>939</v>
      </c>
      <c r="H508" s="25" t="n">
        <v>13.53</v>
      </c>
      <c r="I508" s="25"/>
      <c r="J508" s="58"/>
      <c r="K508" s="23" t="s">
        <v>2136</v>
      </c>
      <c r="L508" s="24"/>
      <c r="M508" s="24" t="s">
        <v>2137</v>
      </c>
      <c r="N508" s="26" t="s">
        <v>91</v>
      </c>
      <c r="O508" s="24" t="s">
        <v>2138</v>
      </c>
      <c r="P508" s="24" t="s">
        <v>303</v>
      </c>
      <c r="Q508" s="24" t="s">
        <v>942</v>
      </c>
      <c r="R508" s="73" t="s">
        <v>95</v>
      </c>
      <c r="S508" s="0" t="n">
        <f aca="false">IF(Recherche!$B$4="",0,IF(ISNUMBER(SEARCH(Recherche!$B$4,D508))+ISNUMBER(SEARCH(Recherche!$B$4,K508))&gt;0,1,0))</f>
        <v>0</v>
      </c>
      <c r="T508" s="0" t="str">
        <f aca="false">IF(S508=1,SUM($S$2:S508),"")</f>
        <v/>
      </c>
    </row>
    <row r="509" customFormat="false" ht="15" hidden="false" customHeight="false" outlineLevel="0" collapsed="false">
      <c r="A509" s="20" t="s">
        <v>2139</v>
      </c>
      <c r="B509" s="20" t="s">
        <v>62</v>
      </c>
      <c r="C509" s="20" t="s">
        <v>2133</v>
      </c>
      <c r="D509" s="19" t="s">
        <v>527</v>
      </c>
      <c r="E509" s="22" t="s">
        <v>91</v>
      </c>
      <c r="F509" s="74" t="s">
        <v>81</v>
      </c>
      <c r="G509" s="74" t="s">
        <v>979</v>
      </c>
      <c r="H509" s="75" t="n">
        <v>18.94</v>
      </c>
      <c r="I509" s="21" t="n">
        <v>20.54</v>
      </c>
      <c r="J509" s="52" t="n">
        <v>7.8</v>
      </c>
      <c r="K509" s="19" t="s">
        <v>528</v>
      </c>
      <c r="L509" s="20" t="s">
        <v>2140</v>
      </c>
      <c r="M509" s="20" t="s">
        <v>2141</v>
      </c>
      <c r="N509" s="22" t="s">
        <v>91</v>
      </c>
      <c r="O509" s="20" t="s">
        <v>2142</v>
      </c>
      <c r="P509" s="20" t="s">
        <v>169</v>
      </c>
      <c r="Q509" s="20" t="s">
        <v>1007</v>
      </c>
      <c r="R509" s="76" t="s">
        <v>95</v>
      </c>
      <c r="S509" s="0" t="n">
        <f aca="false">IF(Recherche!$B$4="",0,IF(ISNUMBER(SEARCH(Recherche!$B$4,D509))+ISNUMBER(SEARCH(Recherche!$B$4,K509))&gt;0,1,0))</f>
        <v>0</v>
      </c>
      <c r="T509" s="0" t="str">
        <f aca="false">IF(S509=1,SUM($S$2:S509),"")</f>
        <v/>
      </c>
    </row>
    <row r="510" customFormat="false" ht="23.85" hidden="false" customHeight="false" outlineLevel="0" collapsed="false">
      <c r="A510" s="24" t="s">
        <v>2139</v>
      </c>
      <c r="B510" s="24" t="s">
        <v>62</v>
      </c>
      <c r="C510" s="24" t="s">
        <v>2133</v>
      </c>
      <c r="D510" s="23" t="s">
        <v>527</v>
      </c>
      <c r="E510" s="26" t="s">
        <v>91</v>
      </c>
      <c r="F510" s="74" t="s">
        <v>79</v>
      </c>
      <c r="G510" s="74" t="s">
        <v>943</v>
      </c>
      <c r="H510" s="75" t="n">
        <v>28.37</v>
      </c>
      <c r="I510" s="25"/>
      <c r="J510" s="58"/>
      <c r="K510" s="23" t="s">
        <v>2143</v>
      </c>
      <c r="L510" s="24"/>
      <c r="M510" s="24" t="s">
        <v>2144</v>
      </c>
      <c r="N510" s="26" t="s">
        <v>91</v>
      </c>
      <c r="O510" s="24" t="s">
        <v>2145</v>
      </c>
      <c r="P510" s="24" t="s">
        <v>313</v>
      </c>
      <c r="Q510" s="24" t="s">
        <v>1387</v>
      </c>
      <c r="R510" s="73" t="s">
        <v>95</v>
      </c>
      <c r="S510" s="0" t="n">
        <f aca="false">IF(Recherche!$B$4="",0,IF(ISNUMBER(SEARCH(Recherche!$B$4,D510))+ISNUMBER(SEARCH(Recherche!$B$4,K510))&gt;0,1,0))</f>
        <v>0</v>
      </c>
      <c r="T510" s="0" t="str">
        <f aca="false">IF(S510=1,SUM($S$2:S510),"")</f>
        <v/>
      </c>
    </row>
    <row r="511" customFormat="false" ht="23.85" hidden="false" customHeight="false" outlineLevel="0" collapsed="false">
      <c r="A511" s="20" t="s">
        <v>2139</v>
      </c>
      <c r="B511" s="20" t="s">
        <v>62</v>
      </c>
      <c r="C511" s="20" t="s">
        <v>2133</v>
      </c>
      <c r="D511" s="19" t="s">
        <v>527</v>
      </c>
      <c r="E511" s="22" t="s">
        <v>91</v>
      </c>
      <c r="F511" s="20" t="s">
        <v>80</v>
      </c>
      <c r="G511" s="20" t="s">
        <v>939</v>
      </c>
      <c r="H511" s="21" t="n">
        <v>33.27</v>
      </c>
      <c r="I511" s="21"/>
      <c r="J511" s="52"/>
      <c r="K511" s="19" t="s">
        <v>2146</v>
      </c>
      <c r="L511" s="20"/>
      <c r="M511" s="20" t="s">
        <v>2147</v>
      </c>
      <c r="N511" s="22" t="s">
        <v>91</v>
      </c>
      <c r="O511" s="20" t="s">
        <v>2138</v>
      </c>
      <c r="P511" s="20" t="s">
        <v>303</v>
      </c>
      <c r="Q511" s="20" t="s">
        <v>942</v>
      </c>
      <c r="R511" s="76" t="s">
        <v>95</v>
      </c>
      <c r="S511" s="0" t="n">
        <f aca="false">IF(Recherche!$B$4="",0,IF(ISNUMBER(SEARCH(Recherche!$B$4,D511))+ISNUMBER(SEARCH(Recherche!$B$4,K511))&gt;0,1,0))</f>
        <v>0</v>
      </c>
      <c r="T511" s="0" t="str">
        <f aca="false">IF(S511=1,SUM($S$2:S511),"")</f>
        <v/>
      </c>
    </row>
    <row r="512" customFormat="false" ht="15" hidden="false" customHeight="false" outlineLevel="0" collapsed="false">
      <c r="A512" s="24" t="s">
        <v>2148</v>
      </c>
      <c r="B512" s="24" t="s">
        <v>62</v>
      </c>
      <c r="C512" s="24" t="s">
        <v>2133</v>
      </c>
      <c r="D512" s="23" t="s">
        <v>529</v>
      </c>
      <c r="E512" s="26" t="s">
        <v>91</v>
      </c>
      <c r="F512" s="74" t="s">
        <v>81</v>
      </c>
      <c r="G512" s="74" t="s">
        <v>979</v>
      </c>
      <c r="H512" s="75" t="n">
        <v>32.08</v>
      </c>
      <c r="I512" s="25" t="n">
        <v>31.54</v>
      </c>
      <c r="J512" s="58"/>
      <c r="K512" s="23" t="s">
        <v>530</v>
      </c>
      <c r="L512" s="24" t="s">
        <v>2149</v>
      </c>
      <c r="M512" s="24" t="s">
        <v>2150</v>
      </c>
      <c r="N512" s="26" t="s">
        <v>91</v>
      </c>
      <c r="O512" s="24" t="s">
        <v>2151</v>
      </c>
      <c r="P512" s="24" t="s">
        <v>169</v>
      </c>
      <c r="Q512" s="24" t="s">
        <v>1007</v>
      </c>
      <c r="R512" s="73" t="s">
        <v>95</v>
      </c>
      <c r="S512" s="0" t="n">
        <f aca="false">IF(Recherche!$B$4="",0,IF(ISNUMBER(SEARCH(Recherche!$B$4,D512))+ISNUMBER(SEARCH(Recherche!$B$4,K512))&gt;0,1,0))</f>
        <v>0</v>
      </c>
      <c r="T512" s="0" t="str">
        <f aca="false">IF(S512=1,SUM($S$2:S512),"")</f>
        <v/>
      </c>
    </row>
    <row r="513" customFormat="false" ht="23.85" hidden="false" customHeight="false" outlineLevel="0" collapsed="false">
      <c r="A513" s="20" t="s">
        <v>2148</v>
      </c>
      <c r="B513" s="20" t="s">
        <v>62</v>
      </c>
      <c r="C513" s="20" t="s">
        <v>2133</v>
      </c>
      <c r="D513" s="19" t="s">
        <v>529</v>
      </c>
      <c r="E513" s="22" t="s">
        <v>91</v>
      </c>
      <c r="F513" s="20" t="s">
        <v>80</v>
      </c>
      <c r="G513" s="20" t="s">
        <v>939</v>
      </c>
      <c r="H513" s="21" t="n">
        <v>59.44</v>
      </c>
      <c r="I513" s="21"/>
      <c r="J513" s="52"/>
      <c r="K513" s="19" t="s">
        <v>2152</v>
      </c>
      <c r="L513" s="20"/>
      <c r="M513" s="20" t="s">
        <v>2153</v>
      </c>
      <c r="N513" s="22" t="s">
        <v>91</v>
      </c>
      <c r="O513" s="20" t="s">
        <v>2135</v>
      </c>
      <c r="P513" s="20" t="s">
        <v>303</v>
      </c>
      <c r="Q513" s="20" t="s">
        <v>942</v>
      </c>
      <c r="R513" s="76" t="s">
        <v>95</v>
      </c>
      <c r="S513" s="0" t="n">
        <f aca="false">IF(Recherche!$B$4="",0,IF(ISNUMBER(SEARCH(Recherche!$B$4,D513))+ISNUMBER(SEARCH(Recherche!$B$4,K513))&gt;0,1,0))</f>
        <v>0</v>
      </c>
      <c r="T513" s="0" t="str">
        <f aca="false">IF(S513=1,SUM($S$2:S513),"")</f>
        <v/>
      </c>
    </row>
    <row r="514" customFormat="false" ht="23.85" hidden="false" customHeight="false" outlineLevel="0" collapsed="false">
      <c r="A514" s="24" t="s">
        <v>2154</v>
      </c>
      <c r="B514" s="24" t="s">
        <v>62</v>
      </c>
      <c r="C514" s="24" t="s">
        <v>2133</v>
      </c>
      <c r="D514" s="23" t="s">
        <v>531</v>
      </c>
      <c r="E514" s="26" t="s">
        <v>91</v>
      </c>
      <c r="F514" s="74" t="s">
        <v>79</v>
      </c>
      <c r="G514" s="74" t="s">
        <v>943</v>
      </c>
      <c r="H514" s="75" t="n">
        <v>22.59</v>
      </c>
      <c r="I514" s="25"/>
      <c r="J514" s="58"/>
      <c r="K514" s="23" t="s">
        <v>532</v>
      </c>
      <c r="L514" s="24"/>
      <c r="M514" s="24" t="s">
        <v>2155</v>
      </c>
      <c r="N514" s="26" t="s">
        <v>91</v>
      </c>
      <c r="O514" s="24" t="s">
        <v>2138</v>
      </c>
      <c r="P514" s="24" t="s">
        <v>313</v>
      </c>
      <c r="Q514" s="24" t="s">
        <v>1387</v>
      </c>
      <c r="R514" s="73" t="s">
        <v>95</v>
      </c>
      <c r="S514" s="0" t="n">
        <f aca="false">IF(Recherche!$B$4="",0,IF(ISNUMBER(SEARCH(Recherche!$B$4,D514))+ISNUMBER(SEARCH(Recherche!$B$4,K514))&gt;0,1,0))</f>
        <v>0</v>
      </c>
      <c r="T514" s="0" t="str">
        <f aca="false">IF(S514=1,SUM($S$2:S514),"")</f>
        <v/>
      </c>
    </row>
    <row r="515" customFormat="false" ht="15" hidden="false" customHeight="false" outlineLevel="0" collapsed="false">
      <c r="A515" s="20" t="s">
        <v>2154</v>
      </c>
      <c r="B515" s="20" t="s">
        <v>62</v>
      </c>
      <c r="C515" s="20" t="s">
        <v>2133</v>
      </c>
      <c r="D515" s="19" t="s">
        <v>531</v>
      </c>
      <c r="E515" s="22" t="s">
        <v>91</v>
      </c>
      <c r="F515" s="74" t="s">
        <v>81</v>
      </c>
      <c r="G515" s="74" t="s">
        <v>979</v>
      </c>
      <c r="H515" s="75" t="n">
        <v>28.4</v>
      </c>
      <c r="I515" s="21" t="n">
        <v>30.78</v>
      </c>
      <c r="J515" s="52" t="n">
        <v>7.7</v>
      </c>
      <c r="K515" s="19" t="s">
        <v>2156</v>
      </c>
      <c r="L515" s="20" t="s">
        <v>2149</v>
      </c>
      <c r="M515" s="20" t="s">
        <v>2157</v>
      </c>
      <c r="N515" s="22" t="s">
        <v>91</v>
      </c>
      <c r="O515" s="20" t="s">
        <v>2145</v>
      </c>
      <c r="P515" s="20" t="s">
        <v>169</v>
      </c>
      <c r="Q515" s="20" t="s">
        <v>1007</v>
      </c>
      <c r="R515" s="76" t="s">
        <v>95</v>
      </c>
      <c r="S515" s="0" t="n">
        <f aca="false">IF(Recherche!$B$4="",0,IF(ISNUMBER(SEARCH(Recherche!$B$4,D515))+ISNUMBER(SEARCH(Recherche!$B$4,K515))&gt;0,1,0))</f>
        <v>0</v>
      </c>
      <c r="T515" s="0" t="str">
        <f aca="false">IF(S515=1,SUM($S$2:S515),"")</f>
        <v/>
      </c>
    </row>
    <row r="516" customFormat="false" ht="23.85" hidden="false" customHeight="false" outlineLevel="0" collapsed="false">
      <c r="A516" s="24" t="s">
        <v>2154</v>
      </c>
      <c r="B516" s="24" t="s">
        <v>62</v>
      </c>
      <c r="C516" s="24" t="s">
        <v>2133</v>
      </c>
      <c r="D516" s="23" t="s">
        <v>531</v>
      </c>
      <c r="E516" s="26" t="s">
        <v>91</v>
      </c>
      <c r="F516" s="24" t="s">
        <v>80</v>
      </c>
      <c r="G516" s="24" t="s">
        <v>939</v>
      </c>
      <c r="H516" s="25" t="n">
        <v>39.51</v>
      </c>
      <c r="I516" s="25"/>
      <c r="J516" s="58"/>
      <c r="K516" s="23" t="s">
        <v>2158</v>
      </c>
      <c r="L516" s="24"/>
      <c r="M516" s="24" t="s">
        <v>2159</v>
      </c>
      <c r="N516" s="26" t="s">
        <v>91</v>
      </c>
      <c r="O516" s="24" t="s">
        <v>2138</v>
      </c>
      <c r="P516" s="24" t="s">
        <v>303</v>
      </c>
      <c r="Q516" s="24" t="s">
        <v>942</v>
      </c>
      <c r="R516" s="73" t="s">
        <v>95</v>
      </c>
      <c r="S516" s="0" t="n">
        <f aca="false">IF(Recherche!$B$4="",0,IF(ISNUMBER(SEARCH(Recherche!$B$4,D516))+ISNUMBER(SEARCH(Recherche!$B$4,K516))&gt;0,1,0))</f>
        <v>0</v>
      </c>
      <c r="T516" s="0" t="str">
        <f aca="false">IF(S516=1,SUM($S$2:S516),"")</f>
        <v/>
      </c>
    </row>
    <row r="517" customFormat="false" ht="15" hidden="false" customHeight="false" outlineLevel="0" collapsed="false">
      <c r="A517" s="20" t="s">
        <v>2160</v>
      </c>
      <c r="B517" s="20" t="s">
        <v>62</v>
      </c>
      <c r="C517" s="20" t="s">
        <v>2161</v>
      </c>
      <c r="D517" s="19" t="s">
        <v>533</v>
      </c>
      <c r="E517" s="22" t="s">
        <v>91</v>
      </c>
      <c r="F517" s="74" t="s">
        <v>83</v>
      </c>
      <c r="G517" s="74" t="s">
        <v>943</v>
      </c>
      <c r="H517" s="75" t="n">
        <v>2.64</v>
      </c>
      <c r="I517" s="21"/>
      <c r="J517" s="52"/>
      <c r="K517" s="19" t="s">
        <v>535</v>
      </c>
      <c r="L517" s="20"/>
      <c r="M517" s="20" t="s">
        <v>2162</v>
      </c>
      <c r="N517" s="22" t="s">
        <v>91</v>
      </c>
      <c r="O517" s="20" t="s">
        <v>2163</v>
      </c>
      <c r="P517" s="20" t="s">
        <v>534</v>
      </c>
      <c r="Q517" s="20" t="s">
        <v>2164</v>
      </c>
      <c r="R517" s="76" t="s">
        <v>95</v>
      </c>
      <c r="S517" s="0" t="n">
        <f aca="false">IF(Recherche!$B$4="",0,IF(ISNUMBER(SEARCH(Recherche!$B$4,D517))+ISNUMBER(SEARCH(Recherche!$B$4,K517))&gt;0,1,0))</f>
        <v>0</v>
      </c>
      <c r="T517" s="0" t="str">
        <f aca="false">IF(S517=1,SUM($S$2:S517),"")</f>
        <v/>
      </c>
    </row>
    <row r="518" customFormat="false" ht="15" hidden="false" customHeight="false" outlineLevel="0" collapsed="false">
      <c r="A518" s="24" t="s">
        <v>2160</v>
      </c>
      <c r="B518" s="24" t="s">
        <v>62</v>
      </c>
      <c r="C518" s="24" t="s">
        <v>2161</v>
      </c>
      <c r="D518" s="23" t="s">
        <v>533</v>
      </c>
      <c r="E518" s="26" t="s">
        <v>91</v>
      </c>
      <c r="F518" s="74" t="s">
        <v>81</v>
      </c>
      <c r="G518" s="74" t="s">
        <v>979</v>
      </c>
      <c r="H518" s="75" t="n">
        <v>2.76</v>
      </c>
      <c r="I518" s="25" t="n">
        <v>3.06</v>
      </c>
      <c r="J518" s="58" t="n">
        <v>9.8</v>
      </c>
      <c r="K518" s="23" t="s">
        <v>2165</v>
      </c>
      <c r="L518" s="24" t="s">
        <v>2166</v>
      </c>
      <c r="M518" s="24" t="s">
        <v>2167</v>
      </c>
      <c r="N518" s="26" t="s">
        <v>91</v>
      </c>
      <c r="O518" s="24" t="s">
        <v>2163</v>
      </c>
      <c r="P518" s="24" t="s">
        <v>169</v>
      </c>
      <c r="Q518" s="24" t="s">
        <v>1007</v>
      </c>
      <c r="R518" s="73" t="s">
        <v>95</v>
      </c>
      <c r="S518" s="0" t="n">
        <f aca="false">IF(Recherche!$B$4="",0,IF(ISNUMBER(SEARCH(Recherche!$B$4,D518))+ISNUMBER(SEARCH(Recherche!$B$4,K518))&gt;0,1,0))</f>
        <v>0</v>
      </c>
      <c r="T518" s="0" t="str">
        <f aca="false">IF(S518=1,SUM($S$2:S518),"")</f>
        <v/>
      </c>
    </row>
    <row r="519" customFormat="false" ht="23.85" hidden="false" customHeight="false" outlineLevel="0" collapsed="false">
      <c r="A519" s="20" t="s">
        <v>2160</v>
      </c>
      <c r="B519" s="20" t="s">
        <v>62</v>
      </c>
      <c r="C519" s="20" t="s">
        <v>2161</v>
      </c>
      <c r="D519" s="19" t="s">
        <v>533</v>
      </c>
      <c r="E519" s="22" t="s">
        <v>91</v>
      </c>
      <c r="F519" s="74" t="s">
        <v>79</v>
      </c>
      <c r="G519" s="74" t="s">
        <v>943</v>
      </c>
      <c r="H519" s="75" t="n">
        <v>2.76</v>
      </c>
      <c r="I519" s="21"/>
      <c r="J519" s="52"/>
      <c r="K519" s="19" t="s">
        <v>2168</v>
      </c>
      <c r="L519" s="20"/>
      <c r="M519" s="20" t="s">
        <v>2169</v>
      </c>
      <c r="N519" s="22" t="s">
        <v>91</v>
      </c>
      <c r="O519" s="20" t="s">
        <v>2163</v>
      </c>
      <c r="P519" s="20" t="s">
        <v>313</v>
      </c>
      <c r="Q519" s="20" t="s">
        <v>1016</v>
      </c>
      <c r="R519" s="76" t="s">
        <v>95</v>
      </c>
      <c r="S519" s="0" t="n">
        <f aca="false">IF(Recherche!$B$4="",0,IF(ISNUMBER(SEARCH(Recherche!$B$4,D519))+ISNUMBER(SEARCH(Recherche!$B$4,K519))&gt;0,1,0))</f>
        <v>0</v>
      </c>
      <c r="T519" s="0" t="str">
        <f aca="false">IF(S519=1,SUM($S$2:S519),"")</f>
        <v/>
      </c>
    </row>
    <row r="520" customFormat="false" ht="23.85" hidden="false" customHeight="false" outlineLevel="0" collapsed="false">
      <c r="A520" s="24" t="s">
        <v>2160</v>
      </c>
      <c r="B520" s="24" t="s">
        <v>62</v>
      </c>
      <c r="C520" s="24" t="s">
        <v>2161</v>
      </c>
      <c r="D520" s="23" t="s">
        <v>533</v>
      </c>
      <c r="E520" s="26" t="s">
        <v>91</v>
      </c>
      <c r="F520" s="24" t="s">
        <v>80</v>
      </c>
      <c r="G520" s="24" t="s">
        <v>939</v>
      </c>
      <c r="H520" s="25" t="n">
        <v>10.94</v>
      </c>
      <c r="I520" s="25"/>
      <c r="J520" s="58"/>
      <c r="K520" s="23" t="s">
        <v>2170</v>
      </c>
      <c r="L520" s="24"/>
      <c r="M520" s="24" t="s">
        <v>2171</v>
      </c>
      <c r="N520" s="26" t="s">
        <v>1533</v>
      </c>
      <c r="O520" s="24"/>
      <c r="P520" s="24" t="s">
        <v>303</v>
      </c>
      <c r="Q520" s="24" t="s">
        <v>942</v>
      </c>
      <c r="R520" s="73" t="s">
        <v>95</v>
      </c>
      <c r="S520" s="0" t="n">
        <f aca="false">IF(Recherche!$B$4="",0,IF(ISNUMBER(SEARCH(Recherche!$B$4,D520))+ISNUMBER(SEARCH(Recherche!$B$4,K520))&gt;0,1,0))</f>
        <v>0</v>
      </c>
      <c r="T520" s="0" t="str">
        <f aca="false">IF(S520=1,SUM($S$2:S520),"")</f>
        <v/>
      </c>
    </row>
    <row r="521" customFormat="false" ht="15" hidden="false" customHeight="false" outlineLevel="0" collapsed="false">
      <c r="A521" s="20" t="s">
        <v>2160</v>
      </c>
      <c r="B521" s="20" t="s">
        <v>62</v>
      </c>
      <c r="C521" s="20" t="s">
        <v>2161</v>
      </c>
      <c r="D521" s="19" t="s">
        <v>533</v>
      </c>
      <c r="E521" s="22" t="s">
        <v>91</v>
      </c>
      <c r="F521" s="20" t="s">
        <v>76</v>
      </c>
      <c r="G521" s="20" t="s">
        <v>939</v>
      </c>
      <c r="H521" s="21" t="n">
        <v>194.96</v>
      </c>
      <c r="I521" s="21"/>
      <c r="J521" s="52"/>
      <c r="K521" s="19" t="s">
        <v>2172</v>
      </c>
      <c r="L521" s="20" t="s">
        <v>2173</v>
      </c>
      <c r="M521" s="20" t="s">
        <v>2174</v>
      </c>
      <c r="N521" s="22" t="s">
        <v>91</v>
      </c>
      <c r="O521" s="20"/>
      <c r="P521" s="20" t="s">
        <v>93</v>
      </c>
      <c r="Q521" s="20" t="s">
        <v>1052</v>
      </c>
      <c r="R521" s="76" t="s">
        <v>95</v>
      </c>
      <c r="S521" s="0" t="n">
        <f aca="false">IF(Recherche!$B$4="",0,IF(ISNUMBER(SEARCH(Recherche!$B$4,D521))+ISNUMBER(SEARCH(Recherche!$B$4,K521))&gt;0,1,0))</f>
        <v>0</v>
      </c>
      <c r="T521" s="0" t="str">
        <f aca="false">IF(S521=1,SUM($S$2:S521),"")</f>
        <v/>
      </c>
    </row>
    <row r="522" customFormat="false" ht="23.85" hidden="false" customHeight="false" outlineLevel="0" collapsed="false">
      <c r="A522" s="24" t="s">
        <v>2175</v>
      </c>
      <c r="B522" s="24" t="s">
        <v>62</v>
      </c>
      <c r="C522" s="24" t="s">
        <v>2161</v>
      </c>
      <c r="D522" s="23" t="s">
        <v>536</v>
      </c>
      <c r="E522" s="26" t="s">
        <v>91</v>
      </c>
      <c r="F522" s="74" t="s">
        <v>81</v>
      </c>
      <c r="G522" s="74" t="s">
        <v>979</v>
      </c>
      <c r="H522" s="75" t="n">
        <v>2.68</v>
      </c>
      <c r="I522" s="25" t="n">
        <v>2.96</v>
      </c>
      <c r="J522" s="58" t="n">
        <v>9.5</v>
      </c>
      <c r="K522" s="23" t="s">
        <v>537</v>
      </c>
      <c r="L522" s="24" t="s">
        <v>2140</v>
      </c>
      <c r="M522" s="24" t="s">
        <v>2176</v>
      </c>
      <c r="N522" s="26" t="s">
        <v>91</v>
      </c>
      <c r="O522" s="24" t="s">
        <v>2177</v>
      </c>
      <c r="P522" s="24" t="s">
        <v>169</v>
      </c>
      <c r="Q522" s="24" t="s">
        <v>1016</v>
      </c>
      <c r="R522" s="73" t="s">
        <v>95</v>
      </c>
      <c r="S522" s="0" t="n">
        <f aca="false">IF(Recherche!$B$4="",0,IF(ISNUMBER(SEARCH(Recherche!$B$4,D522))+ISNUMBER(SEARCH(Recherche!$B$4,K522))&gt;0,1,0))</f>
        <v>0</v>
      </c>
      <c r="T522" s="0" t="str">
        <f aca="false">IF(S522=1,SUM($S$2:S522),"")</f>
        <v/>
      </c>
    </row>
    <row r="523" customFormat="false" ht="23.85" hidden="false" customHeight="false" outlineLevel="0" collapsed="false">
      <c r="A523" s="20" t="s">
        <v>2175</v>
      </c>
      <c r="B523" s="20" t="s">
        <v>62</v>
      </c>
      <c r="C523" s="20" t="s">
        <v>2161</v>
      </c>
      <c r="D523" s="19" t="s">
        <v>536</v>
      </c>
      <c r="E523" s="22" t="s">
        <v>91</v>
      </c>
      <c r="F523" s="74" t="s">
        <v>79</v>
      </c>
      <c r="G523" s="74" t="s">
        <v>943</v>
      </c>
      <c r="H523" s="75" t="n">
        <v>3.08</v>
      </c>
      <c r="I523" s="21"/>
      <c r="J523" s="52"/>
      <c r="K523" s="19" t="s">
        <v>2178</v>
      </c>
      <c r="L523" s="20"/>
      <c r="M523" s="20" t="s">
        <v>2179</v>
      </c>
      <c r="N523" s="22" t="s">
        <v>91</v>
      </c>
      <c r="O523" s="20" t="s">
        <v>2180</v>
      </c>
      <c r="P523" s="20" t="s">
        <v>313</v>
      </c>
      <c r="Q523" s="20" t="s">
        <v>1016</v>
      </c>
      <c r="R523" s="76" t="s">
        <v>95</v>
      </c>
      <c r="S523" s="0" t="n">
        <f aca="false">IF(Recherche!$B$4="",0,IF(ISNUMBER(SEARCH(Recherche!$B$4,D523))+ISNUMBER(SEARCH(Recherche!$B$4,K523))&gt;0,1,0))</f>
        <v>0</v>
      </c>
      <c r="T523" s="0" t="str">
        <f aca="false">IF(S523=1,SUM($S$2:S523),"")</f>
        <v/>
      </c>
    </row>
    <row r="524" customFormat="false" ht="23.85" hidden="false" customHeight="false" outlineLevel="0" collapsed="false">
      <c r="A524" s="24" t="s">
        <v>2175</v>
      </c>
      <c r="B524" s="24" t="s">
        <v>62</v>
      </c>
      <c r="C524" s="24" t="s">
        <v>2161</v>
      </c>
      <c r="D524" s="23" t="s">
        <v>536</v>
      </c>
      <c r="E524" s="26" t="s">
        <v>91</v>
      </c>
      <c r="F524" s="24" t="s">
        <v>80</v>
      </c>
      <c r="G524" s="24" t="s">
        <v>939</v>
      </c>
      <c r="H524" s="25" t="n">
        <v>6.57</v>
      </c>
      <c r="I524" s="25"/>
      <c r="J524" s="58"/>
      <c r="K524" s="23" t="s">
        <v>2181</v>
      </c>
      <c r="L524" s="24"/>
      <c r="M524" s="24" t="s">
        <v>2182</v>
      </c>
      <c r="N524" s="26" t="s">
        <v>1533</v>
      </c>
      <c r="O524" s="24"/>
      <c r="P524" s="24" t="s">
        <v>303</v>
      </c>
      <c r="Q524" s="24" t="s">
        <v>942</v>
      </c>
      <c r="R524" s="73" t="s">
        <v>95</v>
      </c>
      <c r="S524" s="0" t="n">
        <f aca="false">IF(Recherche!$B$4="",0,IF(ISNUMBER(SEARCH(Recherche!$B$4,D524))+ISNUMBER(SEARCH(Recherche!$B$4,K524))&gt;0,1,0))</f>
        <v>0</v>
      </c>
      <c r="T524" s="0" t="str">
        <f aca="false">IF(S524=1,SUM($S$2:S524),"")</f>
        <v/>
      </c>
    </row>
    <row r="525" customFormat="false" ht="23.85" hidden="false" customHeight="false" outlineLevel="0" collapsed="false">
      <c r="A525" s="20" t="s">
        <v>2183</v>
      </c>
      <c r="B525" s="20" t="s">
        <v>62</v>
      </c>
      <c r="C525" s="20" t="s">
        <v>2161</v>
      </c>
      <c r="D525" s="19" t="s">
        <v>538</v>
      </c>
      <c r="E525" s="22" t="s">
        <v>91</v>
      </c>
      <c r="F525" s="20" t="s">
        <v>80</v>
      </c>
      <c r="G525" s="20" t="s">
        <v>939</v>
      </c>
      <c r="H525" s="21" t="n">
        <v>7.38</v>
      </c>
      <c r="I525" s="21"/>
      <c r="J525" s="52"/>
      <c r="K525" s="19" t="s">
        <v>539</v>
      </c>
      <c r="L525" s="20"/>
      <c r="M525" s="20" t="s">
        <v>2184</v>
      </c>
      <c r="N525" s="22" t="s">
        <v>91</v>
      </c>
      <c r="O525" s="20" t="s">
        <v>2163</v>
      </c>
      <c r="P525" s="20" t="s">
        <v>303</v>
      </c>
      <c r="Q525" s="20" t="s">
        <v>942</v>
      </c>
      <c r="R525" s="76" t="s">
        <v>95</v>
      </c>
      <c r="S525" s="0" t="n">
        <f aca="false">IF(Recherche!$B$4="",0,IF(ISNUMBER(SEARCH(Recherche!$B$4,D525))+ISNUMBER(SEARCH(Recherche!$B$4,K525))&gt;0,1,0))</f>
        <v>0</v>
      </c>
      <c r="T525" s="0" t="str">
        <f aca="false">IF(S525=1,SUM($S$2:S525),"")</f>
        <v/>
      </c>
    </row>
    <row r="526" customFormat="false" ht="23.85" hidden="false" customHeight="false" outlineLevel="0" collapsed="false">
      <c r="A526" s="24" t="s">
        <v>2183</v>
      </c>
      <c r="B526" s="24" t="s">
        <v>62</v>
      </c>
      <c r="C526" s="24" t="s">
        <v>2161</v>
      </c>
      <c r="D526" s="23" t="s">
        <v>538</v>
      </c>
      <c r="E526" s="26" t="s">
        <v>91</v>
      </c>
      <c r="F526" s="74" t="s">
        <v>81</v>
      </c>
      <c r="G526" s="74" t="s">
        <v>979</v>
      </c>
      <c r="H526" s="75" t="n">
        <v>33.48</v>
      </c>
      <c r="I526" s="25" t="n">
        <v>37.21</v>
      </c>
      <c r="J526" s="58" t="n">
        <v>10</v>
      </c>
      <c r="K526" s="23" t="s">
        <v>2185</v>
      </c>
      <c r="L526" s="24" t="s">
        <v>2149</v>
      </c>
      <c r="M526" s="24" t="s">
        <v>2186</v>
      </c>
      <c r="N526" s="26" t="s">
        <v>91</v>
      </c>
      <c r="O526" s="24" t="s">
        <v>2187</v>
      </c>
      <c r="P526" s="24" t="s">
        <v>169</v>
      </c>
      <c r="Q526" s="24" t="s">
        <v>1016</v>
      </c>
      <c r="R526" s="73" t="s">
        <v>95</v>
      </c>
      <c r="S526" s="0" t="n">
        <f aca="false">IF(Recherche!$B$4="",0,IF(ISNUMBER(SEARCH(Recherche!$B$4,D526))+ISNUMBER(SEARCH(Recherche!$B$4,K526))&gt;0,1,0))</f>
        <v>0</v>
      </c>
      <c r="T526" s="0" t="str">
        <f aca="false">IF(S526=1,SUM($S$2:S526),"")</f>
        <v/>
      </c>
    </row>
    <row r="527" customFormat="false" ht="23.85" hidden="false" customHeight="false" outlineLevel="0" collapsed="false">
      <c r="A527" s="20" t="s">
        <v>2188</v>
      </c>
      <c r="B527" s="20" t="s">
        <v>62</v>
      </c>
      <c r="C527" s="20" t="s">
        <v>2161</v>
      </c>
      <c r="D527" s="19" t="s">
        <v>540</v>
      </c>
      <c r="E527" s="22" t="s">
        <v>91</v>
      </c>
      <c r="F527" s="20" t="s">
        <v>76</v>
      </c>
      <c r="G527" s="20" t="s">
        <v>939</v>
      </c>
      <c r="H527" s="21" t="n">
        <v>8.08</v>
      </c>
      <c r="I527" s="21"/>
      <c r="J527" s="52"/>
      <c r="K527" s="19" t="s">
        <v>541</v>
      </c>
      <c r="L527" s="20" t="s">
        <v>2189</v>
      </c>
      <c r="M527" s="20" t="s">
        <v>2190</v>
      </c>
      <c r="N527" s="22" t="s">
        <v>91</v>
      </c>
      <c r="O527" s="20"/>
      <c r="P527" s="20" t="s">
        <v>93</v>
      </c>
      <c r="Q527" s="20" t="s">
        <v>942</v>
      </c>
      <c r="R527" s="76" t="s">
        <v>95</v>
      </c>
      <c r="S527" s="0" t="n">
        <f aca="false">IF(Recherche!$B$4="",0,IF(ISNUMBER(SEARCH(Recherche!$B$4,D527))+ISNUMBER(SEARCH(Recherche!$B$4,K527))&gt;0,1,0))</f>
        <v>0</v>
      </c>
      <c r="T527" s="0" t="str">
        <f aca="false">IF(S527=1,SUM($S$2:S527),"")</f>
        <v/>
      </c>
    </row>
    <row r="528" customFormat="false" ht="23.85" hidden="false" customHeight="false" outlineLevel="0" collapsed="false">
      <c r="A528" s="24" t="s">
        <v>2188</v>
      </c>
      <c r="B528" s="24" t="s">
        <v>62</v>
      </c>
      <c r="C528" s="24" t="s">
        <v>2161</v>
      </c>
      <c r="D528" s="23" t="s">
        <v>540</v>
      </c>
      <c r="E528" s="26" t="s">
        <v>91</v>
      </c>
      <c r="F528" s="24" t="s">
        <v>80</v>
      </c>
      <c r="G528" s="24" t="s">
        <v>939</v>
      </c>
      <c r="H528" s="25" t="n">
        <v>13.15</v>
      </c>
      <c r="I528" s="25"/>
      <c r="J528" s="58"/>
      <c r="K528" s="23" t="s">
        <v>2191</v>
      </c>
      <c r="L528" s="24"/>
      <c r="M528" s="24" t="s">
        <v>2192</v>
      </c>
      <c r="N528" s="26" t="s">
        <v>91</v>
      </c>
      <c r="O528" s="24"/>
      <c r="P528" s="24" t="s">
        <v>303</v>
      </c>
      <c r="Q528" s="24" t="s">
        <v>942</v>
      </c>
      <c r="R528" s="73" t="s">
        <v>95</v>
      </c>
      <c r="S528" s="0" t="n">
        <f aca="false">IF(Recherche!$B$4="",0,IF(ISNUMBER(SEARCH(Recherche!$B$4,D528))+ISNUMBER(SEARCH(Recherche!$B$4,K528))&gt;0,1,0))</f>
        <v>0</v>
      </c>
      <c r="T528" s="0" t="str">
        <f aca="false">IF(S528=1,SUM($S$2:S528),"")</f>
        <v/>
      </c>
    </row>
    <row r="529" customFormat="false" ht="23.85" hidden="false" customHeight="false" outlineLevel="0" collapsed="false">
      <c r="A529" s="20" t="s">
        <v>2188</v>
      </c>
      <c r="B529" s="20" t="s">
        <v>62</v>
      </c>
      <c r="C529" s="20" t="s">
        <v>2161</v>
      </c>
      <c r="D529" s="19" t="s">
        <v>540</v>
      </c>
      <c r="E529" s="22" t="s">
        <v>91</v>
      </c>
      <c r="F529" s="74" t="s">
        <v>81</v>
      </c>
      <c r="G529" s="74" t="s">
        <v>979</v>
      </c>
      <c r="H529" s="75" t="n">
        <v>90.59</v>
      </c>
      <c r="I529" s="21" t="n">
        <v>100.65</v>
      </c>
      <c r="J529" s="52" t="n">
        <v>10</v>
      </c>
      <c r="K529" s="19" t="s">
        <v>2193</v>
      </c>
      <c r="L529" s="20" t="s">
        <v>2189</v>
      </c>
      <c r="M529" s="20" t="s">
        <v>2194</v>
      </c>
      <c r="N529" s="22" t="s">
        <v>1216</v>
      </c>
      <c r="O529" s="20" t="s">
        <v>1216</v>
      </c>
      <c r="P529" s="20" t="s">
        <v>169</v>
      </c>
      <c r="Q529" s="20" t="s">
        <v>1007</v>
      </c>
      <c r="R529" s="76" t="s">
        <v>95</v>
      </c>
      <c r="S529" s="0" t="n">
        <f aca="false">IF(Recherche!$B$4="",0,IF(ISNUMBER(SEARCH(Recherche!$B$4,D529))+ISNUMBER(SEARCH(Recherche!$B$4,K529))&gt;0,1,0))</f>
        <v>0</v>
      </c>
      <c r="T529" s="0" t="str">
        <f aca="false">IF(S529=1,SUM($S$2:S529),"")</f>
        <v/>
      </c>
    </row>
    <row r="530" customFormat="false" ht="15" hidden="false" customHeight="false" outlineLevel="0" collapsed="false">
      <c r="A530" s="24" t="s">
        <v>2195</v>
      </c>
      <c r="B530" s="24" t="s">
        <v>62</v>
      </c>
      <c r="C530" s="24" t="s">
        <v>2161</v>
      </c>
      <c r="D530" s="23" t="s">
        <v>542</v>
      </c>
      <c r="E530" s="26" t="s">
        <v>137</v>
      </c>
      <c r="F530" s="74" t="s">
        <v>81</v>
      </c>
      <c r="G530" s="74" t="s">
        <v>979</v>
      </c>
      <c r="H530" s="75" t="n">
        <v>2.22</v>
      </c>
      <c r="I530" s="25" t="n">
        <v>2.32</v>
      </c>
      <c r="J530" s="58" t="n">
        <v>4.3</v>
      </c>
      <c r="K530" s="23" t="s">
        <v>543</v>
      </c>
      <c r="L530" s="24" t="s">
        <v>2034</v>
      </c>
      <c r="M530" s="24" t="s">
        <v>2196</v>
      </c>
      <c r="N530" s="26" t="s">
        <v>137</v>
      </c>
      <c r="O530" s="24" t="s">
        <v>2177</v>
      </c>
      <c r="P530" s="24" t="s">
        <v>119</v>
      </c>
      <c r="Q530" s="24" t="s">
        <v>1007</v>
      </c>
      <c r="R530" s="73" t="s">
        <v>95</v>
      </c>
      <c r="S530" s="0" t="n">
        <f aca="false">IF(Recherche!$B$4="",0,IF(ISNUMBER(SEARCH(Recherche!$B$4,D530))+ISNUMBER(SEARCH(Recherche!$B$4,K530))&gt;0,1,0))</f>
        <v>0</v>
      </c>
      <c r="T530" s="0" t="str">
        <f aca="false">IF(S530=1,SUM($S$2:S530),"")</f>
        <v/>
      </c>
    </row>
    <row r="531" customFormat="false" ht="15" hidden="false" customHeight="false" outlineLevel="0" collapsed="false">
      <c r="A531" s="20" t="s">
        <v>2195</v>
      </c>
      <c r="B531" s="20" t="s">
        <v>62</v>
      </c>
      <c r="C531" s="20" t="s">
        <v>2161</v>
      </c>
      <c r="D531" s="19" t="s">
        <v>542</v>
      </c>
      <c r="E531" s="22" t="s">
        <v>137</v>
      </c>
      <c r="F531" s="20" t="s">
        <v>76</v>
      </c>
      <c r="G531" s="20" t="s">
        <v>939</v>
      </c>
      <c r="H531" s="21" t="n">
        <v>8.77</v>
      </c>
      <c r="I531" s="21"/>
      <c r="J531" s="52"/>
      <c r="K531" s="19" t="s">
        <v>2197</v>
      </c>
      <c r="L531" s="20" t="s">
        <v>2198</v>
      </c>
      <c r="M531" s="20" t="s">
        <v>2199</v>
      </c>
      <c r="N531" s="22" t="s">
        <v>91</v>
      </c>
      <c r="O531" s="20"/>
      <c r="P531" s="20" t="s">
        <v>93</v>
      </c>
      <c r="Q531" s="20" t="s">
        <v>963</v>
      </c>
      <c r="R531" s="76" t="s">
        <v>95</v>
      </c>
      <c r="S531" s="0" t="n">
        <f aca="false">IF(Recherche!$B$4="",0,IF(ISNUMBER(SEARCH(Recherche!$B$4,D531))+ISNUMBER(SEARCH(Recherche!$B$4,K531))&gt;0,1,0))</f>
        <v>0</v>
      </c>
      <c r="T531" s="0" t="str">
        <f aca="false">IF(S531=1,SUM($S$2:S531),"")</f>
        <v/>
      </c>
    </row>
    <row r="532" customFormat="false" ht="23.85" hidden="false" customHeight="false" outlineLevel="0" collapsed="false">
      <c r="A532" s="24" t="s">
        <v>2200</v>
      </c>
      <c r="B532" s="24" t="s">
        <v>62</v>
      </c>
      <c r="C532" s="24" t="s">
        <v>2201</v>
      </c>
      <c r="D532" s="23" t="s">
        <v>544</v>
      </c>
      <c r="E532" s="26" t="s">
        <v>493</v>
      </c>
      <c r="F532" s="74" t="s">
        <v>79</v>
      </c>
      <c r="G532" s="74" t="s">
        <v>943</v>
      </c>
      <c r="H532" s="75" t="n">
        <v>4.66</v>
      </c>
      <c r="I532" s="25"/>
      <c r="J532" s="58"/>
      <c r="K532" s="23" t="s">
        <v>2202</v>
      </c>
      <c r="L532" s="24"/>
      <c r="M532" s="24" t="s">
        <v>2203</v>
      </c>
      <c r="N532" s="26" t="s">
        <v>2204</v>
      </c>
      <c r="O532" s="24"/>
      <c r="P532" s="24" t="s">
        <v>313</v>
      </c>
      <c r="Q532" s="24" t="s">
        <v>1387</v>
      </c>
      <c r="R532" s="73" t="s">
        <v>95</v>
      </c>
      <c r="S532" s="0" t="n">
        <f aca="false">IF(Recherche!$B$4="",0,IF(ISNUMBER(SEARCH(Recherche!$B$4,D532))+ISNUMBER(SEARCH(Recherche!$B$4,K532))&gt;0,1,0))</f>
        <v>0</v>
      </c>
      <c r="T532" s="0" t="str">
        <f aca="false">IF(S532=1,SUM($S$2:S532),"")</f>
        <v/>
      </c>
    </row>
    <row r="533" customFormat="false" ht="23.85" hidden="false" customHeight="false" outlineLevel="0" collapsed="false">
      <c r="A533" s="20" t="s">
        <v>2200</v>
      </c>
      <c r="B533" s="20" t="s">
        <v>62</v>
      </c>
      <c r="C533" s="20" t="s">
        <v>2201</v>
      </c>
      <c r="D533" s="19" t="s">
        <v>544</v>
      </c>
      <c r="E533" s="22" t="s">
        <v>493</v>
      </c>
      <c r="F533" s="74" t="s">
        <v>83</v>
      </c>
      <c r="G533" s="74" t="s">
        <v>943</v>
      </c>
      <c r="H533" s="75" t="n">
        <v>5.97</v>
      </c>
      <c r="I533" s="21"/>
      <c r="J533" s="52"/>
      <c r="K533" s="19" t="s">
        <v>545</v>
      </c>
      <c r="L533" s="20"/>
      <c r="M533" s="20" t="s">
        <v>2205</v>
      </c>
      <c r="N533" s="22" t="s">
        <v>2206</v>
      </c>
      <c r="O533" s="20"/>
      <c r="P533" s="20" t="s">
        <v>534</v>
      </c>
      <c r="Q533" s="20" t="s">
        <v>2164</v>
      </c>
      <c r="R533" s="76" t="s">
        <v>95</v>
      </c>
      <c r="S533" s="0" t="n">
        <f aca="false">IF(Recherche!$B$4="",0,IF(ISNUMBER(SEARCH(Recherche!$B$4,D533))+ISNUMBER(SEARCH(Recherche!$B$4,K533))&gt;0,1,0))</f>
        <v>0</v>
      </c>
      <c r="T533" s="0" t="str">
        <f aca="false">IF(S533=1,SUM($S$2:S533),"")</f>
        <v/>
      </c>
    </row>
    <row r="534" customFormat="false" ht="23.85" hidden="false" customHeight="false" outlineLevel="0" collapsed="false">
      <c r="A534" s="24" t="s">
        <v>2200</v>
      </c>
      <c r="B534" s="24" t="s">
        <v>62</v>
      </c>
      <c r="C534" s="24" t="s">
        <v>2201</v>
      </c>
      <c r="D534" s="23" t="s">
        <v>544</v>
      </c>
      <c r="E534" s="26" t="s">
        <v>493</v>
      </c>
      <c r="F534" s="24" t="s">
        <v>80</v>
      </c>
      <c r="G534" s="24" t="s">
        <v>939</v>
      </c>
      <c r="H534" s="25" t="n">
        <v>8.1</v>
      </c>
      <c r="I534" s="25"/>
      <c r="J534" s="58"/>
      <c r="K534" s="23" t="s">
        <v>2207</v>
      </c>
      <c r="L534" s="24"/>
      <c r="M534" s="24" t="s">
        <v>2208</v>
      </c>
      <c r="N534" s="26" t="s">
        <v>2209</v>
      </c>
      <c r="O534" s="24"/>
      <c r="P534" s="24" t="s">
        <v>303</v>
      </c>
      <c r="Q534" s="24" t="s">
        <v>942</v>
      </c>
      <c r="R534" s="73" t="s">
        <v>95</v>
      </c>
      <c r="S534" s="0" t="n">
        <f aca="false">IF(Recherche!$B$4="",0,IF(ISNUMBER(SEARCH(Recherche!$B$4,D534))+ISNUMBER(SEARCH(Recherche!$B$4,K534))&gt;0,1,0))</f>
        <v>0</v>
      </c>
      <c r="T534" s="0" t="str">
        <f aca="false">IF(S534=1,SUM($S$2:S534),"")</f>
        <v/>
      </c>
    </row>
    <row r="535" customFormat="false" ht="23.85" hidden="false" customHeight="false" outlineLevel="0" collapsed="false">
      <c r="A535" s="20" t="s">
        <v>2200</v>
      </c>
      <c r="B535" s="20" t="s">
        <v>62</v>
      </c>
      <c r="C535" s="20" t="s">
        <v>2201</v>
      </c>
      <c r="D535" s="19" t="s">
        <v>544</v>
      </c>
      <c r="E535" s="22" t="s">
        <v>493</v>
      </c>
      <c r="F535" s="74" t="s">
        <v>81</v>
      </c>
      <c r="G535" s="74" t="s">
        <v>979</v>
      </c>
      <c r="H535" s="75" t="n">
        <v>8.48</v>
      </c>
      <c r="I535" s="21" t="n">
        <v>11.24</v>
      </c>
      <c r="J535" s="52" t="n">
        <v>24.6</v>
      </c>
      <c r="K535" s="19" t="s">
        <v>2210</v>
      </c>
      <c r="L535" s="20" t="s">
        <v>2211</v>
      </c>
      <c r="M535" s="20" t="s">
        <v>2212</v>
      </c>
      <c r="N535" s="22" t="s">
        <v>2213</v>
      </c>
      <c r="O535" s="20" t="s">
        <v>1056</v>
      </c>
      <c r="P535" s="20" t="s">
        <v>119</v>
      </c>
      <c r="Q535" s="20" t="s">
        <v>1007</v>
      </c>
      <c r="R535" s="76" t="s">
        <v>95</v>
      </c>
      <c r="S535" s="0" t="n">
        <f aca="false">IF(Recherche!$B$4="",0,IF(ISNUMBER(SEARCH(Recherche!$B$4,D535))+ISNUMBER(SEARCH(Recherche!$B$4,K535))&gt;0,1,0))</f>
        <v>0</v>
      </c>
      <c r="T535" s="0" t="str">
        <f aca="false">IF(S535=1,SUM($S$2:S535),"")</f>
        <v/>
      </c>
    </row>
    <row r="536" customFormat="false" ht="23.85" hidden="false" customHeight="false" outlineLevel="0" collapsed="false">
      <c r="A536" s="24" t="s">
        <v>2214</v>
      </c>
      <c r="B536" s="24" t="s">
        <v>62</v>
      </c>
      <c r="C536" s="24" t="s">
        <v>2201</v>
      </c>
      <c r="D536" s="23" t="s">
        <v>546</v>
      </c>
      <c r="E536" s="26" t="s">
        <v>493</v>
      </c>
      <c r="F536" s="74" t="s">
        <v>81</v>
      </c>
      <c r="G536" s="74" t="s">
        <v>979</v>
      </c>
      <c r="H536" s="75" t="n">
        <v>8.73</v>
      </c>
      <c r="I536" s="25" t="n">
        <v>11.22</v>
      </c>
      <c r="J536" s="58" t="n">
        <v>22.2</v>
      </c>
      <c r="K536" s="23" t="s">
        <v>547</v>
      </c>
      <c r="L536" s="24" t="s">
        <v>2215</v>
      </c>
      <c r="M536" s="24" t="s">
        <v>2216</v>
      </c>
      <c r="N536" s="26" t="s">
        <v>2213</v>
      </c>
      <c r="O536" s="24" t="s">
        <v>2217</v>
      </c>
      <c r="P536" s="24" t="s">
        <v>169</v>
      </c>
      <c r="Q536" s="24" t="s">
        <v>1007</v>
      </c>
      <c r="R536" s="73" t="s">
        <v>95</v>
      </c>
      <c r="S536" s="0" t="n">
        <f aca="false">IF(Recherche!$B$4="",0,IF(ISNUMBER(SEARCH(Recherche!$B$4,D536))+ISNUMBER(SEARCH(Recherche!$B$4,K536))&gt;0,1,0))</f>
        <v>0</v>
      </c>
      <c r="T536" s="0" t="str">
        <f aca="false">IF(S536=1,SUM($S$2:S536),"")</f>
        <v/>
      </c>
    </row>
    <row r="537" customFormat="false" ht="35.05" hidden="false" customHeight="false" outlineLevel="0" collapsed="false">
      <c r="A537" s="20" t="s">
        <v>2214</v>
      </c>
      <c r="B537" s="20" t="s">
        <v>62</v>
      </c>
      <c r="C537" s="20" t="s">
        <v>2201</v>
      </c>
      <c r="D537" s="19" t="s">
        <v>546</v>
      </c>
      <c r="E537" s="22" t="s">
        <v>493</v>
      </c>
      <c r="F537" s="74" t="s">
        <v>83</v>
      </c>
      <c r="G537" s="74" t="s">
        <v>943</v>
      </c>
      <c r="H537" s="75" t="n">
        <v>12.31</v>
      </c>
      <c r="I537" s="21"/>
      <c r="J537" s="52"/>
      <c r="K537" s="19" t="s">
        <v>2218</v>
      </c>
      <c r="L537" s="20"/>
      <c r="M537" s="20" t="s">
        <v>2219</v>
      </c>
      <c r="N537" s="22" t="s">
        <v>2206</v>
      </c>
      <c r="O537" s="20"/>
      <c r="P537" s="20" t="s">
        <v>534</v>
      </c>
      <c r="Q537" s="20" t="s">
        <v>2164</v>
      </c>
      <c r="R537" s="76" t="s">
        <v>95</v>
      </c>
      <c r="S537" s="0" t="n">
        <f aca="false">IF(Recherche!$B$4="",0,IF(ISNUMBER(SEARCH(Recherche!$B$4,D537))+ISNUMBER(SEARCH(Recherche!$B$4,K537))&gt;0,1,0))</f>
        <v>0</v>
      </c>
      <c r="T537" s="0" t="str">
        <f aca="false">IF(S537=1,SUM($S$2:S537),"")</f>
        <v/>
      </c>
    </row>
    <row r="538" customFormat="false" ht="23.85" hidden="false" customHeight="false" outlineLevel="0" collapsed="false">
      <c r="A538" s="24" t="s">
        <v>2214</v>
      </c>
      <c r="B538" s="24" t="s">
        <v>62</v>
      </c>
      <c r="C538" s="24" t="s">
        <v>2201</v>
      </c>
      <c r="D538" s="23" t="s">
        <v>546</v>
      </c>
      <c r="E538" s="26" t="s">
        <v>493</v>
      </c>
      <c r="F538" s="74" t="s">
        <v>79</v>
      </c>
      <c r="G538" s="74" t="s">
        <v>943</v>
      </c>
      <c r="H538" s="75" t="n">
        <v>33.92</v>
      </c>
      <c r="I538" s="25"/>
      <c r="J538" s="58"/>
      <c r="K538" s="23" t="s">
        <v>2220</v>
      </c>
      <c r="L538" s="24"/>
      <c r="M538" s="24" t="s">
        <v>2221</v>
      </c>
      <c r="N538" s="26" t="s">
        <v>493</v>
      </c>
      <c r="O538" s="24"/>
      <c r="P538" s="24" t="s">
        <v>313</v>
      </c>
      <c r="Q538" s="24" t="s">
        <v>1387</v>
      </c>
      <c r="R538" s="73"/>
      <c r="S538" s="0" t="n">
        <f aca="false">IF(Recherche!$B$4="",0,IF(ISNUMBER(SEARCH(Recherche!$B$4,D538))+ISNUMBER(SEARCH(Recherche!$B$4,K538))&gt;0,1,0))</f>
        <v>0</v>
      </c>
      <c r="T538" s="0" t="str">
        <f aca="false">IF(S538=1,SUM($S$2:S538),"")</f>
        <v/>
      </c>
    </row>
    <row r="539" customFormat="false" ht="23.85" hidden="false" customHeight="false" outlineLevel="0" collapsed="false">
      <c r="A539" s="20" t="s">
        <v>2214</v>
      </c>
      <c r="B539" s="20" t="s">
        <v>62</v>
      </c>
      <c r="C539" s="20" t="s">
        <v>2201</v>
      </c>
      <c r="D539" s="19" t="s">
        <v>546</v>
      </c>
      <c r="E539" s="22" t="s">
        <v>493</v>
      </c>
      <c r="F539" s="20" t="s">
        <v>80</v>
      </c>
      <c r="G539" s="20" t="s">
        <v>939</v>
      </c>
      <c r="H539" s="21" t="n">
        <v>39.35</v>
      </c>
      <c r="I539" s="21"/>
      <c r="J539" s="52"/>
      <c r="K539" s="19" t="s">
        <v>2222</v>
      </c>
      <c r="L539" s="20"/>
      <c r="M539" s="20" t="s">
        <v>2223</v>
      </c>
      <c r="N539" s="22" t="s">
        <v>2209</v>
      </c>
      <c r="O539" s="20"/>
      <c r="P539" s="20" t="s">
        <v>303</v>
      </c>
      <c r="Q539" s="20" t="s">
        <v>942</v>
      </c>
      <c r="R539" s="76" t="s">
        <v>95</v>
      </c>
      <c r="S539" s="0" t="n">
        <f aca="false">IF(Recherche!$B$4="",0,IF(ISNUMBER(SEARCH(Recherche!$B$4,D539))+ISNUMBER(SEARCH(Recherche!$B$4,K539))&gt;0,1,0))</f>
        <v>0</v>
      </c>
      <c r="T539" s="0" t="str">
        <f aca="false">IF(S539=1,SUM($S$2:S539),"")</f>
        <v/>
      </c>
    </row>
    <row r="540" customFormat="false" ht="23.85" hidden="false" customHeight="false" outlineLevel="0" collapsed="false">
      <c r="A540" s="24" t="s">
        <v>2224</v>
      </c>
      <c r="B540" s="24" t="s">
        <v>62</v>
      </c>
      <c r="C540" s="24" t="s">
        <v>2201</v>
      </c>
      <c r="D540" s="23" t="s">
        <v>548</v>
      </c>
      <c r="E540" s="26" t="s">
        <v>493</v>
      </c>
      <c r="F540" s="74" t="s">
        <v>81</v>
      </c>
      <c r="G540" s="74" t="s">
        <v>979</v>
      </c>
      <c r="H540" s="75" t="n">
        <v>3.94</v>
      </c>
      <c r="I540" s="25" t="n">
        <v>4.21</v>
      </c>
      <c r="J540" s="58" t="n">
        <v>6.4</v>
      </c>
      <c r="K540" s="23" t="s">
        <v>549</v>
      </c>
      <c r="L540" s="24" t="s">
        <v>2225</v>
      </c>
      <c r="M540" s="24" t="s">
        <v>2226</v>
      </c>
      <c r="N540" s="26" t="s">
        <v>2213</v>
      </c>
      <c r="O540" s="24" t="s">
        <v>2227</v>
      </c>
      <c r="P540" s="24" t="s">
        <v>169</v>
      </c>
      <c r="Q540" s="24" t="s">
        <v>1007</v>
      </c>
      <c r="R540" s="73" t="s">
        <v>95</v>
      </c>
      <c r="S540" s="0" t="n">
        <f aca="false">IF(Recherche!$B$4="",0,IF(ISNUMBER(SEARCH(Recherche!$B$4,D540))+ISNUMBER(SEARCH(Recherche!$B$4,K540))&gt;0,1,0))</f>
        <v>0</v>
      </c>
      <c r="T540" s="0" t="str">
        <f aca="false">IF(S540=1,SUM($S$2:S540),"")</f>
        <v/>
      </c>
    </row>
    <row r="541" customFormat="false" ht="23.85" hidden="false" customHeight="false" outlineLevel="0" collapsed="false">
      <c r="A541" s="20" t="s">
        <v>2224</v>
      </c>
      <c r="B541" s="20" t="s">
        <v>62</v>
      </c>
      <c r="C541" s="20" t="s">
        <v>2201</v>
      </c>
      <c r="D541" s="19" t="s">
        <v>548</v>
      </c>
      <c r="E541" s="22" t="s">
        <v>493</v>
      </c>
      <c r="F541" s="74" t="s">
        <v>79</v>
      </c>
      <c r="G541" s="74" t="s">
        <v>943</v>
      </c>
      <c r="H541" s="75" t="n">
        <v>5.53</v>
      </c>
      <c r="I541" s="21"/>
      <c r="J541" s="52"/>
      <c r="K541" s="19" t="s">
        <v>2228</v>
      </c>
      <c r="L541" s="20"/>
      <c r="M541" s="20" t="s">
        <v>2229</v>
      </c>
      <c r="N541" s="22" t="s">
        <v>493</v>
      </c>
      <c r="O541" s="20"/>
      <c r="P541" s="20" t="s">
        <v>313</v>
      </c>
      <c r="Q541" s="20" t="s">
        <v>1016</v>
      </c>
      <c r="R541" s="76"/>
      <c r="S541" s="0" t="n">
        <f aca="false">IF(Recherche!$B$4="",0,IF(ISNUMBER(SEARCH(Recherche!$B$4,D541))+ISNUMBER(SEARCH(Recherche!$B$4,K541))&gt;0,1,0))</f>
        <v>0</v>
      </c>
      <c r="T541" s="0" t="str">
        <f aca="false">IF(S541=1,SUM($S$2:S541),"")</f>
        <v/>
      </c>
    </row>
    <row r="542" customFormat="false" ht="23.85" hidden="false" customHeight="false" outlineLevel="0" collapsed="false">
      <c r="A542" s="24" t="s">
        <v>2224</v>
      </c>
      <c r="B542" s="24" t="s">
        <v>62</v>
      </c>
      <c r="C542" s="24" t="s">
        <v>2201</v>
      </c>
      <c r="D542" s="23" t="s">
        <v>548</v>
      </c>
      <c r="E542" s="26" t="s">
        <v>493</v>
      </c>
      <c r="F542" s="24" t="s">
        <v>80</v>
      </c>
      <c r="G542" s="24" t="s">
        <v>939</v>
      </c>
      <c r="H542" s="25" t="n">
        <v>10.54</v>
      </c>
      <c r="I542" s="25"/>
      <c r="J542" s="58"/>
      <c r="K542" s="23" t="s">
        <v>2230</v>
      </c>
      <c r="L542" s="24"/>
      <c r="M542" s="24" t="s">
        <v>2231</v>
      </c>
      <c r="N542" s="26" t="s">
        <v>2209</v>
      </c>
      <c r="O542" s="24"/>
      <c r="P542" s="24" t="s">
        <v>303</v>
      </c>
      <c r="Q542" s="24" t="s">
        <v>942</v>
      </c>
      <c r="R542" s="73" t="s">
        <v>95</v>
      </c>
      <c r="S542" s="0" t="n">
        <f aca="false">IF(Recherche!$B$4="",0,IF(ISNUMBER(SEARCH(Recherche!$B$4,D542))+ISNUMBER(SEARCH(Recherche!$B$4,K542))&gt;0,1,0))</f>
        <v>0</v>
      </c>
      <c r="T542" s="0" t="str">
        <f aca="false">IF(S542=1,SUM($S$2:S542),"")</f>
        <v/>
      </c>
    </row>
    <row r="543" customFormat="false" ht="23.85" hidden="false" customHeight="false" outlineLevel="0" collapsed="false">
      <c r="A543" s="20" t="s">
        <v>2224</v>
      </c>
      <c r="B543" s="20" t="s">
        <v>62</v>
      </c>
      <c r="C543" s="20" t="s">
        <v>2201</v>
      </c>
      <c r="D543" s="19" t="s">
        <v>548</v>
      </c>
      <c r="E543" s="22" t="s">
        <v>493</v>
      </c>
      <c r="F543" s="74" t="s">
        <v>83</v>
      </c>
      <c r="G543" s="74" t="s">
        <v>943</v>
      </c>
      <c r="H543" s="75" t="n">
        <v>15.18</v>
      </c>
      <c r="I543" s="21"/>
      <c r="J543" s="52"/>
      <c r="K543" s="19" t="s">
        <v>2232</v>
      </c>
      <c r="L543" s="20"/>
      <c r="M543" s="20" t="s">
        <v>2233</v>
      </c>
      <c r="N543" s="22" t="s">
        <v>2206</v>
      </c>
      <c r="O543" s="20"/>
      <c r="P543" s="20" t="s">
        <v>534</v>
      </c>
      <c r="Q543" s="20" t="s">
        <v>2164</v>
      </c>
      <c r="R543" s="76" t="s">
        <v>95</v>
      </c>
      <c r="S543" s="0" t="n">
        <f aca="false">IF(Recherche!$B$4="",0,IF(ISNUMBER(SEARCH(Recherche!$B$4,D543))+ISNUMBER(SEARCH(Recherche!$B$4,K543))&gt;0,1,0))</f>
        <v>0</v>
      </c>
      <c r="T543" s="0" t="str">
        <f aca="false">IF(S543=1,SUM($S$2:S543),"")</f>
        <v/>
      </c>
    </row>
    <row r="544" customFormat="false" ht="35.05" hidden="false" customHeight="false" outlineLevel="0" collapsed="false">
      <c r="A544" s="24" t="s">
        <v>2234</v>
      </c>
      <c r="B544" s="24" t="s">
        <v>62</v>
      </c>
      <c r="C544" s="24" t="s">
        <v>2201</v>
      </c>
      <c r="D544" s="23" t="s">
        <v>550</v>
      </c>
      <c r="E544" s="26" t="s">
        <v>493</v>
      </c>
      <c r="F544" s="74" t="s">
        <v>81</v>
      </c>
      <c r="G544" s="74" t="s">
        <v>979</v>
      </c>
      <c r="H544" s="75" t="n">
        <v>11.62</v>
      </c>
      <c r="I544" s="25" t="n">
        <v>12.84</v>
      </c>
      <c r="J544" s="58" t="n">
        <v>9.5</v>
      </c>
      <c r="K544" s="23" t="s">
        <v>551</v>
      </c>
      <c r="L544" s="24" t="s">
        <v>2235</v>
      </c>
      <c r="M544" s="24" t="s">
        <v>2236</v>
      </c>
      <c r="N544" s="26" t="s">
        <v>2213</v>
      </c>
      <c r="O544" s="24" t="s">
        <v>1056</v>
      </c>
      <c r="P544" s="24" t="s">
        <v>169</v>
      </c>
      <c r="Q544" s="24" t="s">
        <v>1007</v>
      </c>
      <c r="R544" s="73" t="s">
        <v>95</v>
      </c>
      <c r="S544" s="0" t="n">
        <f aca="false">IF(Recherche!$B$4="",0,IF(ISNUMBER(SEARCH(Recherche!$B$4,D544))+ISNUMBER(SEARCH(Recherche!$B$4,K544))&gt;0,1,0))</f>
        <v>0</v>
      </c>
      <c r="T544" s="0" t="str">
        <f aca="false">IF(S544=1,SUM($S$2:S544),"")</f>
        <v/>
      </c>
    </row>
    <row r="545" customFormat="false" ht="23.85" hidden="false" customHeight="false" outlineLevel="0" collapsed="false">
      <c r="A545" s="20" t="s">
        <v>2234</v>
      </c>
      <c r="B545" s="20" t="s">
        <v>62</v>
      </c>
      <c r="C545" s="20" t="s">
        <v>2201</v>
      </c>
      <c r="D545" s="19" t="s">
        <v>550</v>
      </c>
      <c r="E545" s="22" t="s">
        <v>493</v>
      </c>
      <c r="F545" s="74" t="s">
        <v>79</v>
      </c>
      <c r="G545" s="74" t="s">
        <v>943</v>
      </c>
      <c r="H545" s="75" t="n">
        <v>14.84</v>
      </c>
      <c r="I545" s="21"/>
      <c r="J545" s="52"/>
      <c r="K545" s="19" t="s">
        <v>2237</v>
      </c>
      <c r="L545" s="20"/>
      <c r="M545" s="20" t="s">
        <v>2238</v>
      </c>
      <c r="N545" s="22" t="s">
        <v>493</v>
      </c>
      <c r="O545" s="20"/>
      <c r="P545" s="20" t="s">
        <v>313</v>
      </c>
      <c r="Q545" s="20" t="s">
        <v>1387</v>
      </c>
      <c r="R545" s="76"/>
      <c r="S545" s="0" t="n">
        <f aca="false">IF(Recherche!$B$4="",0,IF(ISNUMBER(SEARCH(Recherche!$B$4,D545))+ISNUMBER(SEARCH(Recherche!$B$4,K545))&gt;0,1,0))</f>
        <v>0</v>
      </c>
      <c r="T545" s="0" t="str">
        <f aca="false">IF(S545=1,SUM($S$2:S545),"")</f>
        <v/>
      </c>
    </row>
    <row r="546" customFormat="false" ht="23.85" hidden="false" customHeight="false" outlineLevel="0" collapsed="false">
      <c r="A546" s="24" t="s">
        <v>2234</v>
      </c>
      <c r="B546" s="24" t="s">
        <v>62</v>
      </c>
      <c r="C546" s="24" t="s">
        <v>2201</v>
      </c>
      <c r="D546" s="23" t="s">
        <v>550</v>
      </c>
      <c r="E546" s="26" t="s">
        <v>493</v>
      </c>
      <c r="F546" s="24" t="s">
        <v>80</v>
      </c>
      <c r="G546" s="24" t="s">
        <v>939</v>
      </c>
      <c r="H546" s="25" t="n">
        <v>253.65</v>
      </c>
      <c r="I546" s="25"/>
      <c r="J546" s="58"/>
      <c r="K546" s="23" t="s">
        <v>2239</v>
      </c>
      <c r="L546" s="24"/>
      <c r="M546" s="24" t="s">
        <v>2240</v>
      </c>
      <c r="N546" s="26" t="s">
        <v>91</v>
      </c>
      <c r="O546" s="24"/>
      <c r="P546" s="24" t="s">
        <v>303</v>
      </c>
      <c r="Q546" s="24" t="s">
        <v>1085</v>
      </c>
      <c r="R546" s="73" t="s">
        <v>95</v>
      </c>
      <c r="S546" s="0" t="n">
        <f aca="false">IF(Recherche!$B$4="",0,IF(ISNUMBER(SEARCH(Recherche!$B$4,D546))+ISNUMBER(SEARCH(Recherche!$B$4,K546))&gt;0,1,0))</f>
        <v>0</v>
      </c>
      <c r="T546" s="0" t="str">
        <f aca="false">IF(S546=1,SUM($S$2:S546),"")</f>
        <v/>
      </c>
    </row>
    <row r="547" customFormat="false" ht="15" hidden="false" customHeight="false" outlineLevel="0" collapsed="false">
      <c r="A547" s="20" t="s">
        <v>2241</v>
      </c>
      <c r="B547" s="20" t="s">
        <v>62</v>
      </c>
      <c r="C547" s="20" t="s">
        <v>2242</v>
      </c>
      <c r="D547" s="19" t="s">
        <v>552</v>
      </c>
      <c r="E547" s="22" t="s">
        <v>553</v>
      </c>
      <c r="F547" s="74" t="s">
        <v>83</v>
      </c>
      <c r="G547" s="74" t="s">
        <v>943</v>
      </c>
      <c r="H547" s="75" t="n">
        <v>4.61</v>
      </c>
      <c r="I547" s="21"/>
      <c r="J547" s="52"/>
      <c r="K547" s="19" t="s">
        <v>2243</v>
      </c>
      <c r="L547" s="20"/>
      <c r="M547" s="20" t="s">
        <v>2244</v>
      </c>
      <c r="N547" s="22" t="s">
        <v>2245</v>
      </c>
      <c r="O547" s="20"/>
      <c r="P547" s="20" t="s">
        <v>534</v>
      </c>
      <c r="Q547" s="20" t="s">
        <v>1016</v>
      </c>
      <c r="R547" s="76" t="s">
        <v>95</v>
      </c>
      <c r="S547" s="0" t="n">
        <f aca="false">IF(Recherche!$B$4="",0,IF(ISNUMBER(SEARCH(Recherche!$B$4,D547))+ISNUMBER(SEARCH(Recherche!$B$4,K547))&gt;0,1,0))</f>
        <v>0</v>
      </c>
      <c r="T547" s="0" t="str">
        <f aca="false">IF(S547=1,SUM($S$2:S547),"")</f>
        <v/>
      </c>
    </row>
    <row r="548" customFormat="false" ht="15" hidden="false" customHeight="false" outlineLevel="0" collapsed="false">
      <c r="A548" s="24" t="s">
        <v>2241</v>
      </c>
      <c r="B548" s="24" t="s">
        <v>62</v>
      </c>
      <c r="C548" s="24" t="s">
        <v>2242</v>
      </c>
      <c r="D548" s="23" t="s">
        <v>552</v>
      </c>
      <c r="E548" s="26" t="s">
        <v>553</v>
      </c>
      <c r="F548" s="24" t="s">
        <v>76</v>
      </c>
      <c r="G548" s="24" t="s">
        <v>939</v>
      </c>
      <c r="H548" s="25" t="n">
        <v>10.82</v>
      </c>
      <c r="I548" s="25"/>
      <c r="J548" s="58"/>
      <c r="K548" s="23" t="s">
        <v>554</v>
      </c>
      <c r="L548" s="24" t="s">
        <v>2246</v>
      </c>
      <c r="M548" s="24" t="s">
        <v>2247</v>
      </c>
      <c r="N548" s="26" t="s">
        <v>553</v>
      </c>
      <c r="O548" s="24"/>
      <c r="P548" s="24" t="s">
        <v>93</v>
      </c>
      <c r="Q548" s="24" t="s">
        <v>963</v>
      </c>
      <c r="R548" s="73" t="s">
        <v>95</v>
      </c>
      <c r="S548" s="0" t="n">
        <f aca="false">IF(Recherche!$B$4="",0,IF(ISNUMBER(SEARCH(Recherche!$B$4,D548))+ISNUMBER(SEARCH(Recherche!$B$4,K548))&gt;0,1,0))</f>
        <v>0</v>
      </c>
      <c r="T548" s="0" t="str">
        <f aca="false">IF(S548=1,SUM($S$2:S548),"")</f>
        <v/>
      </c>
    </row>
    <row r="549" customFormat="false" ht="23.85" hidden="false" customHeight="false" outlineLevel="0" collapsed="false">
      <c r="A549" s="20" t="s">
        <v>2241</v>
      </c>
      <c r="B549" s="20" t="s">
        <v>62</v>
      </c>
      <c r="C549" s="20" t="s">
        <v>2242</v>
      </c>
      <c r="D549" s="19" t="s">
        <v>552</v>
      </c>
      <c r="E549" s="22" t="s">
        <v>553</v>
      </c>
      <c r="F549" s="20" t="s">
        <v>80</v>
      </c>
      <c r="G549" s="20" t="s">
        <v>939</v>
      </c>
      <c r="H549" s="21" t="n">
        <v>11.6</v>
      </c>
      <c r="I549" s="21"/>
      <c r="J549" s="52"/>
      <c r="K549" s="19" t="s">
        <v>2248</v>
      </c>
      <c r="L549" s="20"/>
      <c r="M549" s="20" t="s">
        <v>2249</v>
      </c>
      <c r="N549" s="22" t="s">
        <v>91</v>
      </c>
      <c r="O549" s="20"/>
      <c r="P549" s="20" t="s">
        <v>303</v>
      </c>
      <c r="Q549" s="20" t="s">
        <v>942</v>
      </c>
      <c r="R549" s="76" t="s">
        <v>95</v>
      </c>
      <c r="S549" s="0" t="n">
        <f aca="false">IF(Recherche!$B$4="",0,IF(ISNUMBER(SEARCH(Recherche!$B$4,D549))+ISNUMBER(SEARCH(Recherche!$B$4,K549))&gt;0,1,0))</f>
        <v>0</v>
      </c>
      <c r="T549" s="0" t="str">
        <f aca="false">IF(S549=1,SUM($S$2:S549),"")</f>
        <v/>
      </c>
    </row>
    <row r="550" customFormat="false" ht="23.85" hidden="false" customHeight="false" outlineLevel="0" collapsed="false">
      <c r="A550" s="24" t="s">
        <v>2241</v>
      </c>
      <c r="B550" s="24" t="s">
        <v>62</v>
      </c>
      <c r="C550" s="24" t="s">
        <v>2242</v>
      </c>
      <c r="D550" s="23" t="s">
        <v>552</v>
      </c>
      <c r="E550" s="26" t="s">
        <v>553</v>
      </c>
      <c r="F550" s="74" t="s">
        <v>79</v>
      </c>
      <c r="G550" s="74" t="s">
        <v>943</v>
      </c>
      <c r="H550" s="75" t="n">
        <v>12.3</v>
      </c>
      <c r="I550" s="25"/>
      <c r="J550" s="58"/>
      <c r="K550" s="23" t="s">
        <v>2250</v>
      </c>
      <c r="L550" s="24"/>
      <c r="M550" s="24" t="s">
        <v>2251</v>
      </c>
      <c r="N550" s="26" t="s">
        <v>553</v>
      </c>
      <c r="O550" s="24"/>
      <c r="P550" s="24" t="s">
        <v>313</v>
      </c>
      <c r="Q550" s="24" t="s">
        <v>1387</v>
      </c>
      <c r="R550" s="73" t="s">
        <v>95</v>
      </c>
      <c r="S550" s="0" t="n">
        <f aca="false">IF(Recherche!$B$4="",0,IF(ISNUMBER(SEARCH(Recherche!$B$4,D550))+ISNUMBER(SEARCH(Recherche!$B$4,K550))&gt;0,1,0))</f>
        <v>0</v>
      </c>
      <c r="T550" s="0" t="str">
        <f aca="false">IF(S550=1,SUM($S$2:S550),"")</f>
        <v/>
      </c>
    </row>
    <row r="551" customFormat="false" ht="15" hidden="false" customHeight="false" outlineLevel="0" collapsed="false">
      <c r="A551" s="20" t="s">
        <v>2241</v>
      </c>
      <c r="B551" s="20" t="s">
        <v>62</v>
      </c>
      <c r="C551" s="20" t="s">
        <v>2242</v>
      </c>
      <c r="D551" s="19" t="s">
        <v>552</v>
      </c>
      <c r="E551" s="22" t="s">
        <v>553</v>
      </c>
      <c r="F551" s="74" t="s">
        <v>81</v>
      </c>
      <c r="G551" s="74" t="s">
        <v>979</v>
      </c>
      <c r="H551" s="75" t="n">
        <v>17.39</v>
      </c>
      <c r="I551" s="21" t="n">
        <v>18.3</v>
      </c>
      <c r="J551" s="52" t="n">
        <v>5</v>
      </c>
      <c r="K551" s="19" t="s">
        <v>2252</v>
      </c>
      <c r="L551" s="20" t="s">
        <v>2253</v>
      </c>
      <c r="M551" s="20" t="s">
        <v>2254</v>
      </c>
      <c r="N551" s="22" t="s">
        <v>1700</v>
      </c>
      <c r="O551" s="20" t="s">
        <v>1700</v>
      </c>
      <c r="P551" s="20" t="s">
        <v>119</v>
      </c>
      <c r="Q551" s="20" t="s">
        <v>1007</v>
      </c>
      <c r="R551" s="76" t="s">
        <v>95</v>
      </c>
      <c r="S551" s="0" t="n">
        <f aca="false">IF(Recherche!$B$4="",0,IF(ISNUMBER(SEARCH(Recherche!$B$4,D551))+ISNUMBER(SEARCH(Recherche!$B$4,K551))&gt;0,1,0))</f>
        <v>0</v>
      </c>
      <c r="T551" s="0" t="str">
        <f aca="false">IF(S551=1,SUM($S$2:S551),"")</f>
        <v/>
      </c>
    </row>
    <row r="552" customFormat="false" ht="15" hidden="false" customHeight="false" outlineLevel="0" collapsed="false">
      <c r="A552" s="24" t="s">
        <v>2255</v>
      </c>
      <c r="B552" s="24" t="s">
        <v>62</v>
      </c>
      <c r="C552" s="24" t="s">
        <v>2242</v>
      </c>
      <c r="D552" s="23" t="s">
        <v>555</v>
      </c>
      <c r="E552" s="26" t="s">
        <v>556</v>
      </c>
      <c r="F552" s="24" t="s">
        <v>76</v>
      </c>
      <c r="G552" s="24" t="s">
        <v>939</v>
      </c>
      <c r="H552" s="25" t="n">
        <v>5.76</v>
      </c>
      <c r="I552" s="25"/>
      <c r="J552" s="58"/>
      <c r="K552" s="23" t="s">
        <v>557</v>
      </c>
      <c r="L552" s="24" t="s">
        <v>2256</v>
      </c>
      <c r="M552" s="24" t="s">
        <v>2257</v>
      </c>
      <c r="N552" s="26" t="s">
        <v>556</v>
      </c>
      <c r="O552" s="24"/>
      <c r="P552" s="24" t="s">
        <v>93</v>
      </c>
      <c r="Q552" s="24" t="s">
        <v>963</v>
      </c>
      <c r="R552" s="73" t="s">
        <v>95</v>
      </c>
      <c r="S552" s="0" t="n">
        <f aca="false">IF(Recherche!$B$4="",0,IF(ISNUMBER(SEARCH(Recherche!$B$4,D552))+ISNUMBER(SEARCH(Recherche!$B$4,K552))&gt;0,1,0))</f>
        <v>0</v>
      </c>
      <c r="T552" s="0" t="str">
        <f aca="false">IF(S552=1,SUM($S$2:S552),"")</f>
        <v/>
      </c>
    </row>
    <row r="553" customFormat="false" ht="23.85" hidden="false" customHeight="false" outlineLevel="0" collapsed="false">
      <c r="A553" s="20" t="s">
        <v>2255</v>
      </c>
      <c r="B553" s="20" t="s">
        <v>62</v>
      </c>
      <c r="C553" s="20" t="s">
        <v>2242</v>
      </c>
      <c r="D553" s="19" t="s">
        <v>555</v>
      </c>
      <c r="E553" s="22" t="s">
        <v>556</v>
      </c>
      <c r="F553" s="74" t="s">
        <v>83</v>
      </c>
      <c r="G553" s="74" t="s">
        <v>943</v>
      </c>
      <c r="H553" s="75" t="n">
        <v>8.68</v>
      </c>
      <c r="I553" s="21"/>
      <c r="J553" s="52"/>
      <c r="K553" s="19" t="s">
        <v>2258</v>
      </c>
      <c r="L553" s="20"/>
      <c r="M553" s="20" t="s">
        <v>2259</v>
      </c>
      <c r="N553" s="22" t="s">
        <v>91</v>
      </c>
      <c r="O553" s="20"/>
      <c r="P553" s="20" t="s">
        <v>534</v>
      </c>
      <c r="Q553" s="20" t="s">
        <v>2164</v>
      </c>
      <c r="R553" s="76" t="s">
        <v>95</v>
      </c>
      <c r="S553" s="0" t="n">
        <f aca="false">IF(Recherche!$B$4="",0,IF(ISNUMBER(SEARCH(Recherche!$B$4,D553))+ISNUMBER(SEARCH(Recherche!$B$4,K553))&gt;0,1,0))</f>
        <v>0</v>
      </c>
      <c r="T553" s="0" t="str">
        <f aca="false">IF(S553=1,SUM($S$2:S553),"")</f>
        <v/>
      </c>
    </row>
    <row r="554" customFormat="false" ht="23.85" hidden="false" customHeight="false" outlineLevel="0" collapsed="false">
      <c r="A554" s="24" t="s">
        <v>2255</v>
      </c>
      <c r="B554" s="24" t="s">
        <v>62</v>
      </c>
      <c r="C554" s="24" t="s">
        <v>2242</v>
      </c>
      <c r="D554" s="23" t="s">
        <v>555</v>
      </c>
      <c r="E554" s="26" t="s">
        <v>556</v>
      </c>
      <c r="F554" s="74" t="s">
        <v>79</v>
      </c>
      <c r="G554" s="74" t="s">
        <v>943</v>
      </c>
      <c r="H554" s="75" t="n">
        <v>9.36</v>
      </c>
      <c r="I554" s="25"/>
      <c r="J554" s="58"/>
      <c r="K554" s="23" t="s">
        <v>2260</v>
      </c>
      <c r="L554" s="24"/>
      <c r="M554" s="24" t="s">
        <v>2261</v>
      </c>
      <c r="N554" s="26" t="s">
        <v>2262</v>
      </c>
      <c r="O554" s="24"/>
      <c r="P554" s="24" t="s">
        <v>313</v>
      </c>
      <c r="Q554" s="24" t="s">
        <v>1387</v>
      </c>
      <c r="R554" s="73" t="s">
        <v>95</v>
      </c>
      <c r="S554" s="0" t="n">
        <f aca="false">IF(Recherche!$B$4="",0,IF(ISNUMBER(SEARCH(Recherche!$B$4,D554))+ISNUMBER(SEARCH(Recherche!$B$4,K554))&gt;0,1,0))</f>
        <v>0</v>
      </c>
      <c r="T554" s="0" t="str">
        <f aca="false">IF(S554=1,SUM($S$2:S554),"")</f>
        <v/>
      </c>
    </row>
    <row r="555" customFormat="false" ht="23.85" hidden="false" customHeight="false" outlineLevel="0" collapsed="false">
      <c r="A555" s="20" t="s">
        <v>2255</v>
      </c>
      <c r="B555" s="20" t="s">
        <v>62</v>
      </c>
      <c r="C555" s="20" t="s">
        <v>2242</v>
      </c>
      <c r="D555" s="19" t="s">
        <v>555</v>
      </c>
      <c r="E555" s="22" t="s">
        <v>556</v>
      </c>
      <c r="F555" s="20" t="s">
        <v>80</v>
      </c>
      <c r="G555" s="20" t="s">
        <v>939</v>
      </c>
      <c r="H555" s="21" t="n">
        <v>13.49</v>
      </c>
      <c r="I555" s="21"/>
      <c r="J555" s="52"/>
      <c r="K555" s="19" t="s">
        <v>2263</v>
      </c>
      <c r="L555" s="20"/>
      <c r="M555" s="20" t="s">
        <v>2264</v>
      </c>
      <c r="N555" s="22" t="s">
        <v>91</v>
      </c>
      <c r="O555" s="20"/>
      <c r="P555" s="20" t="s">
        <v>303</v>
      </c>
      <c r="Q555" s="20" t="s">
        <v>963</v>
      </c>
      <c r="R555" s="76" t="s">
        <v>95</v>
      </c>
      <c r="S555" s="0" t="n">
        <f aca="false">IF(Recherche!$B$4="",0,IF(ISNUMBER(SEARCH(Recherche!$B$4,D555))+ISNUMBER(SEARCH(Recherche!$B$4,K555))&gt;0,1,0))</f>
        <v>0</v>
      </c>
      <c r="T555" s="0" t="str">
        <f aca="false">IF(S555=1,SUM($S$2:S555),"")</f>
        <v/>
      </c>
    </row>
    <row r="556" customFormat="false" ht="23.85" hidden="false" customHeight="false" outlineLevel="0" collapsed="false">
      <c r="A556" s="24" t="s">
        <v>2255</v>
      </c>
      <c r="B556" s="24" t="s">
        <v>62</v>
      </c>
      <c r="C556" s="24" t="s">
        <v>2242</v>
      </c>
      <c r="D556" s="23" t="s">
        <v>555</v>
      </c>
      <c r="E556" s="26" t="s">
        <v>556</v>
      </c>
      <c r="F556" s="74" t="s">
        <v>81</v>
      </c>
      <c r="G556" s="74" t="s">
        <v>979</v>
      </c>
      <c r="H556" s="75" t="n">
        <v>19.96</v>
      </c>
      <c r="I556" s="25" t="n">
        <v>22.11</v>
      </c>
      <c r="J556" s="58" t="n">
        <v>9.7</v>
      </c>
      <c r="K556" s="23" t="s">
        <v>2265</v>
      </c>
      <c r="L556" s="24" t="s">
        <v>2266</v>
      </c>
      <c r="M556" s="24" t="s">
        <v>2267</v>
      </c>
      <c r="N556" s="26" t="s">
        <v>91</v>
      </c>
      <c r="O556" s="24" t="s">
        <v>949</v>
      </c>
      <c r="P556" s="24" t="s">
        <v>169</v>
      </c>
      <c r="Q556" s="24" t="s">
        <v>1007</v>
      </c>
      <c r="R556" s="73" t="s">
        <v>95</v>
      </c>
      <c r="S556" s="0" t="n">
        <f aca="false">IF(Recherche!$B$4="",0,IF(ISNUMBER(SEARCH(Recherche!$B$4,D556))+ISNUMBER(SEARCH(Recherche!$B$4,K556))&gt;0,1,0))</f>
        <v>0</v>
      </c>
      <c r="T556" s="0" t="str">
        <f aca="false">IF(S556=1,SUM($S$2:S556),"")</f>
        <v/>
      </c>
    </row>
    <row r="557" customFormat="false" ht="15" hidden="false" customHeight="false" outlineLevel="0" collapsed="false">
      <c r="A557" s="20" t="s">
        <v>2268</v>
      </c>
      <c r="B557" s="20" t="s">
        <v>62</v>
      </c>
      <c r="C557" s="20" t="s">
        <v>2242</v>
      </c>
      <c r="D557" s="19" t="s">
        <v>558</v>
      </c>
      <c r="E557" s="22" t="s">
        <v>374</v>
      </c>
      <c r="F557" s="74" t="s">
        <v>79</v>
      </c>
      <c r="G557" s="74" t="s">
        <v>943</v>
      </c>
      <c r="H557" s="75" t="n">
        <v>5.75</v>
      </c>
      <c r="I557" s="21"/>
      <c r="J557" s="52"/>
      <c r="K557" s="19" t="s">
        <v>2269</v>
      </c>
      <c r="L557" s="20"/>
      <c r="M557" s="20" t="s">
        <v>2270</v>
      </c>
      <c r="N557" s="22" t="s">
        <v>91</v>
      </c>
      <c r="O557" s="20"/>
      <c r="P557" s="20" t="s">
        <v>313</v>
      </c>
      <c r="Q557" s="20" t="s">
        <v>1387</v>
      </c>
      <c r="R557" s="76" t="s">
        <v>95</v>
      </c>
      <c r="S557" s="0" t="n">
        <f aca="false">IF(Recherche!$B$4="",0,IF(ISNUMBER(SEARCH(Recherche!$B$4,D557))+ISNUMBER(SEARCH(Recherche!$B$4,K557))&gt;0,1,0))</f>
        <v>0</v>
      </c>
      <c r="T557" s="0" t="str">
        <f aca="false">IF(S557=1,SUM($S$2:S557),"")</f>
        <v/>
      </c>
    </row>
    <row r="558" customFormat="false" ht="23.85" hidden="false" customHeight="false" outlineLevel="0" collapsed="false">
      <c r="A558" s="24" t="s">
        <v>2268</v>
      </c>
      <c r="B558" s="24" t="s">
        <v>62</v>
      </c>
      <c r="C558" s="24" t="s">
        <v>2242</v>
      </c>
      <c r="D558" s="23" t="s">
        <v>558</v>
      </c>
      <c r="E558" s="26" t="s">
        <v>374</v>
      </c>
      <c r="F558" s="74" t="s">
        <v>81</v>
      </c>
      <c r="G558" s="74" t="s">
        <v>979</v>
      </c>
      <c r="H558" s="75" t="n">
        <v>6.56</v>
      </c>
      <c r="I558" s="25" t="n">
        <v>7.18</v>
      </c>
      <c r="J558" s="58" t="n">
        <v>8.6</v>
      </c>
      <c r="K558" s="23" t="s">
        <v>559</v>
      </c>
      <c r="L558" s="24" t="s">
        <v>2271</v>
      </c>
      <c r="M558" s="24" t="s">
        <v>2272</v>
      </c>
      <c r="N558" s="26" t="s">
        <v>1056</v>
      </c>
      <c r="O558" s="24" t="s">
        <v>1056</v>
      </c>
      <c r="P558" s="24" t="s">
        <v>119</v>
      </c>
      <c r="Q558" s="24" t="s">
        <v>1007</v>
      </c>
      <c r="R558" s="73" t="s">
        <v>95</v>
      </c>
      <c r="S558" s="0" t="n">
        <f aca="false">IF(Recherche!$B$4="",0,IF(ISNUMBER(SEARCH(Recherche!$B$4,D558))+ISNUMBER(SEARCH(Recherche!$B$4,K558))&gt;0,1,0))</f>
        <v>0</v>
      </c>
      <c r="T558" s="0" t="str">
        <f aca="false">IF(S558=1,SUM($S$2:S558),"")</f>
        <v/>
      </c>
    </row>
    <row r="559" customFormat="false" ht="15" hidden="false" customHeight="false" outlineLevel="0" collapsed="false">
      <c r="A559" s="20" t="s">
        <v>2268</v>
      </c>
      <c r="B559" s="20" t="s">
        <v>62</v>
      </c>
      <c r="C559" s="20" t="s">
        <v>2242</v>
      </c>
      <c r="D559" s="19" t="s">
        <v>558</v>
      </c>
      <c r="E559" s="22" t="s">
        <v>374</v>
      </c>
      <c r="F559" s="74" t="s">
        <v>83</v>
      </c>
      <c r="G559" s="74" t="s">
        <v>943</v>
      </c>
      <c r="H559" s="75" t="n">
        <v>7.42</v>
      </c>
      <c r="I559" s="21"/>
      <c r="J559" s="52"/>
      <c r="K559" s="19" t="s">
        <v>2273</v>
      </c>
      <c r="L559" s="20"/>
      <c r="M559" s="20" t="s">
        <v>2274</v>
      </c>
      <c r="N559" s="22" t="s">
        <v>374</v>
      </c>
      <c r="O559" s="20"/>
      <c r="P559" s="20" t="s">
        <v>534</v>
      </c>
      <c r="Q559" s="20" t="s">
        <v>2164</v>
      </c>
      <c r="R559" s="76" t="s">
        <v>95</v>
      </c>
      <c r="S559" s="0" t="n">
        <f aca="false">IF(Recherche!$B$4="",0,IF(ISNUMBER(SEARCH(Recherche!$B$4,D559))+ISNUMBER(SEARCH(Recherche!$B$4,K559))&gt;0,1,0))</f>
        <v>0</v>
      </c>
      <c r="T559" s="0" t="str">
        <f aca="false">IF(S559=1,SUM($S$2:S559),"")</f>
        <v/>
      </c>
    </row>
    <row r="560" customFormat="false" ht="15" hidden="false" customHeight="false" outlineLevel="0" collapsed="false">
      <c r="A560" s="24" t="s">
        <v>2268</v>
      </c>
      <c r="B560" s="24" t="s">
        <v>62</v>
      </c>
      <c r="C560" s="24" t="s">
        <v>2242</v>
      </c>
      <c r="D560" s="23" t="s">
        <v>558</v>
      </c>
      <c r="E560" s="26" t="s">
        <v>374</v>
      </c>
      <c r="F560" s="24" t="s">
        <v>76</v>
      </c>
      <c r="G560" s="24" t="s">
        <v>939</v>
      </c>
      <c r="H560" s="25" t="n">
        <v>7.56</v>
      </c>
      <c r="I560" s="25"/>
      <c r="J560" s="58"/>
      <c r="K560" s="23" t="s">
        <v>2275</v>
      </c>
      <c r="L560" s="24" t="s">
        <v>2189</v>
      </c>
      <c r="M560" s="24" t="s">
        <v>2276</v>
      </c>
      <c r="N560" s="26" t="s">
        <v>374</v>
      </c>
      <c r="O560" s="24"/>
      <c r="P560" s="24" t="s">
        <v>93</v>
      </c>
      <c r="Q560" s="24" t="s">
        <v>1085</v>
      </c>
      <c r="R560" s="73" t="s">
        <v>95</v>
      </c>
      <c r="S560" s="0" t="n">
        <f aca="false">IF(Recherche!$B$4="",0,IF(ISNUMBER(SEARCH(Recherche!$B$4,D560))+ISNUMBER(SEARCH(Recherche!$B$4,K560))&gt;0,1,0))</f>
        <v>0</v>
      </c>
      <c r="T560" s="0" t="str">
        <f aca="false">IF(S560=1,SUM($S$2:S560),"")</f>
        <v/>
      </c>
    </row>
    <row r="561" customFormat="false" ht="15" hidden="false" customHeight="false" outlineLevel="0" collapsed="false">
      <c r="A561" s="20" t="s">
        <v>2268</v>
      </c>
      <c r="B561" s="20" t="s">
        <v>62</v>
      </c>
      <c r="C561" s="20" t="s">
        <v>2242</v>
      </c>
      <c r="D561" s="19" t="s">
        <v>558</v>
      </c>
      <c r="E561" s="22" t="s">
        <v>374</v>
      </c>
      <c r="F561" s="20" t="s">
        <v>80</v>
      </c>
      <c r="G561" s="20" t="s">
        <v>939</v>
      </c>
      <c r="H561" s="21" t="n">
        <v>8.94</v>
      </c>
      <c r="I561" s="21"/>
      <c r="J561" s="52"/>
      <c r="K561" s="19" t="s">
        <v>2277</v>
      </c>
      <c r="L561" s="20"/>
      <c r="M561" s="20" t="s">
        <v>2278</v>
      </c>
      <c r="N561" s="22" t="s">
        <v>91</v>
      </c>
      <c r="O561" s="20"/>
      <c r="P561" s="20" t="s">
        <v>303</v>
      </c>
      <c r="Q561" s="20" t="s">
        <v>942</v>
      </c>
      <c r="R561" s="76" t="s">
        <v>95</v>
      </c>
      <c r="S561" s="0" t="n">
        <f aca="false">IF(Recherche!$B$4="",0,IF(ISNUMBER(SEARCH(Recherche!$B$4,D561))+ISNUMBER(SEARCH(Recherche!$B$4,K561))&gt;0,1,0))</f>
        <v>0</v>
      </c>
      <c r="T561" s="0" t="str">
        <f aca="false">IF(S561=1,SUM($S$2:S561),"")</f>
        <v/>
      </c>
    </row>
    <row r="562" customFormat="false" ht="15" hidden="false" customHeight="false" outlineLevel="0" collapsed="false">
      <c r="A562" s="24" t="s">
        <v>2279</v>
      </c>
      <c r="B562" s="24" t="s">
        <v>62</v>
      </c>
      <c r="C562" s="24" t="s">
        <v>2242</v>
      </c>
      <c r="D562" s="23" t="s">
        <v>560</v>
      </c>
      <c r="E562" s="26" t="s">
        <v>374</v>
      </c>
      <c r="F562" s="24" t="s">
        <v>76</v>
      </c>
      <c r="G562" s="24" t="s">
        <v>939</v>
      </c>
      <c r="H562" s="25" t="n">
        <v>10.66</v>
      </c>
      <c r="I562" s="25"/>
      <c r="J562" s="58"/>
      <c r="K562" s="23" t="s">
        <v>561</v>
      </c>
      <c r="L562" s="24" t="s">
        <v>2189</v>
      </c>
      <c r="M562" s="24" t="s">
        <v>2280</v>
      </c>
      <c r="N562" s="26" t="s">
        <v>374</v>
      </c>
      <c r="O562" s="24"/>
      <c r="P562" s="24" t="s">
        <v>93</v>
      </c>
      <c r="Q562" s="24" t="s">
        <v>963</v>
      </c>
      <c r="R562" s="73" t="s">
        <v>95</v>
      </c>
      <c r="S562" s="0" t="n">
        <f aca="false">IF(Recherche!$B$4="",0,IF(ISNUMBER(SEARCH(Recherche!$B$4,D562))+ISNUMBER(SEARCH(Recherche!$B$4,K562))&gt;0,1,0))</f>
        <v>0</v>
      </c>
      <c r="T562" s="0" t="str">
        <f aca="false">IF(S562=1,SUM($S$2:S562),"")</f>
        <v/>
      </c>
    </row>
    <row r="563" customFormat="false" ht="15" hidden="false" customHeight="false" outlineLevel="0" collapsed="false">
      <c r="A563" s="20" t="s">
        <v>2279</v>
      </c>
      <c r="B563" s="20" t="s">
        <v>62</v>
      </c>
      <c r="C563" s="20" t="s">
        <v>2242</v>
      </c>
      <c r="D563" s="19" t="s">
        <v>560</v>
      </c>
      <c r="E563" s="22" t="s">
        <v>374</v>
      </c>
      <c r="F563" s="74" t="s">
        <v>83</v>
      </c>
      <c r="G563" s="74" t="s">
        <v>943</v>
      </c>
      <c r="H563" s="75" t="n">
        <v>12.82</v>
      </c>
      <c r="I563" s="21"/>
      <c r="J563" s="52"/>
      <c r="K563" s="19" t="s">
        <v>2281</v>
      </c>
      <c r="L563" s="20"/>
      <c r="M563" s="20" t="s">
        <v>2282</v>
      </c>
      <c r="N563" s="22" t="s">
        <v>374</v>
      </c>
      <c r="O563" s="20"/>
      <c r="P563" s="20" t="s">
        <v>534</v>
      </c>
      <c r="Q563" s="20" t="s">
        <v>2164</v>
      </c>
      <c r="R563" s="76" t="s">
        <v>95</v>
      </c>
      <c r="S563" s="0" t="n">
        <f aca="false">IF(Recherche!$B$4="",0,IF(ISNUMBER(SEARCH(Recherche!$B$4,D563))+ISNUMBER(SEARCH(Recherche!$B$4,K563))&gt;0,1,0))</f>
        <v>0</v>
      </c>
      <c r="T563" s="0" t="str">
        <f aca="false">IF(S563=1,SUM($S$2:S563),"")</f>
        <v/>
      </c>
    </row>
    <row r="564" customFormat="false" ht="15" hidden="false" customHeight="false" outlineLevel="0" collapsed="false">
      <c r="A564" s="24" t="s">
        <v>2279</v>
      </c>
      <c r="B564" s="24" t="s">
        <v>62</v>
      </c>
      <c r="C564" s="24" t="s">
        <v>2242</v>
      </c>
      <c r="D564" s="23" t="s">
        <v>560</v>
      </c>
      <c r="E564" s="26" t="s">
        <v>374</v>
      </c>
      <c r="F564" s="74" t="s">
        <v>79</v>
      </c>
      <c r="G564" s="74" t="s">
        <v>943</v>
      </c>
      <c r="H564" s="75" t="n">
        <v>18.33</v>
      </c>
      <c r="I564" s="25"/>
      <c r="J564" s="58"/>
      <c r="K564" s="23" t="s">
        <v>2283</v>
      </c>
      <c r="L564" s="24"/>
      <c r="M564" s="24" t="s">
        <v>2284</v>
      </c>
      <c r="N564" s="26" t="s">
        <v>2285</v>
      </c>
      <c r="O564" s="24"/>
      <c r="P564" s="24" t="s">
        <v>313</v>
      </c>
      <c r="Q564" s="24" t="s">
        <v>1016</v>
      </c>
      <c r="R564" s="73" t="s">
        <v>95</v>
      </c>
      <c r="S564" s="0" t="n">
        <f aca="false">IF(Recherche!$B$4="",0,IF(ISNUMBER(SEARCH(Recherche!$B$4,D564))+ISNUMBER(SEARCH(Recherche!$B$4,K564))&gt;0,1,0))</f>
        <v>0</v>
      </c>
      <c r="T564" s="0" t="str">
        <f aca="false">IF(S564=1,SUM($S$2:S564),"")</f>
        <v/>
      </c>
    </row>
    <row r="565" customFormat="false" ht="23.85" hidden="false" customHeight="false" outlineLevel="0" collapsed="false">
      <c r="A565" s="20" t="s">
        <v>2279</v>
      </c>
      <c r="B565" s="20" t="s">
        <v>62</v>
      </c>
      <c r="C565" s="20" t="s">
        <v>2242</v>
      </c>
      <c r="D565" s="19" t="s">
        <v>560</v>
      </c>
      <c r="E565" s="22" t="s">
        <v>374</v>
      </c>
      <c r="F565" s="74" t="s">
        <v>81</v>
      </c>
      <c r="G565" s="74" t="s">
        <v>979</v>
      </c>
      <c r="H565" s="75" t="n">
        <v>19</v>
      </c>
      <c r="I565" s="21" t="n">
        <v>19.89</v>
      </c>
      <c r="J565" s="52" t="n">
        <v>4.5</v>
      </c>
      <c r="K565" s="19" t="s">
        <v>2286</v>
      </c>
      <c r="L565" s="20" t="s">
        <v>2225</v>
      </c>
      <c r="M565" s="20" t="s">
        <v>2287</v>
      </c>
      <c r="N565" s="22" t="s">
        <v>1056</v>
      </c>
      <c r="O565" s="20" t="s">
        <v>1056</v>
      </c>
      <c r="P565" s="20" t="s">
        <v>169</v>
      </c>
      <c r="Q565" s="20" t="s">
        <v>1007</v>
      </c>
      <c r="R565" s="76" t="s">
        <v>95</v>
      </c>
      <c r="S565" s="0" t="n">
        <f aca="false">IF(Recherche!$B$4="",0,IF(ISNUMBER(SEARCH(Recherche!$B$4,D565))+ISNUMBER(SEARCH(Recherche!$B$4,K565))&gt;0,1,0))</f>
        <v>0</v>
      </c>
      <c r="T565" s="0" t="str">
        <f aca="false">IF(S565=1,SUM($S$2:S565),"")</f>
        <v/>
      </c>
    </row>
    <row r="566" customFormat="false" ht="15" hidden="false" customHeight="false" outlineLevel="0" collapsed="false">
      <c r="A566" s="24" t="s">
        <v>2279</v>
      </c>
      <c r="B566" s="24" t="s">
        <v>62</v>
      </c>
      <c r="C566" s="24" t="s">
        <v>2242</v>
      </c>
      <c r="D566" s="23" t="s">
        <v>560</v>
      </c>
      <c r="E566" s="26" t="s">
        <v>374</v>
      </c>
      <c r="F566" s="24" t="s">
        <v>80</v>
      </c>
      <c r="G566" s="24" t="s">
        <v>939</v>
      </c>
      <c r="H566" s="25" t="n">
        <v>42.13</v>
      </c>
      <c r="I566" s="25"/>
      <c r="J566" s="58"/>
      <c r="K566" s="23" t="s">
        <v>2288</v>
      </c>
      <c r="L566" s="24"/>
      <c r="M566" s="24" t="s">
        <v>2289</v>
      </c>
      <c r="N566" s="26" t="s">
        <v>91</v>
      </c>
      <c r="O566" s="24"/>
      <c r="P566" s="24" t="s">
        <v>303</v>
      </c>
      <c r="Q566" s="24" t="s">
        <v>942</v>
      </c>
      <c r="R566" s="73" t="s">
        <v>95</v>
      </c>
      <c r="S566" s="0" t="n">
        <f aca="false">IF(Recherche!$B$4="",0,IF(ISNUMBER(SEARCH(Recherche!$B$4,D566))+ISNUMBER(SEARCH(Recherche!$B$4,K566))&gt;0,1,0))</f>
        <v>0</v>
      </c>
      <c r="T566" s="0" t="str">
        <f aca="false">IF(S566=1,SUM($S$2:S566),"")</f>
        <v/>
      </c>
    </row>
    <row r="567" customFormat="false" ht="23.85" hidden="false" customHeight="false" outlineLevel="0" collapsed="false">
      <c r="A567" s="20" t="s">
        <v>2290</v>
      </c>
      <c r="B567" s="20" t="s">
        <v>62</v>
      </c>
      <c r="C567" s="20" t="s">
        <v>2291</v>
      </c>
      <c r="D567" s="19" t="s">
        <v>562</v>
      </c>
      <c r="E567" s="22" t="s">
        <v>203</v>
      </c>
      <c r="F567" s="20" t="s">
        <v>76</v>
      </c>
      <c r="G567" s="20" t="s">
        <v>939</v>
      </c>
      <c r="H567" s="21" t="n">
        <v>7.97</v>
      </c>
      <c r="I567" s="21"/>
      <c r="J567" s="52"/>
      <c r="K567" s="19" t="s">
        <v>563</v>
      </c>
      <c r="L567" s="20" t="s">
        <v>2039</v>
      </c>
      <c r="M567" s="20" t="s">
        <v>2292</v>
      </c>
      <c r="N567" s="22" t="s">
        <v>203</v>
      </c>
      <c r="O567" s="20"/>
      <c r="P567" s="20" t="s">
        <v>93</v>
      </c>
      <c r="Q567" s="20" t="s">
        <v>942</v>
      </c>
      <c r="R567" s="76" t="s">
        <v>95</v>
      </c>
      <c r="S567" s="0" t="n">
        <f aca="false">IF(Recherche!$B$4="",0,IF(ISNUMBER(SEARCH(Recherche!$B$4,D567))+ISNUMBER(SEARCH(Recherche!$B$4,K567))&gt;0,1,0))</f>
        <v>0</v>
      </c>
      <c r="T567" s="0" t="str">
        <f aca="false">IF(S567=1,SUM($S$2:S567),"")</f>
        <v/>
      </c>
    </row>
    <row r="568" customFormat="false" ht="15" hidden="false" customHeight="false" outlineLevel="0" collapsed="false">
      <c r="A568" s="24" t="s">
        <v>2290</v>
      </c>
      <c r="B568" s="24" t="s">
        <v>62</v>
      </c>
      <c r="C568" s="24" t="s">
        <v>2291</v>
      </c>
      <c r="D568" s="23" t="s">
        <v>562</v>
      </c>
      <c r="E568" s="26" t="s">
        <v>203</v>
      </c>
      <c r="F568" s="74" t="s">
        <v>79</v>
      </c>
      <c r="G568" s="74" t="s">
        <v>943</v>
      </c>
      <c r="H568" s="75" t="n">
        <v>8.26</v>
      </c>
      <c r="I568" s="25"/>
      <c r="J568" s="58"/>
      <c r="K568" s="23" t="s">
        <v>2293</v>
      </c>
      <c r="L568" s="24"/>
      <c r="M568" s="24" t="s">
        <v>2294</v>
      </c>
      <c r="N568" s="26" t="s">
        <v>2295</v>
      </c>
      <c r="O568" s="24"/>
      <c r="P568" s="24" t="s">
        <v>313</v>
      </c>
      <c r="Q568" s="24" t="s">
        <v>1387</v>
      </c>
      <c r="R568" s="73" t="s">
        <v>95</v>
      </c>
      <c r="S568" s="0" t="n">
        <f aca="false">IF(Recherche!$B$4="",0,IF(ISNUMBER(SEARCH(Recherche!$B$4,D568))+ISNUMBER(SEARCH(Recherche!$B$4,K568))&gt;0,1,0))</f>
        <v>0</v>
      </c>
      <c r="T568" s="0" t="str">
        <f aca="false">IF(S568=1,SUM($S$2:S568),"")</f>
        <v/>
      </c>
    </row>
    <row r="569" customFormat="false" ht="15" hidden="false" customHeight="false" outlineLevel="0" collapsed="false">
      <c r="A569" s="20" t="s">
        <v>2290</v>
      </c>
      <c r="B569" s="20" t="s">
        <v>62</v>
      </c>
      <c r="C569" s="20" t="s">
        <v>2291</v>
      </c>
      <c r="D569" s="19" t="s">
        <v>562</v>
      </c>
      <c r="E569" s="22" t="s">
        <v>203</v>
      </c>
      <c r="F569" s="74" t="s">
        <v>81</v>
      </c>
      <c r="G569" s="74" t="s">
        <v>979</v>
      </c>
      <c r="H569" s="75" t="n">
        <v>9.8</v>
      </c>
      <c r="I569" s="21" t="n">
        <v>10.31</v>
      </c>
      <c r="J569" s="52" t="n">
        <v>4.9</v>
      </c>
      <c r="K569" s="19" t="s">
        <v>565</v>
      </c>
      <c r="L569" s="20" t="s">
        <v>1274</v>
      </c>
      <c r="M569" s="20" t="s">
        <v>2296</v>
      </c>
      <c r="N569" s="22" t="s">
        <v>1216</v>
      </c>
      <c r="O569" s="20" t="s">
        <v>1216</v>
      </c>
      <c r="P569" s="20" t="s">
        <v>119</v>
      </c>
      <c r="Q569" s="20" t="s">
        <v>1007</v>
      </c>
      <c r="R569" s="76" t="s">
        <v>95</v>
      </c>
      <c r="S569" s="0" t="n">
        <f aca="false">IF(Recherche!$B$4="",0,IF(ISNUMBER(SEARCH(Recherche!$B$4,D569))+ISNUMBER(SEARCH(Recherche!$B$4,K569))&gt;0,1,0))</f>
        <v>0</v>
      </c>
      <c r="T569" s="0" t="str">
        <f aca="false">IF(S569=1,SUM($S$2:S569),"")</f>
        <v/>
      </c>
    </row>
    <row r="570" customFormat="false" ht="23.85" hidden="false" customHeight="false" outlineLevel="0" collapsed="false">
      <c r="A570" s="24" t="s">
        <v>2290</v>
      </c>
      <c r="B570" s="24" t="s">
        <v>62</v>
      </c>
      <c r="C570" s="24" t="s">
        <v>2291</v>
      </c>
      <c r="D570" s="23" t="s">
        <v>562</v>
      </c>
      <c r="E570" s="26" t="s">
        <v>203</v>
      </c>
      <c r="F570" s="24" t="s">
        <v>80</v>
      </c>
      <c r="G570" s="24" t="s">
        <v>939</v>
      </c>
      <c r="H570" s="25" t="n">
        <v>12</v>
      </c>
      <c r="I570" s="25"/>
      <c r="J570" s="58"/>
      <c r="K570" s="23" t="s">
        <v>2297</v>
      </c>
      <c r="L570" s="24"/>
      <c r="M570" s="24" t="s">
        <v>2298</v>
      </c>
      <c r="N570" s="26" t="s">
        <v>91</v>
      </c>
      <c r="O570" s="24"/>
      <c r="P570" s="24" t="s">
        <v>303</v>
      </c>
      <c r="Q570" s="24" t="s">
        <v>942</v>
      </c>
      <c r="R570" s="73" t="s">
        <v>95</v>
      </c>
      <c r="S570" s="0" t="n">
        <f aca="false">IF(Recherche!$B$4="",0,IF(ISNUMBER(SEARCH(Recherche!$B$4,D570))+ISNUMBER(SEARCH(Recherche!$B$4,K570))&gt;0,1,0))</f>
        <v>0</v>
      </c>
      <c r="T570" s="0" t="str">
        <f aca="false">IF(S570=1,SUM($S$2:S570),"")</f>
        <v/>
      </c>
    </row>
    <row r="571" customFormat="false" ht="15" hidden="false" customHeight="false" outlineLevel="0" collapsed="false">
      <c r="A571" s="20" t="s">
        <v>2290</v>
      </c>
      <c r="B571" s="20" t="s">
        <v>62</v>
      </c>
      <c r="C571" s="20" t="s">
        <v>2291</v>
      </c>
      <c r="D571" s="19" t="s">
        <v>562</v>
      </c>
      <c r="E571" s="22" t="s">
        <v>203</v>
      </c>
      <c r="F571" s="74" t="s">
        <v>83</v>
      </c>
      <c r="G571" s="74" t="s">
        <v>943</v>
      </c>
      <c r="H571" s="75" t="n">
        <v>13.58</v>
      </c>
      <c r="I571" s="21"/>
      <c r="J571" s="52"/>
      <c r="K571" s="19" t="s">
        <v>2299</v>
      </c>
      <c r="L571" s="20"/>
      <c r="M571" s="20" t="s">
        <v>2300</v>
      </c>
      <c r="N571" s="22" t="s">
        <v>2301</v>
      </c>
      <c r="O571" s="20"/>
      <c r="P571" s="20" t="s">
        <v>534</v>
      </c>
      <c r="Q571" s="20" t="s">
        <v>2164</v>
      </c>
      <c r="R571" s="76" t="s">
        <v>95</v>
      </c>
      <c r="S571" s="0" t="n">
        <f aca="false">IF(Recherche!$B$4="",0,IF(ISNUMBER(SEARCH(Recherche!$B$4,D571))+ISNUMBER(SEARCH(Recherche!$B$4,K571))&gt;0,1,0))</f>
        <v>0</v>
      </c>
      <c r="T571" s="0" t="str">
        <f aca="false">IF(S571=1,SUM($S$2:S571),"")</f>
        <v/>
      </c>
    </row>
    <row r="572" customFormat="false" ht="15" hidden="false" customHeight="false" outlineLevel="0" collapsed="false">
      <c r="A572" s="24" t="s">
        <v>2302</v>
      </c>
      <c r="B572" s="24" t="s">
        <v>62</v>
      </c>
      <c r="C572" s="24" t="s">
        <v>2291</v>
      </c>
      <c r="D572" s="23" t="s">
        <v>564</v>
      </c>
      <c r="E572" s="26" t="s">
        <v>203</v>
      </c>
      <c r="F572" s="74" t="s">
        <v>81</v>
      </c>
      <c r="G572" s="74" t="s">
        <v>979</v>
      </c>
      <c r="H572" s="75" t="n">
        <v>9.8</v>
      </c>
      <c r="I572" s="25" t="n">
        <v>10.31</v>
      </c>
      <c r="J572" s="58" t="n">
        <v>4.9</v>
      </c>
      <c r="K572" s="23" t="s">
        <v>565</v>
      </c>
      <c r="L572" s="24" t="s">
        <v>1274</v>
      </c>
      <c r="M572" s="24" t="s">
        <v>2296</v>
      </c>
      <c r="N572" s="26" t="s">
        <v>1216</v>
      </c>
      <c r="O572" s="24" t="s">
        <v>1216</v>
      </c>
      <c r="P572" s="24" t="s">
        <v>119</v>
      </c>
      <c r="Q572" s="24" t="s">
        <v>1007</v>
      </c>
      <c r="R572" s="73" t="s">
        <v>95</v>
      </c>
      <c r="S572" s="0" t="n">
        <f aca="false">IF(Recherche!$B$4="",0,IF(ISNUMBER(SEARCH(Recherche!$B$4,D572))+ISNUMBER(SEARCH(Recherche!$B$4,K572))&gt;0,1,0))</f>
        <v>0</v>
      </c>
      <c r="T572" s="0" t="str">
        <f aca="false">IF(S572=1,SUM($S$2:S572),"")</f>
        <v/>
      </c>
    </row>
    <row r="573" customFormat="false" ht="23.85" hidden="false" customHeight="false" outlineLevel="0" collapsed="false">
      <c r="A573" s="20" t="s">
        <v>2302</v>
      </c>
      <c r="B573" s="20" t="s">
        <v>62</v>
      </c>
      <c r="C573" s="20" t="s">
        <v>2291</v>
      </c>
      <c r="D573" s="19" t="s">
        <v>564</v>
      </c>
      <c r="E573" s="22" t="s">
        <v>203</v>
      </c>
      <c r="F573" s="20" t="s">
        <v>76</v>
      </c>
      <c r="G573" s="20" t="s">
        <v>939</v>
      </c>
      <c r="H573" s="21" t="n">
        <v>10.25</v>
      </c>
      <c r="I573" s="21"/>
      <c r="J573" s="52"/>
      <c r="K573" s="19" t="s">
        <v>2303</v>
      </c>
      <c r="L573" s="20" t="s">
        <v>2039</v>
      </c>
      <c r="M573" s="20" t="s">
        <v>2304</v>
      </c>
      <c r="N573" s="22" t="s">
        <v>203</v>
      </c>
      <c r="O573" s="20"/>
      <c r="P573" s="20" t="s">
        <v>93</v>
      </c>
      <c r="Q573" s="20" t="s">
        <v>942</v>
      </c>
      <c r="R573" s="76" t="s">
        <v>95</v>
      </c>
      <c r="S573" s="0" t="n">
        <f aca="false">IF(Recherche!$B$4="",0,IF(ISNUMBER(SEARCH(Recherche!$B$4,D573))+ISNUMBER(SEARCH(Recherche!$B$4,K573))&gt;0,1,0))</f>
        <v>0</v>
      </c>
      <c r="T573" s="0" t="str">
        <f aca="false">IF(S573=1,SUM($S$2:S573),"")</f>
        <v/>
      </c>
    </row>
    <row r="574" customFormat="false" ht="15" hidden="false" customHeight="false" outlineLevel="0" collapsed="false">
      <c r="A574" s="24" t="s">
        <v>2302</v>
      </c>
      <c r="B574" s="24" t="s">
        <v>62</v>
      </c>
      <c r="C574" s="24" t="s">
        <v>2291</v>
      </c>
      <c r="D574" s="23" t="s">
        <v>564</v>
      </c>
      <c r="E574" s="26" t="s">
        <v>203</v>
      </c>
      <c r="F574" s="74" t="s">
        <v>79</v>
      </c>
      <c r="G574" s="74" t="s">
        <v>943</v>
      </c>
      <c r="H574" s="75" t="n">
        <v>13.11</v>
      </c>
      <c r="I574" s="25"/>
      <c r="J574" s="58"/>
      <c r="K574" s="23" t="s">
        <v>2305</v>
      </c>
      <c r="L574" s="24"/>
      <c r="M574" s="24" t="s">
        <v>2306</v>
      </c>
      <c r="N574" s="26" t="s">
        <v>2295</v>
      </c>
      <c r="O574" s="24"/>
      <c r="P574" s="24" t="s">
        <v>313</v>
      </c>
      <c r="Q574" s="24" t="s">
        <v>1387</v>
      </c>
      <c r="R574" s="73" t="s">
        <v>95</v>
      </c>
      <c r="S574" s="0" t="n">
        <f aca="false">IF(Recherche!$B$4="",0,IF(ISNUMBER(SEARCH(Recherche!$B$4,D574))+ISNUMBER(SEARCH(Recherche!$B$4,K574))&gt;0,1,0))</f>
        <v>0</v>
      </c>
      <c r="T574" s="0" t="str">
        <f aca="false">IF(S574=1,SUM($S$2:S574),"")</f>
        <v/>
      </c>
    </row>
    <row r="575" customFormat="false" ht="23.85" hidden="false" customHeight="false" outlineLevel="0" collapsed="false">
      <c r="A575" s="20" t="s">
        <v>2302</v>
      </c>
      <c r="B575" s="20" t="s">
        <v>62</v>
      </c>
      <c r="C575" s="20" t="s">
        <v>2291</v>
      </c>
      <c r="D575" s="19" t="s">
        <v>564</v>
      </c>
      <c r="E575" s="22" t="s">
        <v>203</v>
      </c>
      <c r="F575" s="20" t="s">
        <v>80</v>
      </c>
      <c r="G575" s="20" t="s">
        <v>939</v>
      </c>
      <c r="H575" s="21" t="n">
        <v>13.98</v>
      </c>
      <c r="I575" s="21"/>
      <c r="J575" s="52"/>
      <c r="K575" s="19" t="s">
        <v>2307</v>
      </c>
      <c r="L575" s="20"/>
      <c r="M575" s="20" t="s">
        <v>2308</v>
      </c>
      <c r="N575" s="22" t="s">
        <v>91</v>
      </c>
      <c r="O575" s="20"/>
      <c r="P575" s="20" t="s">
        <v>303</v>
      </c>
      <c r="Q575" s="20" t="s">
        <v>942</v>
      </c>
      <c r="R575" s="76" t="s">
        <v>95</v>
      </c>
      <c r="S575" s="0" t="n">
        <f aca="false">IF(Recherche!$B$4="",0,IF(ISNUMBER(SEARCH(Recherche!$B$4,D575))+ISNUMBER(SEARCH(Recherche!$B$4,K575))&gt;0,1,0))</f>
        <v>0</v>
      </c>
      <c r="T575" s="0" t="str">
        <f aca="false">IF(S575=1,SUM($S$2:S575),"")</f>
        <v/>
      </c>
    </row>
    <row r="576" customFormat="false" ht="15" hidden="false" customHeight="false" outlineLevel="0" collapsed="false">
      <c r="A576" s="24" t="s">
        <v>2302</v>
      </c>
      <c r="B576" s="24" t="s">
        <v>62</v>
      </c>
      <c r="C576" s="24" t="s">
        <v>2291</v>
      </c>
      <c r="D576" s="23" t="s">
        <v>564</v>
      </c>
      <c r="E576" s="26" t="s">
        <v>203</v>
      </c>
      <c r="F576" s="74" t="s">
        <v>83</v>
      </c>
      <c r="G576" s="74" t="s">
        <v>943</v>
      </c>
      <c r="H576" s="75" t="n">
        <v>19.12</v>
      </c>
      <c r="I576" s="25"/>
      <c r="J576" s="58"/>
      <c r="K576" s="23" t="s">
        <v>2309</v>
      </c>
      <c r="L576" s="24"/>
      <c r="M576" s="24" t="s">
        <v>2310</v>
      </c>
      <c r="N576" s="26" t="s">
        <v>2301</v>
      </c>
      <c r="O576" s="24"/>
      <c r="P576" s="24" t="s">
        <v>534</v>
      </c>
      <c r="Q576" s="24" t="s">
        <v>2164</v>
      </c>
      <c r="R576" s="73" t="s">
        <v>95</v>
      </c>
      <c r="S576" s="0" t="n">
        <f aca="false">IF(Recherche!$B$4="",0,IF(ISNUMBER(SEARCH(Recherche!$B$4,D576))+ISNUMBER(SEARCH(Recherche!$B$4,K576))&gt;0,1,0))</f>
        <v>0</v>
      </c>
      <c r="T576" s="0" t="str">
        <f aca="false">IF(S576=1,SUM($S$2:S576),"")</f>
        <v/>
      </c>
    </row>
    <row r="577" customFormat="false" ht="23.85" hidden="false" customHeight="false" outlineLevel="0" collapsed="false">
      <c r="A577" s="20" t="s">
        <v>2311</v>
      </c>
      <c r="B577" s="20" t="s">
        <v>62</v>
      </c>
      <c r="C577" s="20" t="s">
        <v>2291</v>
      </c>
      <c r="D577" s="19" t="s">
        <v>566</v>
      </c>
      <c r="E577" s="22" t="s">
        <v>203</v>
      </c>
      <c r="F577" s="20" t="s">
        <v>76</v>
      </c>
      <c r="G577" s="20" t="s">
        <v>939</v>
      </c>
      <c r="H577" s="21" t="n">
        <v>1.55</v>
      </c>
      <c r="I577" s="21"/>
      <c r="J577" s="52"/>
      <c r="K577" s="19" t="s">
        <v>567</v>
      </c>
      <c r="L577" s="20" t="s">
        <v>2312</v>
      </c>
      <c r="M577" s="20" t="s">
        <v>2313</v>
      </c>
      <c r="N577" s="22" t="s">
        <v>203</v>
      </c>
      <c r="O577" s="20"/>
      <c r="P577" s="20" t="s">
        <v>93</v>
      </c>
      <c r="Q577" s="20" t="s">
        <v>1085</v>
      </c>
      <c r="R577" s="76" t="s">
        <v>95</v>
      </c>
      <c r="S577" s="0" t="n">
        <f aca="false">IF(Recherche!$B$4="",0,IF(ISNUMBER(SEARCH(Recherche!$B$4,D577))+ISNUMBER(SEARCH(Recherche!$B$4,K577))&gt;0,1,0))</f>
        <v>0</v>
      </c>
      <c r="T577" s="0" t="str">
        <f aca="false">IF(S577=1,SUM($S$2:S577),"")</f>
        <v/>
      </c>
    </row>
    <row r="578" customFormat="false" ht="23.85" hidden="false" customHeight="false" outlineLevel="0" collapsed="false">
      <c r="A578" s="24" t="s">
        <v>2311</v>
      </c>
      <c r="B578" s="24" t="s">
        <v>62</v>
      </c>
      <c r="C578" s="24" t="s">
        <v>2291</v>
      </c>
      <c r="D578" s="23" t="s">
        <v>566</v>
      </c>
      <c r="E578" s="26" t="s">
        <v>203</v>
      </c>
      <c r="F578" s="74" t="s">
        <v>79</v>
      </c>
      <c r="G578" s="74" t="s">
        <v>943</v>
      </c>
      <c r="H578" s="75" t="n">
        <v>4.76</v>
      </c>
      <c r="I578" s="25"/>
      <c r="J578" s="58"/>
      <c r="K578" s="23" t="s">
        <v>2314</v>
      </c>
      <c r="L578" s="24"/>
      <c r="M578" s="24" t="s">
        <v>2315</v>
      </c>
      <c r="N578" s="26" t="s">
        <v>553</v>
      </c>
      <c r="O578" s="24"/>
      <c r="P578" s="24" t="s">
        <v>313</v>
      </c>
      <c r="Q578" s="24" t="s">
        <v>1387</v>
      </c>
      <c r="R578" s="73" t="s">
        <v>95</v>
      </c>
      <c r="S578" s="0" t="n">
        <f aca="false">IF(Recherche!$B$4="",0,IF(ISNUMBER(SEARCH(Recherche!$B$4,D578))+ISNUMBER(SEARCH(Recherche!$B$4,K578))&gt;0,1,0))</f>
        <v>0</v>
      </c>
      <c r="T578" s="0" t="str">
        <f aca="false">IF(S578=1,SUM($S$2:S578),"")</f>
        <v/>
      </c>
    </row>
    <row r="579" customFormat="false" ht="15" hidden="false" customHeight="false" outlineLevel="0" collapsed="false">
      <c r="A579" s="20" t="s">
        <v>2311</v>
      </c>
      <c r="B579" s="20" t="s">
        <v>62</v>
      </c>
      <c r="C579" s="20" t="s">
        <v>2291</v>
      </c>
      <c r="D579" s="19" t="s">
        <v>566</v>
      </c>
      <c r="E579" s="22" t="s">
        <v>203</v>
      </c>
      <c r="F579" s="20" t="s">
        <v>80</v>
      </c>
      <c r="G579" s="20" t="s">
        <v>939</v>
      </c>
      <c r="H579" s="21" t="n">
        <v>8.09</v>
      </c>
      <c r="I579" s="21"/>
      <c r="J579" s="52"/>
      <c r="K579" s="19" t="s">
        <v>2316</v>
      </c>
      <c r="L579" s="20"/>
      <c r="M579" s="20" t="s">
        <v>2317</v>
      </c>
      <c r="N579" s="22" t="s">
        <v>91</v>
      </c>
      <c r="O579" s="20"/>
      <c r="P579" s="20" t="s">
        <v>303</v>
      </c>
      <c r="Q579" s="20" t="s">
        <v>1085</v>
      </c>
      <c r="R579" s="76" t="s">
        <v>95</v>
      </c>
      <c r="S579" s="0" t="n">
        <f aca="false">IF(Recherche!$B$4="",0,IF(ISNUMBER(SEARCH(Recherche!$B$4,D579))+ISNUMBER(SEARCH(Recherche!$B$4,K579))&gt;0,1,0))</f>
        <v>0</v>
      </c>
      <c r="T579" s="0" t="str">
        <f aca="false">IF(S579=1,SUM($S$2:S579),"")</f>
        <v/>
      </c>
    </row>
    <row r="580" customFormat="false" ht="23.85" hidden="false" customHeight="false" outlineLevel="0" collapsed="false">
      <c r="A580" s="24" t="s">
        <v>2311</v>
      </c>
      <c r="B580" s="24" t="s">
        <v>62</v>
      </c>
      <c r="C580" s="24" t="s">
        <v>2291</v>
      </c>
      <c r="D580" s="23" t="s">
        <v>566</v>
      </c>
      <c r="E580" s="26" t="s">
        <v>203</v>
      </c>
      <c r="F580" s="74" t="s">
        <v>81</v>
      </c>
      <c r="G580" s="74" t="s">
        <v>979</v>
      </c>
      <c r="H580" s="75" t="n">
        <v>26.09</v>
      </c>
      <c r="I580" s="25" t="n">
        <v>27.5</v>
      </c>
      <c r="J580" s="58" t="n">
        <v>5.1</v>
      </c>
      <c r="K580" s="23" t="s">
        <v>2318</v>
      </c>
      <c r="L580" s="24" t="s">
        <v>2319</v>
      </c>
      <c r="M580" s="24" t="s">
        <v>2320</v>
      </c>
      <c r="N580" s="26" t="s">
        <v>91</v>
      </c>
      <c r="O580" s="24" t="s">
        <v>949</v>
      </c>
      <c r="P580" s="24" t="s">
        <v>119</v>
      </c>
      <c r="Q580" s="24" t="s">
        <v>1007</v>
      </c>
      <c r="R580" s="73" t="s">
        <v>95</v>
      </c>
      <c r="S580" s="0" t="n">
        <f aca="false">IF(Recherche!$B$4="",0,IF(ISNUMBER(SEARCH(Recherche!$B$4,D580))+ISNUMBER(SEARCH(Recherche!$B$4,K580))&gt;0,1,0))</f>
        <v>0</v>
      </c>
      <c r="T580" s="0" t="str">
        <f aca="false">IF(S580=1,SUM($S$2:S580),"")</f>
        <v/>
      </c>
    </row>
    <row r="581" customFormat="false" ht="15" hidden="false" customHeight="false" outlineLevel="0" collapsed="false">
      <c r="A581" s="20" t="s">
        <v>2321</v>
      </c>
      <c r="B581" s="20" t="s">
        <v>62</v>
      </c>
      <c r="C581" s="20" t="s">
        <v>2291</v>
      </c>
      <c r="D581" s="19" t="s">
        <v>568</v>
      </c>
      <c r="E581" s="22" t="s">
        <v>203</v>
      </c>
      <c r="F581" s="20" t="s">
        <v>76</v>
      </c>
      <c r="G581" s="20" t="s">
        <v>939</v>
      </c>
      <c r="H581" s="21" t="n">
        <v>18.88</v>
      </c>
      <c r="I581" s="21"/>
      <c r="J581" s="52"/>
      <c r="K581" s="19" t="s">
        <v>569</v>
      </c>
      <c r="L581" s="20" t="s">
        <v>1702</v>
      </c>
      <c r="M581" s="20" t="s">
        <v>2322</v>
      </c>
      <c r="N581" s="22" t="s">
        <v>203</v>
      </c>
      <c r="O581" s="20"/>
      <c r="P581" s="20" t="s">
        <v>93</v>
      </c>
      <c r="Q581" s="20" t="s">
        <v>963</v>
      </c>
      <c r="R581" s="76" t="s">
        <v>95</v>
      </c>
      <c r="S581" s="0" t="n">
        <f aca="false">IF(Recherche!$B$4="",0,IF(ISNUMBER(SEARCH(Recherche!$B$4,D581))+ISNUMBER(SEARCH(Recherche!$B$4,K581))&gt;0,1,0))</f>
        <v>0</v>
      </c>
      <c r="T581" s="0" t="str">
        <f aca="false">IF(S581=1,SUM($S$2:S581),"")</f>
        <v/>
      </c>
    </row>
    <row r="582" customFormat="false" ht="15" hidden="false" customHeight="false" outlineLevel="0" collapsed="false">
      <c r="A582" s="24" t="s">
        <v>2321</v>
      </c>
      <c r="B582" s="24" t="s">
        <v>62</v>
      </c>
      <c r="C582" s="24" t="s">
        <v>2291</v>
      </c>
      <c r="D582" s="23" t="s">
        <v>568</v>
      </c>
      <c r="E582" s="26" t="s">
        <v>203</v>
      </c>
      <c r="F582" s="74" t="s">
        <v>81</v>
      </c>
      <c r="G582" s="74" t="s">
        <v>979</v>
      </c>
      <c r="H582" s="75" t="n">
        <v>22.18</v>
      </c>
      <c r="I582" s="25" t="n">
        <v>23.25</v>
      </c>
      <c r="J582" s="58" t="n">
        <v>4.6</v>
      </c>
      <c r="K582" s="23" t="s">
        <v>2323</v>
      </c>
      <c r="L582" s="24" t="s">
        <v>1702</v>
      </c>
      <c r="M582" s="24" t="s">
        <v>2324</v>
      </c>
      <c r="N582" s="26" t="s">
        <v>1216</v>
      </c>
      <c r="O582" s="24" t="s">
        <v>1216</v>
      </c>
      <c r="P582" s="24" t="s">
        <v>119</v>
      </c>
      <c r="Q582" s="24" t="s">
        <v>1016</v>
      </c>
      <c r="R582" s="73" t="s">
        <v>95</v>
      </c>
      <c r="S582" s="0" t="n">
        <f aca="false">IF(Recherche!$B$4="",0,IF(ISNUMBER(SEARCH(Recherche!$B$4,D582))+ISNUMBER(SEARCH(Recherche!$B$4,K582))&gt;0,1,0))</f>
        <v>0</v>
      </c>
      <c r="T582" s="0" t="str">
        <f aca="false">IF(S582=1,SUM($S$2:S582),"")</f>
        <v/>
      </c>
    </row>
    <row r="583" customFormat="false" ht="23.85" hidden="false" customHeight="false" outlineLevel="0" collapsed="false">
      <c r="A583" s="20" t="s">
        <v>2325</v>
      </c>
      <c r="B583" s="20" t="s">
        <v>62</v>
      </c>
      <c r="C583" s="20" t="s">
        <v>2326</v>
      </c>
      <c r="D583" s="19" t="s">
        <v>570</v>
      </c>
      <c r="E583" s="22" t="s">
        <v>91</v>
      </c>
      <c r="F583" s="74" t="s">
        <v>81</v>
      </c>
      <c r="G583" s="74" t="s">
        <v>979</v>
      </c>
      <c r="H583" s="75" t="n">
        <v>2.8</v>
      </c>
      <c r="I583" s="21" t="n">
        <v>3.08</v>
      </c>
      <c r="J583" s="52" t="n">
        <v>9.1</v>
      </c>
      <c r="K583" s="19" t="s">
        <v>571</v>
      </c>
      <c r="L583" s="20" t="s">
        <v>2327</v>
      </c>
      <c r="M583" s="20" t="s">
        <v>2328</v>
      </c>
      <c r="N583" s="22" t="s">
        <v>91</v>
      </c>
      <c r="O583" s="20" t="s">
        <v>2329</v>
      </c>
      <c r="P583" s="20" t="s">
        <v>119</v>
      </c>
      <c r="Q583" s="20" t="s">
        <v>1007</v>
      </c>
      <c r="R583" s="76" t="s">
        <v>95</v>
      </c>
      <c r="S583" s="0" t="n">
        <f aca="false">IF(Recherche!$B$4="",0,IF(ISNUMBER(SEARCH(Recherche!$B$4,D583))+ISNUMBER(SEARCH(Recherche!$B$4,K583))&gt;0,1,0))</f>
        <v>0</v>
      </c>
      <c r="T583" s="0" t="str">
        <f aca="false">IF(S583=1,SUM($S$2:S583),"")</f>
        <v/>
      </c>
    </row>
    <row r="584" customFormat="false" ht="15" hidden="false" customHeight="false" outlineLevel="0" collapsed="false">
      <c r="A584" s="24" t="s">
        <v>2325</v>
      </c>
      <c r="B584" s="24" t="s">
        <v>62</v>
      </c>
      <c r="C584" s="24" t="s">
        <v>2326</v>
      </c>
      <c r="D584" s="23" t="s">
        <v>570</v>
      </c>
      <c r="E584" s="26" t="s">
        <v>91</v>
      </c>
      <c r="F584" s="74" t="s">
        <v>83</v>
      </c>
      <c r="G584" s="74" t="s">
        <v>943</v>
      </c>
      <c r="H584" s="75" t="n">
        <v>11.05</v>
      </c>
      <c r="I584" s="25"/>
      <c r="J584" s="58"/>
      <c r="K584" s="23" t="s">
        <v>2330</v>
      </c>
      <c r="L584" s="24"/>
      <c r="M584" s="24" t="s">
        <v>2331</v>
      </c>
      <c r="N584" s="26" t="s">
        <v>2206</v>
      </c>
      <c r="O584" s="24"/>
      <c r="P584" s="24" t="s">
        <v>534</v>
      </c>
      <c r="Q584" s="24" t="s">
        <v>2164</v>
      </c>
      <c r="R584" s="73" t="s">
        <v>95</v>
      </c>
      <c r="S584" s="0" t="n">
        <f aca="false">IF(Recherche!$B$4="",0,IF(ISNUMBER(SEARCH(Recherche!$B$4,D584))+ISNUMBER(SEARCH(Recherche!$B$4,K584))&gt;0,1,0))</f>
        <v>0</v>
      </c>
      <c r="T584" s="0" t="str">
        <f aca="false">IF(S584=1,SUM($S$2:S584),"")</f>
        <v/>
      </c>
    </row>
    <row r="585" customFormat="false" ht="23.85" hidden="false" customHeight="false" outlineLevel="0" collapsed="false">
      <c r="A585" s="20" t="s">
        <v>2325</v>
      </c>
      <c r="B585" s="20" t="s">
        <v>62</v>
      </c>
      <c r="C585" s="20" t="s">
        <v>2326</v>
      </c>
      <c r="D585" s="19" t="s">
        <v>570</v>
      </c>
      <c r="E585" s="22" t="s">
        <v>91</v>
      </c>
      <c r="F585" s="74" t="s">
        <v>79</v>
      </c>
      <c r="G585" s="74" t="s">
        <v>943</v>
      </c>
      <c r="H585" s="75" t="n">
        <v>19.54</v>
      </c>
      <c r="I585" s="21"/>
      <c r="J585" s="52"/>
      <c r="K585" s="19" t="s">
        <v>2332</v>
      </c>
      <c r="L585" s="20"/>
      <c r="M585" s="20" t="s">
        <v>2333</v>
      </c>
      <c r="N585" s="22" t="s">
        <v>493</v>
      </c>
      <c r="O585" s="20"/>
      <c r="P585" s="20" t="s">
        <v>313</v>
      </c>
      <c r="Q585" s="20" t="s">
        <v>1016</v>
      </c>
      <c r="R585" s="76"/>
      <c r="S585" s="0" t="n">
        <f aca="false">IF(Recherche!$B$4="",0,IF(ISNUMBER(SEARCH(Recherche!$B$4,D585))+ISNUMBER(SEARCH(Recherche!$B$4,K585))&gt;0,1,0))</f>
        <v>0</v>
      </c>
      <c r="T585" s="0" t="str">
        <f aca="false">IF(S585=1,SUM($S$2:S585),"")</f>
        <v/>
      </c>
    </row>
    <row r="586" customFormat="false" ht="15" hidden="false" customHeight="false" outlineLevel="0" collapsed="false">
      <c r="A586" s="24" t="s">
        <v>2334</v>
      </c>
      <c r="B586" s="24" t="s">
        <v>62</v>
      </c>
      <c r="C586" s="24" t="s">
        <v>2326</v>
      </c>
      <c r="D586" s="23" t="s">
        <v>572</v>
      </c>
      <c r="E586" s="26" t="s">
        <v>137</v>
      </c>
      <c r="F586" s="74" t="s">
        <v>81</v>
      </c>
      <c r="G586" s="74" t="s">
        <v>979</v>
      </c>
      <c r="H586" s="75" t="n">
        <v>1.39</v>
      </c>
      <c r="I586" s="25" t="n">
        <v>1.55</v>
      </c>
      <c r="J586" s="58" t="n">
        <v>10.3</v>
      </c>
      <c r="K586" s="23" t="s">
        <v>573</v>
      </c>
      <c r="L586" s="24" t="s">
        <v>2335</v>
      </c>
      <c r="M586" s="24" t="s">
        <v>2336</v>
      </c>
      <c r="N586" s="26" t="s">
        <v>1524</v>
      </c>
      <c r="O586" s="24" t="s">
        <v>949</v>
      </c>
      <c r="P586" s="24" t="s">
        <v>169</v>
      </c>
      <c r="Q586" s="24" t="s">
        <v>1007</v>
      </c>
      <c r="R586" s="73" t="s">
        <v>95</v>
      </c>
      <c r="S586" s="0" t="n">
        <f aca="false">IF(Recherche!$B$4="",0,IF(ISNUMBER(SEARCH(Recherche!$B$4,D586))+ISNUMBER(SEARCH(Recherche!$B$4,K586))&gt;0,1,0))</f>
        <v>0</v>
      </c>
      <c r="T586" s="0" t="str">
        <f aca="false">IF(S586=1,SUM($S$2:S586),"")</f>
        <v/>
      </c>
    </row>
    <row r="587" customFormat="false" ht="23.85" hidden="false" customHeight="false" outlineLevel="0" collapsed="false">
      <c r="A587" s="20" t="s">
        <v>2334</v>
      </c>
      <c r="B587" s="20" t="s">
        <v>62</v>
      </c>
      <c r="C587" s="20" t="s">
        <v>2326</v>
      </c>
      <c r="D587" s="19" t="s">
        <v>572</v>
      </c>
      <c r="E587" s="22" t="s">
        <v>137</v>
      </c>
      <c r="F587" s="20" t="s">
        <v>80</v>
      </c>
      <c r="G587" s="20" t="s">
        <v>939</v>
      </c>
      <c r="H587" s="21" t="n">
        <v>179.45</v>
      </c>
      <c r="I587" s="21"/>
      <c r="J587" s="52"/>
      <c r="K587" s="19" t="s">
        <v>2337</v>
      </c>
      <c r="L587" s="20"/>
      <c r="M587" s="20" t="s">
        <v>2338</v>
      </c>
      <c r="N587" s="22" t="s">
        <v>91</v>
      </c>
      <c r="O587" s="20"/>
      <c r="P587" s="20" t="s">
        <v>303</v>
      </c>
      <c r="Q587" s="20" t="s">
        <v>942</v>
      </c>
      <c r="R587" s="76" t="s">
        <v>95</v>
      </c>
      <c r="S587" s="0" t="n">
        <f aca="false">IF(Recherche!$B$4="",0,IF(ISNUMBER(SEARCH(Recherche!$B$4,D587))+ISNUMBER(SEARCH(Recherche!$B$4,K587))&gt;0,1,0))</f>
        <v>0</v>
      </c>
      <c r="T587" s="0" t="str">
        <f aca="false">IF(S587=1,SUM($S$2:S587),"")</f>
        <v/>
      </c>
    </row>
    <row r="588" customFormat="false" ht="15" hidden="false" customHeight="false" outlineLevel="0" collapsed="false">
      <c r="A588" s="24" t="s">
        <v>2339</v>
      </c>
      <c r="B588" s="24" t="s">
        <v>63</v>
      </c>
      <c r="C588" s="24" t="s">
        <v>2340</v>
      </c>
      <c r="D588" s="23" t="s">
        <v>574</v>
      </c>
      <c r="E588" s="26" t="s">
        <v>344</v>
      </c>
      <c r="F588" s="74" t="s">
        <v>81</v>
      </c>
      <c r="G588" s="74" t="s">
        <v>979</v>
      </c>
      <c r="H588" s="75" t="n">
        <v>15.92</v>
      </c>
      <c r="I588" s="25" t="n">
        <v>16.83</v>
      </c>
      <c r="J588" s="58" t="n">
        <v>5.4</v>
      </c>
      <c r="K588" s="23" t="s">
        <v>2341</v>
      </c>
      <c r="L588" s="24" t="s">
        <v>1747</v>
      </c>
      <c r="M588" s="24" t="s">
        <v>2342</v>
      </c>
      <c r="N588" s="26" t="s">
        <v>91</v>
      </c>
      <c r="O588" s="24" t="s">
        <v>949</v>
      </c>
      <c r="P588" s="24" t="s">
        <v>169</v>
      </c>
      <c r="Q588" s="24" t="s">
        <v>1007</v>
      </c>
      <c r="R588" s="73" t="s">
        <v>95</v>
      </c>
      <c r="S588" s="0" t="n">
        <f aca="false">IF(Recherche!$B$4="",0,IF(ISNUMBER(SEARCH(Recherche!$B$4,D588))+ISNUMBER(SEARCH(Recherche!$B$4,K588))&gt;0,1,0))</f>
        <v>0</v>
      </c>
      <c r="T588" s="0" t="str">
        <f aca="false">IF(S588=1,SUM($S$2:S588),"")</f>
        <v/>
      </c>
    </row>
    <row r="589" customFormat="false" ht="23.85" hidden="false" customHeight="false" outlineLevel="0" collapsed="false">
      <c r="A589" s="20" t="s">
        <v>2339</v>
      </c>
      <c r="B589" s="20" t="s">
        <v>63</v>
      </c>
      <c r="C589" s="20" t="s">
        <v>2340</v>
      </c>
      <c r="D589" s="19" t="s">
        <v>574</v>
      </c>
      <c r="E589" s="22" t="s">
        <v>344</v>
      </c>
      <c r="F589" s="20" t="s">
        <v>80</v>
      </c>
      <c r="G589" s="20" t="s">
        <v>939</v>
      </c>
      <c r="H589" s="21" t="n">
        <v>83.9</v>
      </c>
      <c r="I589" s="21"/>
      <c r="J589" s="52"/>
      <c r="K589" s="19" t="s">
        <v>2343</v>
      </c>
      <c r="L589" s="20"/>
      <c r="M589" s="20" t="s">
        <v>2344</v>
      </c>
      <c r="N589" s="22" t="s">
        <v>91</v>
      </c>
      <c r="O589" s="20"/>
      <c r="P589" s="20" t="s">
        <v>303</v>
      </c>
      <c r="Q589" s="20" t="s">
        <v>942</v>
      </c>
      <c r="R589" s="76" t="s">
        <v>95</v>
      </c>
      <c r="S589" s="0" t="n">
        <f aca="false">IF(Recherche!$B$4="",0,IF(ISNUMBER(SEARCH(Recherche!$B$4,D589))+ISNUMBER(SEARCH(Recherche!$B$4,K589))&gt;0,1,0))</f>
        <v>0</v>
      </c>
      <c r="T589" s="0" t="str">
        <f aca="false">IF(S589=1,SUM($S$2:S589),"")</f>
        <v/>
      </c>
    </row>
    <row r="590" customFormat="false" ht="23.85" hidden="false" customHeight="false" outlineLevel="0" collapsed="false">
      <c r="A590" s="24" t="s">
        <v>2339</v>
      </c>
      <c r="B590" s="24" t="s">
        <v>63</v>
      </c>
      <c r="C590" s="24" t="s">
        <v>2340</v>
      </c>
      <c r="D590" s="23" t="s">
        <v>574</v>
      </c>
      <c r="E590" s="26" t="s">
        <v>344</v>
      </c>
      <c r="F590" s="24" t="s">
        <v>76</v>
      </c>
      <c r="G590" s="24" t="s">
        <v>939</v>
      </c>
      <c r="H590" s="25" t="n">
        <v>108.26</v>
      </c>
      <c r="I590" s="25"/>
      <c r="J590" s="58"/>
      <c r="K590" s="23" t="s">
        <v>575</v>
      </c>
      <c r="L590" s="24" t="s">
        <v>2246</v>
      </c>
      <c r="M590" s="24" t="s">
        <v>2345</v>
      </c>
      <c r="N590" s="26" t="s">
        <v>344</v>
      </c>
      <c r="O590" s="24"/>
      <c r="P590" s="24" t="s">
        <v>93</v>
      </c>
      <c r="Q590" s="24" t="s">
        <v>1085</v>
      </c>
      <c r="R590" s="73" t="s">
        <v>95</v>
      </c>
      <c r="S590" s="0" t="n">
        <f aca="false">IF(Recherche!$B$4="",0,IF(ISNUMBER(SEARCH(Recherche!$B$4,D590))+ISNUMBER(SEARCH(Recherche!$B$4,K590))&gt;0,1,0))</f>
        <v>0</v>
      </c>
      <c r="T590" s="0" t="str">
        <f aca="false">IF(S590=1,SUM($S$2:S590),"")</f>
        <v/>
      </c>
    </row>
    <row r="591" customFormat="false" ht="15" hidden="false" customHeight="false" outlineLevel="0" collapsed="false">
      <c r="A591" s="20" t="s">
        <v>2339</v>
      </c>
      <c r="B591" s="20" t="s">
        <v>63</v>
      </c>
      <c r="C591" s="20" t="s">
        <v>2340</v>
      </c>
      <c r="D591" s="19" t="s">
        <v>574</v>
      </c>
      <c r="E591" s="22" t="s">
        <v>344</v>
      </c>
      <c r="F591" s="74" t="s">
        <v>79</v>
      </c>
      <c r="G591" s="74" t="s">
        <v>943</v>
      </c>
      <c r="H591" s="75" t="n">
        <v>155</v>
      </c>
      <c r="I591" s="21"/>
      <c r="J591" s="52"/>
      <c r="K591" s="19" t="s">
        <v>2346</v>
      </c>
      <c r="L591" s="20"/>
      <c r="M591" s="20" t="s">
        <v>2347</v>
      </c>
      <c r="N591" s="22" t="s">
        <v>2262</v>
      </c>
      <c r="O591" s="20"/>
      <c r="P591" s="20" t="s">
        <v>313</v>
      </c>
      <c r="Q591" s="20" t="s">
        <v>1387</v>
      </c>
      <c r="R591" s="76" t="s">
        <v>95</v>
      </c>
      <c r="S591" s="0" t="n">
        <f aca="false">IF(Recherche!$B$4="",0,IF(ISNUMBER(SEARCH(Recherche!$B$4,D591))+ISNUMBER(SEARCH(Recherche!$B$4,K591))&gt;0,1,0))</f>
        <v>0</v>
      </c>
      <c r="T591" s="0" t="str">
        <f aca="false">IF(S591=1,SUM($S$2:S591),"")</f>
        <v/>
      </c>
    </row>
    <row r="592" customFormat="false" ht="23.85" hidden="false" customHeight="false" outlineLevel="0" collapsed="false">
      <c r="A592" s="24" t="s">
        <v>2348</v>
      </c>
      <c r="B592" s="24" t="s">
        <v>63</v>
      </c>
      <c r="C592" s="24" t="s">
        <v>2340</v>
      </c>
      <c r="D592" s="23" t="s">
        <v>576</v>
      </c>
      <c r="E592" s="26" t="s">
        <v>344</v>
      </c>
      <c r="F592" s="24" t="s">
        <v>80</v>
      </c>
      <c r="G592" s="24" t="s">
        <v>939</v>
      </c>
      <c r="H592" s="25" t="n">
        <v>3.98</v>
      </c>
      <c r="I592" s="25"/>
      <c r="J592" s="58"/>
      <c r="K592" s="23" t="s">
        <v>2349</v>
      </c>
      <c r="L592" s="24"/>
      <c r="M592" s="24" t="s">
        <v>2350</v>
      </c>
      <c r="N592" s="26" t="s">
        <v>91</v>
      </c>
      <c r="O592" s="24"/>
      <c r="P592" s="24" t="s">
        <v>303</v>
      </c>
      <c r="Q592" s="24" t="s">
        <v>963</v>
      </c>
      <c r="R592" s="73" t="s">
        <v>95</v>
      </c>
      <c r="S592" s="0" t="n">
        <f aca="false">IF(Recherche!$B$4="",0,IF(ISNUMBER(SEARCH(Recherche!$B$4,D592))+ISNUMBER(SEARCH(Recherche!$B$4,K592))&gt;0,1,0))</f>
        <v>0</v>
      </c>
      <c r="T592" s="0" t="str">
        <f aca="false">IF(S592=1,SUM($S$2:S592),"")</f>
        <v/>
      </c>
    </row>
    <row r="593" customFormat="false" ht="15" hidden="false" customHeight="false" outlineLevel="0" collapsed="false">
      <c r="A593" s="20" t="s">
        <v>2348</v>
      </c>
      <c r="B593" s="20" t="s">
        <v>63</v>
      </c>
      <c r="C593" s="20" t="s">
        <v>2340</v>
      </c>
      <c r="D593" s="19" t="s">
        <v>576</v>
      </c>
      <c r="E593" s="22" t="s">
        <v>344</v>
      </c>
      <c r="F593" s="74" t="s">
        <v>81</v>
      </c>
      <c r="G593" s="74" t="s">
        <v>979</v>
      </c>
      <c r="H593" s="75" t="n">
        <v>13.5</v>
      </c>
      <c r="I593" s="21" t="n">
        <v>14.21</v>
      </c>
      <c r="J593" s="52" t="n">
        <v>5</v>
      </c>
      <c r="K593" s="19" t="s">
        <v>2351</v>
      </c>
      <c r="L593" s="20" t="s">
        <v>2352</v>
      </c>
      <c r="M593" s="20" t="s">
        <v>2353</v>
      </c>
      <c r="N593" s="22" t="s">
        <v>2354</v>
      </c>
      <c r="O593" s="20" t="s">
        <v>2354</v>
      </c>
      <c r="P593" s="20" t="s">
        <v>169</v>
      </c>
      <c r="Q593" s="20" t="s">
        <v>1007</v>
      </c>
      <c r="R593" s="76" t="s">
        <v>95</v>
      </c>
      <c r="S593" s="0" t="n">
        <f aca="false">IF(Recherche!$B$4="",0,IF(ISNUMBER(SEARCH(Recherche!$B$4,D593))+ISNUMBER(SEARCH(Recherche!$B$4,K593))&gt;0,1,0))</f>
        <v>0</v>
      </c>
      <c r="T593" s="0" t="str">
        <f aca="false">IF(S593=1,SUM($S$2:S593),"")</f>
        <v/>
      </c>
    </row>
    <row r="594" customFormat="false" ht="15" hidden="false" customHeight="false" outlineLevel="0" collapsed="false">
      <c r="A594" s="24" t="s">
        <v>2348</v>
      </c>
      <c r="B594" s="24" t="s">
        <v>63</v>
      </c>
      <c r="C594" s="24" t="s">
        <v>2340</v>
      </c>
      <c r="D594" s="23" t="s">
        <v>576</v>
      </c>
      <c r="E594" s="26" t="s">
        <v>344</v>
      </c>
      <c r="F594" s="74" t="s">
        <v>83</v>
      </c>
      <c r="G594" s="74" t="s">
        <v>943</v>
      </c>
      <c r="H594" s="75" t="n">
        <v>35.42</v>
      </c>
      <c r="I594" s="25"/>
      <c r="J594" s="58"/>
      <c r="K594" s="23" t="s">
        <v>2355</v>
      </c>
      <c r="L594" s="24"/>
      <c r="M594" s="24" t="s">
        <v>2356</v>
      </c>
      <c r="N594" s="26" t="s">
        <v>647</v>
      </c>
      <c r="O594" s="24"/>
      <c r="P594" s="24" t="s">
        <v>534</v>
      </c>
      <c r="Q594" s="24" t="s">
        <v>1016</v>
      </c>
      <c r="R594" s="73" t="s">
        <v>95</v>
      </c>
      <c r="S594" s="0" t="n">
        <f aca="false">IF(Recherche!$B$4="",0,IF(ISNUMBER(SEARCH(Recherche!$B$4,D594))+ISNUMBER(SEARCH(Recherche!$B$4,K594))&gt;0,1,0))</f>
        <v>0</v>
      </c>
      <c r="T594" s="0" t="str">
        <f aca="false">IF(S594=1,SUM($S$2:S594),"")</f>
        <v/>
      </c>
    </row>
    <row r="595" customFormat="false" ht="15" hidden="false" customHeight="false" outlineLevel="0" collapsed="false">
      <c r="A595" s="20" t="s">
        <v>2348</v>
      </c>
      <c r="B595" s="20" t="s">
        <v>63</v>
      </c>
      <c r="C595" s="20" t="s">
        <v>2340</v>
      </c>
      <c r="D595" s="19" t="s">
        <v>576</v>
      </c>
      <c r="E595" s="22" t="s">
        <v>344</v>
      </c>
      <c r="F595" s="74" t="s">
        <v>79</v>
      </c>
      <c r="G595" s="74" t="s">
        <v>943</v>
      </c>
      <c r="H595" s="75" t="n">
        <v>51.9</v>
      </c>
      <c r="I595" s="21"/>
      <c r="J595" s="52"/>
      <c r="K595" s="19" t="s">
        <v>2357</v>
      </c>
      <c r="L595" s="20"/>
      <c r="M595" s="20" t="s">
        <v>2358</v>
      </c>
      <c r="N595" s="22" t="s">
        <v>2262</v>
      </c>
      <c r="O595" s="20"/>
      <c r="P595" s="20" t="s">
        <v>313</v>
      </c>
      <c r="Q595" s="20" t="s">
        <v>1387</v>
      </c>
      <c r="R595" s="76" t="s">
        <v>95</v>
      </c>
      <c r="S595" s="0" t="n">
        <f aca="false">IF(Recherche!$B$4="",0,IF(ISNUMBER(SEARCH(Recherche!$B$4,D595))+ISNUMBER(SEARCH(Recherche!$B$4,K595))&gt;0,1,0))</f>
        <v>0</v>
      </c>
      <c r="T595" s="0" t="str">
        <f aca="false">IF(S595=1,SUM($S$2:S595),"")</f>
        <v/>
      </c>
    </row>
    <row r="596" customFormat="false" ht="23.85" hidden="false" customHeight="false" outlineLevel="0" collapsed="false">
      <c r="A596" s="24" t="s">
        <v>2348</v>
      </c>
      <c r="B596" s="24" t="s">
        <v>63</v>
      </c>
      <c r="C596" s="24" t="s">
        <v>2340</v>
      </c>
      <c r="D596" s="23" t="s">
        <v>576</v>
      </c>
      <c r="E596" s="26" t="s">
        <v>344</v>
      </c>
      <c r="F596" s="24" t="s">
        <v>76</v>
      </c>
      <c r="G596" s="24" t="s">
        <v>939</v>
      </c>
      <c r="H596" s="25" t="n">
        <v>108.26</v>
      </c>
      <c r="I596" s="25"/>
      <c r="J596" s="58"/>
      <c r="K596" s="23" t="s">
        <v>575</v>
      </c>
      <c r="L596" s="24" t="s">
        <v>2246</v>
      </c>
      <c r="M596" s="24" t="s">
        <v>2345</v>
      </c>
      <c r="N596" s="26" t="s">
        <v>344</v>
      </c>
      <c r="O596" s="24"/>
      <c r="P596" s="24" t="s">
        <v>93</v>
      </c>
      <c r="Q596" s="24" t="s">
        <v>942</v>
      </c>
      <c r="R596" s="73" t="s">
        <v>95</v>
      </c>
      <c r="S596" s="0" t="n">
        <f aca="false">IF(Recherche!$B$4="",0,IF(ISNUMBER(SEARCH(Recherche!$B$4,D596))+ISNUMBER(SEARCH(Recherche!$B$4,K596))&gt;0,1,0))</f>
        <v>0</v>
      </c>
      <c r="T596" s="0" t="str">
        <f aca="false">IF(S596=1,SUM($S$2:S596),"")</f>
        <v/>
      </c>
    </row>
    <row r="597" customFormat="false" ht="15" hidden="false" customHeight="false" outlineLevel="0" collapsed="false">
      <c r="A597" s="20" t="s">
        <v>2359</v>
      </c>
      <c r="B597" s="20" t="s">
        <v>63</v>
      </c>
      <c r="C597" s="20" t="s">
        <v>2340</v>
      </c>
      <c r="D597" s="19" t="s">
        <v>577</v>
      </c>
      <c r="E597" s="22" t="s">
        <v>344</v>
      </c>
      <c r="F597" s="74" t="s">
        <v>79</v>
      </c>
      <c r="G597" s="74" t="s">
        <v>943</v>
      </c>
      <c r="H597" s="75" t="n">
        <v>11.5</v>
      </c>
      <c r="I597" s="21"/>
      <c r="J597" s="52"/>
      <c r="K597" s="19" t="s">
        <v>2360</v>
      </c>
      <c r="L597" s="20"/>
      <c r="M597" s="20" t="s">
        <v>2361</v>
      </c>
      <c r="N597" s="22" t="s">
        <v>2262</v>
      </c>
      <c r="O597" s="20"/>
      <c r="P597" s="20" t="s">
        <v>313</v>
      </c>
      <c r="Q597" s="20" t="s">
        <v>1387</v>
      </c>
      <c r="R597" s="76" t="s">
        <v>95</v>
      </c>
      <c r="S597" s="0" t="n">
        <f aca="false">IF(Recherche!$B$4="",0,IF(ISNUMBER(SEARCH(Recherche!$B$4,D597))+ISNUMBER(SEARCH(Recherche!$B$4,K597))&gt;0,1,0))</f>
        <v>0</v>
      </c>
      <c r="T597" s="0" t="str">
        <f aca="false">IF(S597=1,SUM($S$2:S597),"")</f>
        <v/>
      </c>
    </row>
    <row r="598" customFormat="false" ht="15" hidden="false" customHeight="false" outlineLevel="0" collapsed="false">
      <c r="A598" s="24" t="s">
        <v>2359</v>
      </c>
      <c r="B598" s="24" t="s">
        <v>63</v>
      </c>
      <c r="C598" s="24" t="s">
        <v>2340</v>
      </c>
      <c r="D598" s="23" t="s">
        <v>577</v>
      </c>
      <c r="E598" s="26" t="s">
        <v>344</v>
      </c>
      <c r="F598" s="74" t="s">
        <v>81</v>
      </c>
      <c r="G598" s="74" t="s">
        <v>979</v>
      </c>
      <c r="H598" s="75" t="n">
        <v>13.5</v>
      </c>
      <c r="I598" s="25" t="n">
        <v>14.21</v>
      </c>
      <c r="J598" s="58" t="n">
        <v>5</v>
      </c>
      <c r="K598" s="23" t="s">
        <v>2362</v>
      </c>
      <c r="L598" s="24" t="s">
        <v>2352</v>
      </c>
      <c r="M598" s="24" t="s">
        <v>2363</v>
      </c>
      <c r="N598" s="26" t="s">
        <v>2354</v>
      </c>
      <c r="O598" s="24" t="s">
        <v>2354</v>
      </c>
      <c r="P598" s="24" t="s">
        <v>169</v>
      </c>
      <c r="Q598" s="24" t="s">
        <v>1007</v>
      </c>
      <c r="R598" s="73" t="s">
        <v>95</v>
      </c>
      <c r="S598" s="0" t="n">
        <f aca="false">IF(Recherche!$B$4="",0,IF(ISNUMBER(SEARCH(Recherche!$B$4,D598))+ISNUMBER(SEARCH(Recherche!$B$4,K598))&gt;0,1,0))</f>
        <v>0</v>
      </c>
      <c r="T598" s="0" t="str">
        <f aca="false">IF(S598=1,SUM($S$2:S598),"")</f>
        <v/>
      </c>
    </row>
    <row r="599" customFormat="false" ht="23.85" hidden="false" customHeight="false" outlineLevel="0" collapsed="false">
      <c r="A599" s="20" t="s">
        <v>2359</v>
      </c>
      <c r="B599" s="20" t="s">
        <v>63</v>
      </c>
      <c r="C599" s="20" t="s">
        <v>2340</v>
      </c>
      <c r="D599" s="19" t="s">
        <v>577</v>
      </c>
      <c r="E599" s="22" t="s">
        <v>344</v>
      </c>
      <c r="F599" s="20" t="s">
        <v>76</v>
      </c>
      <c r="G599" s="20" t="s">
        <v>939</v>
      </c>
      <c r="H599" s="21" t="n">
        <v>17.26</v>
      </c>
      <c r="I599" s="21"/>
      <c r="J599" s="52"/>
      <c r="K599" s="19" t="s">
        <v>578</v>
      </c>
      <c r="L599" s="20" t="s">
        <v>2246</v>
      </c>
      <c r="M599" s="20" t="s">
        <v>2364</v>
      </c>
      <c r="N599" s="22" t="s">
        <v>344</v>
      </c>
      <c r="O599" s="20"/>
      <c r="P599" s="20" t="s">
        <v>93</v>
      </c>
      <c r="Q599" s="20" t="s">
        <v>942</v>
      </c>
      <c r="R599" s="76" t="s">
        <v>95</v>
      </c>
      <c r="S599" s="0" t="n">
        <f aca="false">IF(Recherche!$B$4="",0,IF(ISNUMBER(SEARCH(Recherche!$B$4,D599))+ISNUMBER(SEARCH(Recherche!$B$4,K599))&gt;0,1,0))</f>
        <v>0</v>
      </c>
      <c r="T599" s="0" t="str">
        <f aca="false">IF(S599=1,SUM($S$2:S599),"")</f>
        <v/>
      </c>
    </row>
    <row r="600" customFormat="false" ht="15" hidden="false" customHeight="false" outlineLevel="0" collapsed="false">
      <c r="A600" s="24" t="s">
        <v>2359</v>
      </c>
      <c r="B600" s="24" t="s">
        <v>63</v>
      </c>
      <c r="C600" s="24" t="s">
        <v>2340</v>
      </c>
      <c r="D600" s="23" t="s">
        <v>577</v>
      </c>
      <c r="E600" s="26" t="s">
        <v>344</v>
      </c>
      <c r="F600" s="74" t="s">
        <v>83</v>
      </c>
      <c r="G600" s="74" t="s">
        <v>943</v>
      </c>
      <c r="H600" s="75" t="n">
        <v>29.9</v>
      </c>
      <c r="I600" s="25"/>
      <c r="J600" s="58"/>
      <c r="K600" s="23" t="s">
        <v>2365</v>
      </c>
      <c r="L600" s="24"/>
      <c r="M600" s="24" t="s">
        <v>2366</v>
      </c>
      <c r="N600" s="26" t="s">
        <v>1441</v>
      </c>
      <c r="O600" s="24"/>
      <c r="P600" s="24" t="s">
        <v>534</v>
      </c>
      <c r="Q600" s="24" t="s">
        <v>1016</v>
      </c>
      <c r="R600" s="73" t="s">
        <v>95</v>
      </c>
      <c r="S600" s="0" t="n">
        <f aca="false">IF(Recherche!$B$4="",0,IF(ISNUMBER(SEARCH(Recherche!$B$4,D600))+ISNUMBER(SEARCH(Recherche!$B$4,K600))&gt;0,1,0))</f>
        <v>0</v>
      </c>
      <c r="T600" s="0" t="str">
        <f aca="false">IF(S600=1,SUM($S$2:S600),"")</f>
        <v/>
      </c>
    </row>
    <row r="601" customFormat="false" ht="23.85" hidden="false" customHeight="false" outlineLevel="0" collapsed="false">
      <c r="A601" s="20" t="s">
        <v>2359</v>
      </c>
      <c r="B601" s="20" t="s">
        <v>63</v>
      </c>
      <c r="C601" s="20" t="s">
        <v>2340</v>
      </c>
      <c r="D601" s="19" t="s">
        <v>577</v>
      </c>
      <c r="E601" s="22" t="s">
        <v>344</v>
      </c>
      <c r="F601" s="20" t="s">
        <v>80</v>
      </c>
      <c r="G601" s="20" t="s">
        <v>939</v>
      </c>
      <c r="H601" s="21" t="n">
        <v>93.7</v>
      </c>
      <c r="I601" s="21"/>
      <c r="J601" s="52"/>
      <c r="K601" s="19" t="s">
        <v>2367</v>
      </c>
      <c r="L601" s="20"/>
      <c r="M601" s="20" t="s">
        <v>2368</v>
      </c>
      <c r="N601" s="22" t="s">
        <v>91</v>
      </c>
      <c r="O601" s="20"/>
      <c r="P601" s="20" t="s">
        <v>303</v>
      </c>
      <c r="Q601" s="20" t="s">
        <v>942</v>
      </c>
      <c r="R601" s="76" t="s">
        <v>95</v>
      </c>
      <c r="S601" s="0" t="n">
        <f aca="false">IF(Recherche!$B$4="",0,IF(ISNUMBER(SEARCH(Recherche!$B$4,D601))+ISNUMBER(SEARCH(Recherche!$B$4,K601))&gt;0,1,0))</f>
        <v>0</v>
      </c>
      <c r="T601" s="0" t="str">
        <f aca="false">IF(S601=1,SUM($S$2:S601),"")</f>
        <v/>
      </c>
    </row>
    <row r="602" customFormat="false" ht="23.85" hidden="false" customHeight="false" outlineLevel="0" collapsed="false">
      <c r="A602" s="24" t="s">
        <v>2369</v>
      </c>
      <c r="B602" s="24" t="s">
        <v>63</v>
      </c>
      <c r="C602" s="24" t="s">
        <v>2340</v>
      </c>
      <c r="D602" s="23" t="s">
        <v>579</v>
      </c>
      <c r="E602" s="26" t="s">
        <v>344</v>
      </c>
      <c r="F602" s="24" t="s">
        <v>76</v>
      </c>
      <c r="G602" s="24" t="s">
        <v>939</v>
      </c>
      <c r="H602" s="25" t="n">
        <v>34.23</v>
      </c>
      <c r="I602" s="25"/>
      <c r="J602" s="58"/>
      <c r="K602" s="23" t="s">
        <v>580</v>
      </c>
      <c r="L602" s="24" t="s">
        <v>2246</v>
      </c>
      <c r="M602" s="24" t="s">
        <v>2370</v>
      </c>
      <c r="N602" s="26" t="s">
        <v>344</v>
      </c>
      <c r="O602" s="24" t="s">
        <v>2371</v>
      </c>
      <c r="P602" s="24" t="s">
        <v>93</v>
      </c>
      <c r="Q602" s="24" t="s">
        <v>963</v>
      </c>
      <c r="R602" s="73" t="s">
        <v>95</v>
      </c>
      <c r="S602" s="0" t="n">
        <f aca="false">IF(Recherche!$B$4="",0,IF(ISNUMBER(SEARCH(Recherche!$B$4,D602))+ISNUMBER(SEARCH(Recherche!$B$4,K602))&gt;0,1,0))</f>
        <v>0</v>
      </c>
      <c r="T602" s="0" t="str">
        <f aca="false">IF(S602=1,SUM($S$2:S602),"")</f>
        <v/>
      </c>
    </row>
    <row r="603" customFormat="false" ht="15" hidden="false" customHeight="false" outlineLevel="0" collapsed="false">
      <c r="A603" s="20" t="s">
        <v>2369</v>
      </c>
      <c r="B603" s="20" t="s">
        <v>63</v>
      </c>
      <c r="C603" s="20" t="s">
        <v>2340</v>
      </c>
      <c r="D603" s="19" t="s">
        <v>579</v>
      </c>
      <c r="E603" s="22" t="s">
        <v>344</v>
      </c>
      <c r="F603" s="74" t="s">
        <v>81</v>
      </c>
      <c r="G603" s="74" t="s">
        <v>979</v>
      </c>
      <c r="H603" s="75" t="n">
        <v>75.1</v>
      </c>
      <c r="I603" s="21" t="n">
        <v>79</v>
      </c>
      <c r="J603" s="52" t="n">
        <v>4.9</v>
      </c>
      <c r="K603" s="19" t="s">
        <v>2372</v>
      </c>
      <c r="L603" s="20" t="s">
        <v>2373</v>
      </c>
      <c r="M603" s="20" t="s">
        <v>2374</v>
      </c>
      <c r="N603" s="22" t="s">
        <v>91</v>
      </c>
      <c r="O603" s="20" t="s">
        <v>949</v>
      </c>
      <c r="P603" s="20" t="s">
        <v>169</v>
      </c>
      <c r="Q603" s="20" t="s">
        <v>1007</v>
      </c>
      <c r="R603" s="76" t="s">
        <v>95</v>
      </c>
      <c r="S603" s="0" t="n">
        <f aca="false">IF(Recherche!$B$4="",0,IF(ISNUMBER(SEARCH(Recherche!$B$4,D603))+ISNUMBER(SEARCH(Recherche!$B$4,K603))&gt;0,1,0))</f>
        <v>0</v>
      </c>
      <c r="T603" s="0" t="str">
        <f aca="false">IF(S603=1,SUM($S$2:S603),"")</f>
        <v/>
      </c>
    </row>
    <row r="604" customFormat="false" ht="15" hidden="false" customHeight="false" outlineLevel="0" collapsed="false">
      <c r="A604" s="24" t="s">
        <v>2375</v>
      </c>
      <c r="B604" s="24" t="s">
        <v>63</v>
      </c>
      <c r="C604" s="24" t="s">
        <v>2340</v>
      </c>
      <c r="D604" s="23" t="s">
        <v>581</v>
      </c>
      <c r="E604" s="26" t="s">
        <v>344</v>
      </c>
      <c r="F604" s="74" t="s">
        <v>81</v>
      </c>
      <c r="G604" s="74" t="s">
        <v>979</v>
      </c>
      <c r="H604" s="75" t="n">
        <v>3.56</v>
      </c>
      <c r="I604" s="25" t="n">
        <v>3.94</v>
      </c>
      <c r="J604" s="58" t="n">
        <v>9.6</v>
      </c>
      <c r="K604" s="23" t="s">
        <v>2376</v>
      </c>
      <c r="L604" s="24" t="s">
        <v>2377</v>
      </c>
      <c r="M604" s="24" t="s">
        <v>2378</v>
      </c>
      <c r="N604" s="26" t="s">
        <v>2213</v>
      </c>
      <c r="O604" s="24" t="s">
        <v>1056</v>
      </c>
      <c r="P604" s="24" t="s">
        <v>119</v>
      </c>
      <c r="Q604" s="24" t="s">
        <v>1016</v>
      </c>
      <c r="R604" s="73" t="s">
        <v>95</v>
      </c>
      <c r="S604" s="0" t="n">
        <f aca="false">IF(Recherche!$B$4="",0,IF(ISNUMBER(SEARCH(Recherche!$B$4,D604))+ISNUMBER(SEARCH(Recherche!$B$4,K604))&gt;0,1,0))</f>
        <v>0</v>
      </c>
      <c r="T604" s="0" t="str">
        <f aca="false">IF(S604=1,SUM($S$2:S604),"")</f>
        <v/>
      </c>
    </row>
    <row r="605" customFormat="false" ht="23.85" hidden="false" customHeight="false" outlineLevel="0" collapsed="false">
      <c r="A605" s="20" t="s">
        <v>2375</v>
      </c>
      <c r="B605" s="20" t="s">
        <v>63</v>
      </c>
      <c r="C605" s="20" t="s">
        <v>2340</v>
      </c>
      <c r="D605" s="19" t="s">
        <v>581</v>
      </c>
      <c r="E605" s="22" t="s">
        <v>344</v>
      </c>
      <c r="F605" s="20" t="s">
        <v>80</v>
      </c>
      <c r="G605" s="20" t="s">
        <v>939</v>
      </c>
      <c r="H605" s="21" t="n">
        <v>5.1</v>
      </c>
      <c r="I605" s="21"/>
      <c r="J605" s="52"/>
      <c r="K605" s="19" t="s">
        <v>2379</v>
      </c>
      <c r="L605" s="20"/>
      <c r="M605" s="20" t="s">
        <v>2380</v>
      </c>
      <c r="N605" s="22" t="s">
        <v>91</v>
      </c>
      <c r="O605" s="20"/>
      <c r="P605" s="20" t="s">
        <v>303</v>
      </c>
      <c r="Q605" s="20" t="s">
        <v>963</v>
      </c>
      <c r="R605" s="76" t="s">
        <v>95</v>
      </c>
      <c r="S605" s="0" t="n">
        <f aca="false">IF(Recherche!$B$4="",0,IF(ISNUMBER(SEARCH(Recherche!$B$4,D605))+ISNUMBER(SEARCH(Recherche!$B$4,K605))&gt;0,1,0))</f>
        <v>0</v>
      </c>
      <c r="T605" s="0" t="str">
        <f aca="false">IF(S605=1,SUM($S$2:S605),"")</f>
        <v/>
      </c>
    </row>
    <row r="606" customFormat="false" ht="15" hidden="false" customHeight="false" outlineLevel="0" collapsed="false">
      <c r="A606" s="24" t="s">
        <v>2375</v>
      </c>
      <c r="B606" s="24" t="s">
        <v>63</v>
      </c>
      <c r="C606" s="24" t="s">
        <v>2340</v>
      </c>
      <c r="D606" s="23" t="s">
        <v>581</v>
      </c>
      <c r="E606" s="26" t="s">
        <v>344</v>
      </c>
      <c r="F606" s="74" t="s">
        <v>79</v>
      </c>
      <c r="G606" s="74" t="s">
        <v>943</v>
      </c>
      <c r="H606" s="75" t="n">
        <v>10.29</v>
      </c>
      <c r="I606" s="25"/>
      <c r="J606" s="58"/>
      <c r="K606" s="23" t="s">
        <v>2381</v>
      </c>
      <c r="L606" s="24"/>
      <c r="M606" s="24" t="s">
        <v>2382</v>
      </c>
      <c r="N606" s="26" t="s">
        <v>2204</v>
      </c>
      <c r="O606" s="24"/>
      <c r="P606" s="24" t="s">
        <v>313</v>
      </c>
      <c r="Q606" s="24" t="s">
        <v>1016</v>
      </c>
      <c r="R606" s="73" t="s">
        <v>95</v>
      </c>
      <c r="S606" s="0" t="n">
        <f aca="false">IF(Recherche!$B$4="",0,IF(ISNUMBER(SEARCH(Recherche!$B$4,D606))+ISNUMBER(SEARCH(Recherche!$B$4,K606))&gt;0,1,0))</f>
        <v>0</v>
      </c>
      <c r="T606" s="0" t="str">
        <f aca="false">IF(S606=1,SUM($S$2:S606),"")</f>
        <v/>
      </c>
    </row>
    <row r="607" customFormat="false" ht="15" hidden="false" customHeight="false" outlineLevel="0" collapsed="false">
      <c r="A607" s="20" t="s">
        <v>2375</v>
      </c>
      <c r="B607" s="20" t="s">
        <v>63</v>
      </c>
      <c r="C607" s="20" t="s">
        <v>2340</v>
      </c>
      <c r="D607" s="19" t="s">
        <v>581</v>
      </c>
      <c r="E607" s="22" t="s">
        <v>344</v>
      </c>
      <c r="F607" s="20" t="s">
        <v>76</v>
      </c>
      <c r="G607" s="20" t="s">
        <v>939</v>
      </c>
      <c r="H607" s="21" t="n">
        <v>12.94</v>
      </c>
      <c r="I607" s="21"/>
      <c r="J607" s="52"/>
      <c r="K607" s="19" t="s">
        <v>582</v>
      </c>
      <c r="L607" s="20" t="s">
        <v>2067</v>
      </c>
      <c r="M607" s="20" t="s">
        <v>2383</v>
      </c>
      <c r="N607" s="22" t="s">
        <v>344</v>
      </c>
      <c r="O607" s="20"/>
      <c r="P607" s="20" t="s">
        <v>93</v>
      </c>
      <c r="Q607" s="20" t="s">
        <v>963</v>
      </c>
      <c r="R607" s="76" t="s">
        <v>95</v>
      </c>
      <c r="S607" s="0" t="n">
        <f aca="false">IF(Recherche!$B$4="",0,IF(ISNUMBER(SEARCH(Recherche!$B$4,D607))+ISNUMBER(SEARCH(Recherche!$B$4,K607))&gt;0,1,0))</f>
        <v>0</v>
      </c>
      <c r="T607" s="0" t="str">
        <f aca="false">IF(S607=1,SUM($S$2:S607),"")</f>
        <v/>
      </c>
    </row>
    <row r="608" customFormat="false" ht="23.85" hidden="false" customHeight="false" outlineLevel="0" collapsed="false">
      <c r="A608" s="24" t="s">
        <v>2384</v>
      </c>
      <c r="B608" s="24" t="s">
        <v>63</v>
      </c>
      <c r="C608" s="24" t="s">
        <v>2340</v>
      </c>
      <c r="D608" s="23" t="s">
        <v>583</v>
      </c>
      <c r="E608" s="26" t="s">
        <v>344</v>
      </c>
      <c r="F608" s="24" t="s">
        <v>80</v>
      </c>
      <c r="G608" s="24" t="s">
        <v>939</v>
      </c>
      <c r="H608" s="25" t="n">
        <v>6.07</v>
      </c>
      <c r="I608" s="25"/>
      <c r="J608" s="58"/>
      <c r="K608" s="23" t="s">
        <v>2385</v>
      </c>
      <c r="L608" s="24"/>
      <c r="M608" s="24" t="s">
        <v>2386</v>
      </c>
      <c r="N608" s="26" t="s">
        <v>91</v>
      </c>
      <c r="O608" s="24"/>
      <c r="P608" s="24" t="s">
        <v>303</v>
      </c>
      <c r="Q608" s="24" t="s">
        <v>963</v>
      </c>
      <c r="R608" s="73" t="s">
        <v>95</v>
      </c>
      <c r="S608" s="0" t="n">
        <f aca="false">IF(Recherche!$B$4="",0,IF(ISNUMBER(SEARCH(Recherche!$B$4,D608))+ISNUMBER(SEARCH(Recherche!$B$4,K608))&gt;0,1,0))</f>
        <v>0</v>
      </c>
      <c r="T608" s="0" t="str">
        <f aca="false">IF(S608=1,SUM($S$2:S608),"")</f>
        <v/>
      </c>
    </row>
    <row r="609" customFormat="false" ht="15" hidden="false" customHeight="false" outlineLevel="0" collapsed="false">
      <c r="A609" s="20" t="s">
        <v>2384</v>
      </c>
      <c r="B609" s="20" t="s">
        <v>63</v>
      </c>
      <c r="C609" s="20" t="s">
        <v>2340</v>
      </c>
      <c r="D609" s="19" t="s">
        <v>583</v>
      </c>
      <c r="E609" s="22" t="s">
        <v>344</v>
      </c>
      <c r="F609" s="74" t="s">
        <v>81</v>
      </c>
      <c r="G609" s="74" t="s">
        <v>979</v>
      </c>
      <c r="H609" s="75" t="n">
        <v>86.14</v>
      </c>
      <c r="I609" s="21" t="n">
        <v>90.68</v>
      </c>
      <c r="J609" s="52" t="n">
        <v>5</v>
      </c>
      <c r="K609" s="19" t="s">
        <v>584</v>
      </c>
      <c r="L609" s="20" t="s">
        <v>2387</v>
      </c>
      <c r="M609" s="20" t="s">
        <v>2388</v>
      </c>
      <c r="N609" s="22" t="s">
        <v>344</v>
      </c>
      <c r="O609" s="20" t="s">
        <v>2389</v>
      </c>
      <c r="P609" s="20" t="s">
        <v>119</v>
      </c>
      <c r="Q609" s="20" t="s">
        <v>1007</v>
      </c>
      <c r="R609" s="76" t="s">
        <v>95</v>
      </c>
      <c r="S609" s="0" t="n">
        <f aca="false">IF(Recherche!$B$4="",0,IF(ISNUMBER(SEARCH(Recherche!$B$4,D609))+ISNUMBER(SEARCH(Recherche!$B$4,K609))&gt;0,1,0))</f>
        <v>0</v>
      </c>
      <c r="T609" s="0" t="str">
        <f aca="false">IF(S609=1,SUM($S$2:S609),"")</f>
        <v/>
      </c>
    </row>
    <row r="610" customFormat="false" ht="23.85" hidden="false" customHeight="false" outlineLevel="0" collapsed="false">
      <c r="A610" s="24" t="s">
        <v>2390</v>
      </c>
      <c r="B610" s="24" t="s">
        <v>63</v>
      </c>
      <c r="C610" s="24" t="s">
        <v>2340</v>
      </c>
      <c r="D610" s="23" t="s">
        <v>585</v>
      </c>
      <c r="E610" s="26" t="s">
        <v>344</v>
      </c>
      <c r="F610" s="74" t="s">
        <v>79</v>
      </c>
      <c r="G610" s="74" t="s">
        <v>943</v>
      </c>
      <c r="H610" s="75" t="n">
        <v>27.07</v>
      </c>
      <c r="I610" s="25"/>
      <c r="J610" s="58"/>
      <c r="K610" s="23" t="s">
        <v>586</v>
      </c>
      <c r="L610" s="24"/>
      <c r="M610" s="24" t="s">
        <v>2391</v>
      </c>
      <c r="N610" s="26" t="s">
        <v>344</v>
      </c>
      <c r="O610" s="24" t="s">
        <v>2392</v>
      </c>
      <c r="P610" s="24" t="s">
        <v>313</v>
      </c>
      <c r="Q610" s="24" t="s">
        <v>1016</v>
      </c>
      <c r="R610" s="73" t="s">
        <v>95</v>
      </c>
      <c r="S610" s="0" t="n">
        <f aca="false">IF(Recherche!$B$4="",0,IF(ISNUMBER(SEARCH(Recherche!$B$4,D610))+ISNUMBER(SEARCH(Recherche!$B$4,K610))&gt;0,1,0))</f>
        <v>0</v>
      </c>
      <c r="T610" s="0" t="str">
        <f aca="false">IF(S610=1,SUM($S$2:S610),"")</f>
        <v/>
      </c>
    </row>
    <row r="611" customFormat="false" ht="15" hidden="false" customHeight="false" outlineLevel="0" collapsed="false">
      <c r="A611" s="20" t="s">
        <v>2390</v>
      </c>
      <c r="B611" s="20" t="s">
        <v>63</v>
      </c>
      <c r="C611" s="20" t="s">
        <v>2340</v>
      </c>
      <c r="D611" s="19" t="s">
        <v>585</v>
      </c>
      <c r="E611" s="22" t="s">
        <v>344</v>
      </c>
      <c r="F611" s="74" t="s">
        <v>81</v>
      </c>
      <c r="G611" s="74" t="s">
        <v>979</v>
      </c>
      <c r="H611" s="75" t="n">
        <v>29.3</v>
      </c>
      <c r="I611" s="21" t="n">
        <v>30.8</v>
      </c>
      <c r="J611" s="52" t="n">
        <v>4.9</v>
      </c>
      <c r="K611" s="19" t="s">
        <v>2393</v>
      </c>
      <c r="L611" s="20" t="s">
        <v>2063</v>
      </c>
      <c r="M611" s="20" t="s">
        <v>2394</v>
      </c>
      <c r="N611" s="22" t="s">
        <v>91</v>
      </c>
      <c r="O611" s="20" t="s">
        <v>949</v>
      </c>
      <c r="P611" s="20" t="s">
        <v>169</v>
      </c>
      <c r="Q611" s="20" t="s">
        <v>1016</v>
      </c>
      <c r="R611" s="76" t="s">
        <v>95</v>
      </c>
      <c r="S611" s="0" t="n">
        <f aca="false">IF(Recherche!$B$4="",0,IF(ISNUMBER(SEARCH(Recherche!$B$4,D611))+ISNUMBER(SEARCH(Recherche!$B$4,K611))&gt;0,1,0))</f>
        <v>0</v>
      </c>
      <c r="T611" s="0" t="str">
        <f aca="false">IF(S611=1,SUM($S$2:S611),"")</f>
        <v/>
      </c>
    </row>
    <row r="612" customFormat="false" ht="15" hidden="false" customHeight="false" outlineLevel="0" collapsed="false">
      <c r="A612" s="24" t="s">
        <v>2395</v>
      </c>
      <c r="B612" s="24" t="s">
        <v>63</v>
      </c>
      <c r="C612" s="24" t="s">
        <v>2340</v>
      </c>
      <c r="D612" s="23" t="s">
        <v>587</v>
      </c>
      <c r="E612" s="26" t="s">
        <v>344</v>
      </c>
      <c r="F612" s="24" t="s">
        <v>80</v>
      </c>
      <c r="G612" s="24" t="s">
        <v>939</v>
      </c>
      <c r="H612" s="25" t="n">
        <v>79.41</v>
      </c>
      <c r="I612" s="25"/>
      <c r="J612" s="58"/>
      <c r="K612" s="23" t="s">
        <v>588</v>
      </c>
      <c r="L612" s="24"/>
      <c r="M612" s="24" t="s">
        <v>2396</v>
      </c>
      <c r="N612" s="26" t="s">
        <v>344</v>
      </c>
      <c r="O612" s="24" t="s">
        <v>2397</v>
      </c>
      <c r="P612" s="24" t="s">
        <v>303</v>
      </c>
      <c r="Q612" s="24" t="s">
        <v>963</v>
      </c>
      <c r="R612" s="73" t="s">
        <v>95</v>
      </c>
      <c r="S612" s="0" t="n">
        <f aca="false">IF(Recherche!$B$4="",0,IF(ISNUMBER(SEARCH(Recherche!$B$4,D612))+ISNUMBER(SEARCH(Recherche!$B$4,K612))&gt;0,1,0))</f>
        <v>0</v>
      </c>
      <c r="T612" s="0" t="str">
        <f aca="false">IF(S612=1,SUM($S$2:S612),"")</f>
        <v/>
      </c>
    </row>
    <row r="613" customFormat="false" ht="15" hidden="false" customHeight="false" outlineLevel="0" collapsed="false">
      <c r="A613" s="20" t="s">
        <v>2398</v>
      </c>
      <c r="B613" s="20" t="s">
        <v>63</v>
      </c>
      <c r="C613" s="20" t="s">
        <v>2340</v>
      </c>
      <c r="D613" s="19" t="s">
        <v>589</v>
      </c>
      <c r="E613" s="22" t="s">
        <v>344</v>
      </c>
      <c r="F613" s="74" t="s">
        <v>79</v>
      </c>
      <c r="G613" s="74" t="s">
        <v>943</v>
      </c>
      <c r="H613" s="75" t="n">
        <v>26.4</v>
      </c>
      <c r="I613" s="21"/>
      <c r="J613" s="52"/>
      <c r="K613" s="19" t="s">
        <v>590</v>
      </c>
      <c r="L613" s="20"/>
      <c r="M613" s="20" t="s">
        <v>2399</v>
      </c>
      <c r="N613" s="22" t="s">
        <v>344</v>
      </c>
      <c r="O613" s="20" t="s">
        <v>2392</v>
      </c>
      <c r="P613" s="20" t="s">
        <v>313</v>
      </c>
      <c r="Q613" s="20" t="s">
        <v>1016</v>
      </c>
      <c r="R613" s="76"/>
      <c r="S613" s="0" t="n">
        <f aca="false">IF(Recherche!$B$4="",0,IF(ISNUMBER(SEARCH(Recherche!$B$4,D613))+ISNUMBER(SEARCH(Recherche!$B$4,K613))&gt;0,1,0))</f>
        <v>0</v>
      </c>
      <c r="T613" s="0" t="str">
        <f aca="false">IF(S613=1,SUM($S$2:S613),"")</f>
        <v/>
      </c>
    </row>
    <row r="614" customFormat="false" ht="23.85" hidden="false" customHeight="false" outlineLevel="0" collapsed="false">
      <c r="A614" s="24" t="s">
        <v>2398</v>
      </c>
      <c r="B614" s="24" t="s">
        <v>63</v>
      </c>
      <c r="C614" s="24" t="s">
        <v>2340</v>
      </c>
      <c r="D614" s="23" t="s">
        <v>589</v>
      </c>
      <c r="E614" s="26" t="s">
        <v>344</v>
      </c>
      <c r="F614" s="24" t="s">
        <v>80</v>
      </c>
      <c r="G614" s="24" t="s">
        <v>939</v>
      </c>
      <c r="H614" s="25" t="n">
        <v>46.76</v>
      </c>
      <c r="I614" s="25"/>
      <c r="J614" s="58"/>
      <c r="K614" s="23" t="s">
        <v>2400</v>
      </c>
      <c r="L614" s="24"/>
      <c r="M614" s="24" t="s">
        <v>2401</v>
      </c>
      <c r="N614" s="26" t="s">
        <v>91</v>
      </c>
      <c r="O614" s="24"/>
      <c r="P614" s="24" t="s">
        <v>303</v>
      </c>
      <c r="Q614" s="24" t="s">
        <v>963</v>
      </c>
      <c r="R614" s="73" t="s">
        <v>95</v>
      </c>
      <c r="S614" s="0" t="n">
        <f aca="false">IF(Recherche!$B$4="",0,IF(ISNUMBER(SEARCH(Recherche!$B$4,D614))+ISNUMBER(SEARCH(Recherche!$B$4,K614))&gt;0,1,0))</f>
        <v>0</v>
      </c>
      <c r="T614" s="0" t="str">
        <f aca="false">IF(S614=1,SUM($S$2:S614),"")</f>
        <v/>
      </c>
    </row>
    <row r="615" customFormat="false" ht="23.85" hidden="false" customHeight="false" outlineLevel="0" collapsed="false">
      <c r="A615" s="20" t="s">
        <v>2402</v>
      </c>
      <c r="B615" s="20" t="s">
        <v>63</v>
      </c>
      <c r="C615" s="20" t="s">
        <v>2403</v>
      </c>
      <c r="D615" s="19" t="s">
        <v>591</v>
      </c>
      <c r="E615" s="22" t="s">
        <v>91</v>
      </c>
      <c r="F615" s="20" t="s">
        <v>80</v>
      </c>
      <c r="G615" s="20" t="s">
        <v>939</v>
      </c>
      <c r="H615" s="21" t="n">
        <v>5.67</v>
      </c>
      <c r="I615" s="21"/>
      <c r="J615" s="52"/>
      <c r="K615" s="19" t="s">
        <v>592</v>
      </c>
      <c r="L615" s="20"/>
      <c r="M615" s="20" t="s">
        <v>2404</v>
      </c>
      <c r="N615" s="22" t="s">
        <v>91</v>
      </c>
      <c r="O615" s="20"/>
      <c r="P615" s="20" t="s">
        <v>303</v>
      </c>
      <c r="Q615" s="20" t="s">
        <v>942</v>
      </c>
      <c r="R615" s="76" t="s">
        <v>95</v>
      </c>
      <c r="S615" s="0" t="n">
        <f aca="false">IF(Recherche!$B$4="",0,IF(ISNUMBER(SEARCH(Recherche!$B$4,D615))+ISNUMBER(SEARCH(Recherche!$B$4,K615))&gt;0,1,0))</f>
        <v>0</v>
      </c>
      <c r="T615" s="0" t="str">
        <f aca="false">IF(S615=1,SUM($S$2:S615),"")</f>
        <v/>
      </c>
    </row>
    <row r="616" customFormat="false" ht="23.85" hidden="false" customHeight="false" outlineLevel="0" collapsed="false">
      <c r="A616" s="24" t="s">
        <v>2402</v>
      </c>
      <c r="B616" s="24" t="s">
        <v>63</v>
      </c>
      <c r="C616" s="24" t="s">
        <v>2403</v>
      </c>
      <c r="D616" s="23" t="s">
        <v>591</v>
      </c>
      <c r="E616" s="26" t="s">
        <v>91</v>
      </c>
      <c r="F616" s="74" t="s">
        <v>83</v>
      </c>
      <c r="G616" s="74" t="s">
        <v>943</v>
      </c>
      <c r="H616" s="75" t="n">
        <v>11.5</v>
      </c>
      <c r="I616" s="25"/>
      <c r="J616" s="58"/>
      <c r="K616" s="23" t="s">
        <v>2405</v>
      </c>
      <c r="L616" s="24"/>
      <c r="M616" s="24" t="s">
        <v>2406</v>
      </c>
      <c r="N616" s="26" t="s">
        <v>91</v>
      </c>
      <c r="O616" s="24"/>
      <c r="P616" s="24" t="s">
        <v>534</v>
      </c>
      <c r="Q616" s="24" t="s">
        <v>2164</v>
      </c>
      <c r="R616" s="73" t="s">
        <v>95</v>
      </c>
      <c r="S616" s="0" t="n">
        <f aca="false">IF(Recherche!$B$4="",0,IF(ISNUMBER(SEARCH(Recherche!$B$4,D616))+ISNUMBER(SEARCH(Recherche!$B$4,K616))&gt;0,1,0))</f>
        <v>0</v>
      </c>
      <c r="T616" s="0" t="str">
        <f aca="false">IF(S616=1,SUM($S$2:S616),"")</f>
        <v/>
      </c>
    </row>
    <row r="617" customFormat="false" ht="23.85" hidden="false" customHeight="false" outlineLevel="0" collapsed="false">
      <c r="A617" s="20" t="s">
        <v>2402</v>
      </c>
      <c r="B617" s="20" t="s">
        <v>63</v>
      </c>
      <c r="C617" s="20" t="s">
        <v>2403</v>
      </c>
      <c r="D617" s="19" t="s">
        <v>591</v>
      </c>
      <c r="E617" s="22" t="s">
        <v>91</v>
      </c>
      <c r="F617" s="74" t="s">
        <v>81</v>
      </c>
      <c r="G617" s="74" t="s">
        <v>979</v>
      </c>
      <c r="H617" s="75" t="n">
        <v>14.2</v>
      </c>
      <c r="I617" s="21" t="n">
        <v>14.9</v>
      </c>
      <c r="J617" s="52" t="n">
        <v>4.7</v>
      </c>
      <c r="K617" s="19" t="s">
        <v>2405</v>
      </c>
      <c r="L617" s="20" t="s">
        <v>2407</v>
      </c>
      <c r="M617" s="20" t="s">
        <v>2406</v>
      </c>
      <c r="N617" s="22" t="s">
        <v>91</v>
      </c>
      <c r="O617" s="20" t="s">
        <v>949</v>
      </c>
      <c r="P617" s="20" t="s">
        <v>119</v>
      </c>
      <c r="Q617" s="20" t="s">
        <v>1007</v>
      </c>
      <c r="R617" s="76" t="s">
        <v>95</v>
      </c>
      <c r="S617" s="0" t="n">
        <f aca="false">IF(Recherche!$B$4="",0,IF(ISNUMBER(SEARCH(Recherche!$B$4,D617))+ISNUMBER(SEARCH(Recherche!$B$4,K617))&gt;0,1,0))</f>
        <v>0</v>
      </c>
      <c r="T617" s="0" t="str">
        <f aca="false">IF(S617=1,SUM($S$2:S617),"")</f>
        <v/>
      </c>
    </row>
    <row r="618" customFormat="false" ht="23.85" hidden="false" customHeight="false" outlineLevel="0" collapsed="false">
      <c r="A618" s="24" t="s">
        <v>2408</v>
      </c>
      <c r="B618" s="24" t="s">
        <v>63</v>
      </c>
      <c r="C618" s="24" t="s">
        <v>2403</v>
      </c>
      <c r="D618" s="23" t="s">
        <v>593</v>
      </c>
      <c r="E618" s="26" t="s">
        <v>91</v>
      </c>
      <c r="F618" s="24" t="s">
        <v>80</v>
      </c>
      <c r="G618" s="24" t="s">
        <v>939</v>
      </c>
      <c r="H618" s="25" t="n">
        <v>2.59</v>
      </c>
      <c r="I618" s="25"/>
      <c r="J618" s="58"/>
      <c r="K618" s="23" t="s">
        <v>594</v>
      </c>
      <c r="L618" s="24"/>
      <c r="M618" s="24" t="s">
        <v>2409</v>
      </c>
      <c r="N618" s="26" t="s">
        <v>91</v>
      </c>
      <c r="O618" s="24"/>
      <c r="P618" s="24" t="s">
        <v>303</v>
      </c>
      <c r="Q618" s="24" t="s">
        <v>963</v>
      </c>
      <c r="R618" s="73" t="s">
        <v>95</v>
      </c>
      <c r="S618" s="0" t="n">
        <f aca="false">IF(Recherche!$B$4="",0,IF(ISNUMBER(SEARCH(Recherche!$B$4,D618))+ISNUMBER(SEARCH(Recherche!$B$4,K618))&gt;0,1,0))</f>
        <v>0</v>
      </c>
      <c r="T618" s="0" t="str">
        <f aca="false">IF(S618=1,SUM($S$2:S618),"")</f>
        <v/>
      </c>
    </row>
    <row r="619" customFormat="false" ht="15" hidden="false" customHeight="false" outlineLevel="0" collapsed="false">
      <c r="A619" s="20" t="s">
        <v>2410</v>
      </c>
      <c r="B619" s="20" t="s">
        <v>63</v>
      </c>
      <c r="C619" s="20" t="s">
        <v>2403</v>
      </c>
      <c r="D619" s="19" t="s">
        <v>595</v>
      </c>
      <c r="E619" s="22" t="s">
        <v>91</v>
      </c>
      <c r="F619" s="74" t="s">
        <v>81</v>
      </c>
      <c r="G619" s="74" t="s">
        <v>979</v>
      </c>
      <c r="H619" s="75" t="n">
        <v>13.6</v>
      </c>
      <c r="I619" s="21" t="n">
        <v>14.3</v>
      </c>
      <c r="J619" s="52" t="n">
        <v>4.9</v>
      </c>
      <c r="K619" s="19" t="s">
        <v>596</v>
      </c>
      <c r="L619" s="20" t="s">
        <v>2407</v>
      </c>
      <c r="M619" s="20" t="s">
        <v>2411</v>
      </c>
      <c r="N619" s="22" t="s">
        <v>91</v>
      </c>
      <c r="O619" s="20" t="s">
        <v>949</v>
      </c>
      <c r="P619" s="20" t="s">
        <v>119</v>
      </c>
      <c r="Q619" s="20" t="s">
        <v>1016</v>
      </c>
      <c r="R619" s="76" t="s">
        <v>95</v>
      </c>
      <c r="S619" s="0" t="n">
        <f aca="false">IF(Recherche!$B$4="",0,IF(ISNUMBER(SEARCH(Recherche!$B$4,D619))+ISNUMBER(SEARCH(Recherche!$B$4,K619))&gt;0,1,0))</f>
        <v>0</v>
      </c>
      <c r="T619" s="0" t="str">
        <f aca="false">IF(S619=1,SUM($S$2:S619),"")</f>
        <v/>
      </c>
    </row>
    <row r="620" customFormat="false" ht="15" hidden="false" customHeight="false" outlineLevel="0" collapsed="false">
      <c r="A620" s="24" t="s">
        <v>2410</v>
      </c>
      <c r="B620" s="24" t="s">
        <v>63</v>
      </c>
      <c r="C620" s="24" t="s">
        <v>2403</v>
      </c>
      <c r="D620" s="23" t="s">
        <v>595</v>
      </c>
      <c r="E620" s="26" t="s">
        <v>91</v>
      </c>
      <c r="F620" s="24" t="s">
        <v>80</v>
      </c>
      <c r="G620" s="24" t="s">
        <v>939</v>
      </c>
      <c r="H620" s="25" t="n">
        <v>109.14</v>
      </c>
      <c r="I620" s="25"/>
      <c r="J620" s="58"/>
      <c r="K620" s="23" t="s">
        <v>2412</v>
      </c>
      <c r="L620" s="24"/>
      <c r="M620" s="24" t="s">
        <v>2413</v>
      </c>
      <c r="N620" s="26" t="s">
        <v>91</v>
      </c>
      <c r="O620" s="24"/>
      <c r="P620" s="24" t="s">
        <v>303</v>
      </c>
      <c r="Q620" s="24" t="s">
        <v>963</v>
      </c>
      <c r="R620" s="73" t="s">
        <v>95</v>
      </c>
      <c r="S620" s="0" t="n">
        <f aca="false">IF(Recherche!$B$4="",0,IF(ISNUMBER(SEARCH(Recherche!$B$4,D620))+ISNUMBER(SEARCH(Recherche!$B$4,K620))&gt;0,1,0))</f>
        <v>0</v>
      </c>
      <c r="T620" s="0" t="str">
        <f aca="false">IF(S620=1,SUM($S$2:S620),"")</f>
        <v/>
      </c>
    </row>
    <row r="621" customFormat="false" ht="23.85" hidden="false" customHeight="false" outlineLevel="0" collapsed="false">
      <c r="A621" s="20" t="s">
        <v>2414</v>
      </c>
      <c r="B621" s="20" t="s">
        <v>63</v>
      </c>
      <c r="C621" s="20" t="s">
        <v>2403</v>
      </c>
      <c r="D621" s="19" t="s">
        <v>597</v>
      </c>
      <c r="E621" s="22" t="s">
        <v>91</v>
      </c>
      <c r="F621" s="20" t="s">
        <v>80</v>
      </c>
      <c r="G621" s="20" t="s">
        <v>939</v>
      </c>
      <c r="H621" s="21" t="n">
        <v>2.52</v>
      </c>
      <c r="I621" s="21"/>
      <c r="J621" s="52"/>
      <c r="K621" s="19" t="s">
        <v>598</v>
      </c>
      <c r="L621" s="20"/>
      <c r="M621" s="20" t="s">
        <v>2415</v>
      </c>
      <c r="N621" s="22" t="s">
        <v>91</v>
      </c>
      <c r="O621" s="20"/>
      <c r="P621" s="20" t="s">
        <v>303</v>
      </c>
      <c r="Q621" s="20" t="s">
        <v>942</v>
      </c>
      <c r="R621" s="76" t="s">
        <v>95</v>
      </c>
      <c r="S621" s="0" t="n">
        <f aca="false">IF(Recherche!$B$4="",0,IF(ISNUMBER(SEARCH(Recherche!$B$4,D621))+ISNUMBER(SEARCH(Recherche!$B$4,K621))&gt;0,1,0))</f>
        <v>0</v>
      </c>
      <c r="T621" s="0" t="str">
        <f aca="false">IF(S621=1,SUM($S$2:S621),"")</f>
        <v/>
      </c>
    </row>
    <row r="622" customFormat="false" ht="15" hidden="false" customHeight="false" outlineLevel="0" collapsed="false">
      <c r="A622" s="24" t="s">
        <v>2414</v>
      </c>
      <c r="B622" s="24" t="s">
        <v>63</v>
      </c>
      <c r="C622" s="24" t="s">
        <v>2403</v>
      </c>
      <c r="D622" s="23" t="s">
        <v>597</v>
      </c>
      <c r="E622" s="26" t="s">
        <v>91</v>
      </c>
      <c r="F622" s="74" t="s">
        <v>81</v>
      </c>
      <c r="G622" s="74" t="s">
        <v>979</v>
      </c>
      <c r="H622" s="75" t="n">
        <v>4.1</v>
      </c>
      <c r="I622" s="25" t="n">
        <v>4.3</v>
      </c>
      <c r="J622" s="58" t="n">
        <v>4.7</v>
      </c>
      <c r="K622" s="23" t="s">
        <v>2416</v>
      </c>
      <c r="L622" s="24" t="s">
        <v>2407</v>
      </c>
      <c r="M622" s="24" t="s">
        <v>2417</v>
      </c>
      <c r="N622" s="26" t="s">
        <v>91</v>
      </c>
      <c r="O622" s="24" t="s">
        <v>949</v>
      </c>
      <c r="P622" s="24" t="s">
        <v>119</v>
      </c>
      <c r="Q622" s="24" t="s">
        <v>1016</v>
      </c>
      <c r="R622" s="73" t="s">
        <v>95</v>
      </c>
      <c r="S622" s="0" t="n">
        <f aca="false">IF(Recherche!$B$4="",0,IF(ISNUMBER(SEARCH(Recherche!$B$4,D622))+ISNUMBER(SEARCH(Recherche!$B$4,K622))&gt;0,1,0))</f>
        <v>0</v>
      </c>
      <c r="T622" s="0" t="str">
        <f aca="false">IF(S622=1,SUM($S$2:S622),"")</f>
        <v/>
      </c>
    </row>
    <row r="623" customFormat="false" ht="15" hidden="false" customHeight="false" outlineLevel="0" collapsed="false">
      <c r="A623" s="20" t="s">
        <v>2414</v>
      </c>
      <c r="B623" s="20" t="s">
        <v>63</v>
      </c>
      <c r="C623" s="20" t="s">
        <v>2403</v>
      </c>
      <c r="D623" s="19" t="s">
        <v>597</v>
      </c>
      <c r="E623" s="22" t="s">
        <v>91</v>
      </c>
      <c r="F623" s="20" t="s">
        <v>76</v>
      </c>
      <c r="G623" s="20" t="s">
        <v>939</v>
      </c>
      <c r="H623" s="21" t="n">
        <v>5.72</v>
      </c>
      <c r="I623" s="21"/>
      <c r="J623" s="52"/>
      <c r="K623" s="19" t="s">
        <v>2418</v>
      </c>
      <c r="L623" s="20" t="s">
        <v>2419</v>
      </c>
      <c r="M623" s="20" t="s">
        <v>2420</v>
      </c>
      <c r="N623" s="22" t="s">
        <v>91</v>
      </c>
      <c r="O623" s="20"/>
      <c r="P623" s="20" t="s">
        <v>93</v>
      </c>
      <c r="Q623" s="20" t="s">
        <v>942</v>
      </c>
      <c r="R623" s="76" t="s">
        <v>95</v>
      </c>
      <c r="S623" s="0" t="n">
        <f aca="false">IF(Recherche!$B$4="",0,IF(ISNUMBER(SEARCH(Recherche!$B$4,D623))+ISNUMBER(SEARCH(Recherche!$B$4,K623))&gt;0,1,0))</f>
        <v>0</v>
      </c>
      <c r="T623" s="0" t="str">
        <f aca="false">IF(S623=1,SUM($S$2:S623),"")</f>
        <v/>
      </c>
    </row>
    <row r="624" customFormat="false" ht="23.85" hidden="false" customHeight="false" outlineLevel="0" collapsed="false">
      <c r="A624" s="24" t="s">
        <v>2421</v>
      </c>
      <c r="B624" s="24" t="s">
        <v>63</v>
      </c>
      <c r="C624" s="24" t="s">
        <v>2403</v>
      </c>
      <c r="D624" s="23" t="s">
        <v>599</v>
      </c>
      <c r="E624" s="26" t="s">
        <v>91</v>
      </c>
      <c r="F624" s="24" t="s">
        <v>80</v>
      </c>
      <c r="G624" s="24" t="s">
        <v>939</v>
      </c>
      <c r="H624" s="25" t="n">
        <v>2.05</v>
      </c>
      <c r="I624" s="25"/>
      <c r="J624" s="58"/>
      <c r="K624" s="23" t="s">
        <v>600</v>
      </c>
      <c r="L624" s="24"/>
      <c r="M624" s="24" t="s">
        <v>2422</v>
      </c>
      <c r="N624" s="26" t="s">
        <v>91</v>
      </c>
      <c r="O624" s="24"/>
      <c r="P624" s="24" t="s">
        <v>303</v>
      </c>
      <c r="Q624" s="24" t="s">
        <v>942</v>
      </c>
      <c r="R624" s="73" t="s">
        <v>95</v>
      </c>
      <c r="S624" s="0" t="n">
        <f aca="false">IF(Recherche!$B$4="",0,IF(ISNUMBER(SEARCH(Recherche!$B$4,D624))+ISNUMBER(SEARCH(Recherche!$B$4,K624))&gt;0,1,0))</f>
        <v>0</v>
      </c>
      <c r="T624" s="0" t="str">
        <f aca="false">IF(S624=1,SUM($S$2:S624),"")</f>
        <v/>
      </c>
    </row>
    <row r="625" customFormat="false" ht="15" hidden="false" customHeight="false" outlineLevel="0" collapsed="false">
      <c r="A625" s="20" t="s">
        <v>2421</v>
      </c>
      <c r="B625" s="20" t="s">
        <v>63</v>
      </c>
      <c r="C625" s="20" t="s">
        <v>2403</v>
      </c>
      <c r="D625" s="19" t="s">
        <v>599</v>
      </c>
      <c r="E625" s="22" t="s">
        <v>91</v>
      </c>
      <c r="F625" s="20" t="s">
        <v>76</v>
      </c>
      <c r="G625" s="20" t="s">
        <v>939</v>
      </c>
      <c r="H625" s="21" t="n">
        <v>2.24</v>
      </c>
      <c r="I625" s="21"/>
      <c r="J625" s="52"/>
      <c r="K625" s="19" t="s">
        <v>2423</v>
      </c>
      <c r="L625" s="20" t="s">
        <v>2424</v>
      </c>
      <c r="M625" s="20" t="s">
        <v>2425</v>
      </c>
      <c r="N625" s="22" t="s">
        <v>91</v>
      </c>
      <c r="O625" s="20"/>
      <c r="P625" s="20" t="s">
        <v>93</v>
      </c>
      <c r="Q625" s="20" t="s">
        <v>963</v>
      </c>
      <c r="R625" s="76" t="s">
        <v>95</v>
      </c>
      <c r="S625" s="0" t="n">
        <f aca="false">IF(Recherche!$B$4="",0,IF(ISNUMBER(SEARCH(Recherche!$B$4,D625))+ISNUMBER(SEARCH(Recherche!$B$4,K625))&gt;0,1,0))</f>
        <v>0</v>
      </c>
      <c r="T625" s="0" t="str">
        <f aca="false">IF(S625=1,SUM($S$2:S625),"")</f>
        <v/>
      </c>
    </row>
    <row r="626" customFormat="false" ht="23.85" hidden="false" customHeight="false" outlineLevel="0" collapsed="false">
      <c r="A626" s="24" t="s">
        <v>2421</v>
      </c>
      <c r="B626" s="24" t="s">
        <v>63</v>
      </c>
      <c r="C626" s="24" t="s">
        <v>2403</v>
      </c>
      <c r="D626" s="23" t="s">
        <v>599</v>
      </c>
      <c r="E626" s="26" t="s">
        <v>91</v>
      </c>
      <c r="F626" s="74" t="s">
        <v>81</v>
      </c>
      <c r="G626" s="74" t="s">
        <v>979</v>
      </c>
      <c r="H626" s="75" t="n">
        <v>2.9</v>
      </c>
      <c r="I626" s="25" t="n">
        <v>3</v>
      </c>
      <c r="J626" s="58" t="n">
        <v>3.3</v>
      </c>
      <c r="K626" s="23" t="s">
        <v>2426</v>
      </c>
      <c r="L626" s="24" t="s">
        <v>2407</v>
      </c>
      <c r="M626" s="24" t="s">
        <v>2427</v>
      </c>
      <c r="N626" s="26" t="s">
        <v>91</v>
      </c>
      <c r="O626" s="24" t="s">
        <v>949</v>
      </c>
      <c r="P626" s="24" t="s">
        <v>119</v>
      </c>
      <c r="Q626" s="24" t="s">
        <v>1016</v>
      </c>
      <c r="R626" s="73" t="s">
        <v>95</v>
      </c>
      <c r="S626" s="0" t="n">
        <f aca="false">IF(Recherche!$B$4="",0,IF(ISNUMBER(SEARCH(Recherche!$B$4,D626))+ISNUMBER(SEARCH(Recherche!$B$4,K626))&gt;0,1,0))</f>
        <v>0</v>
      </c>
      <c r="T626" s="0" t="str">
        <f aca="false">IF(S626=1,SUM($S$2:S626),"")</f>
        <v/>
      </c>
    </row>
    <row r="627" customFormat="false" ht="23.85" hidden="false" customHeight="false" outlineLevel="0" collapsed="false">
      <c r="A627" s="20" t="s">
        <v>2428</v>
      </c>
      <c r="B627" s="20" t="s">
        <v>63</v>
      </c>
      <c r="C627" s="20" t="s">
        <v>2403</v>
      </c>
      <c r="D627" s="19" t="s">
        <v>601</v>
      </c>
      <c r="E627" s="22" t="s">
        <v>91</v>
      </c>
      <c r="F627" s="20" t="s">
        <v>80</v>
      </c>
      <c r="G627" s="20" t="s">
        <v>939</v>
      </c>
      <c r="H627" s="21" t="n">
        <v>6.02</v>
      </c>
      <c r="I627" s="21"/>
      <c r="J627" s="52"/>
      <c r="K627" s="19" t="s">
        <v>602</v>
      </c>
      <c r="L627" s="20"/>
      <c r="M627" s="20" t="s">
        <v>2429</v>
      </c>
      <c r="N627" s="22" t="s">
        <v>91</v>
      </c>
      <c r="O627" s="20"/>
      <c r="P627" s="20" t="s">
        <v>303</v>
      </c>
      <c r="Q627" s="20" t="s">
        <v>942</v>
      </c>
      <c r="R627" s="76" t="s">
        <v>95</v>
      </c>
      <c r="S627" s="0" t="n">
        <f aca="false">IF(Recherche!$B$4="",0,IF(ISNUMBER(SEARCH(Recherche!$B$4,D627))+ISNUMBER(SEARCH(Recherche!$B$4,K627))&gt;0,1,0))</f>
        <v>0</v>
      </c>
      <c r="T627" s="0" t="str">
        <f aca="false">IF(S627=1,SUM($S$2:S627),"")</f>
        <v/>
      </c>
    </row>
    <row r="628" customFormat="false" ht="15" hidden="false" customHeight="false" outlineLevel="0" collapsed="false">
      <c r="A628" s="24" t="s">
        <v>2428</v>
      </c>
      <c r="B628" s="24" t="s">
        <v>63</v>
      </c>
      <c r="C628" s="24" t="s">
        <v>2403</v>
      </c>
      <c r="D628" s="23" t="s">
        <v>601</v>
      </c>
      <c r="E628" s="26" t="s">
        <v>91</v>
      </c>
      <c r="F628" s="74" t="s">
        <v>79</v>
      </c>
      <c r="G628" s="74" t="s">
        <v>943</v>
      </c>
      <c r="H628" s="75" t="n">
        <v>15.3</v>
      </c>
      <c r="I628" s="25"/>
      <c r="J628" s="58"/>
      <c r="K628" s="23" t="s">
        <v>2430</v>
      </c>
      <c r="L628" s="24"/>
      <c r="M628" s="24" t="s">
        <v>2431</v>
      </c>
      <c r="N628" s="26" t="s">
        <v>91</v>
      </c>
      <c r="O628" s="24"/>
      <c r="P628" s="24" t="s">
        <v>313</v>
      </c>
      <c r="Q628" s="24" t="s">
        <v>1387</v>
      </c>
      <c r="R628" s="73" t="s">
        <v>95</v>
      </c>
      <c r="S628" s="0" t="n">
        <f aca="false">IF(Recherche!$B$4="",0,IF(ISNUMBER(SEARCH(Recherche!$B$4,D628))+ISNUMBER(SEARCH(Recherche!$B$4,K628))&gt;0,1,0))</f>
        <v>0</v>
      </c>
      <c r="T628" s="0" t="str">
        <f aca="false">IF(S628=1,SUM($S$2:S628),"")</f>
        <v/>
      </c>
    </row>
    <row r="629" customFormat="false" ht="15" hidden="false" customHeight="false" outlineLevel="0" collapsed="false">
      <c r="A629" s="20" t="s">
        <v>2428</v>
      </c>
      <c r="B629" s="20" t="s">
        <v>63</v>
      </c>
      <c r="C629" s="20" t="s">
        <v>2403</v>
      </c>
      <c r="D629" s="19" t="s">
        <v>601</v>
      </c>
      <c r="E629" s="22" t="s">
        <v>91</v>
      </c>
      <c r="F629" s="20" t="s">
        <v>76</v>
      </c>
      <c r="G629" s="20" t="s">
        <v>939</v>
      </c>
      <c r="H629" s="21" t="n">
        <v>27.24</v>
      </c>
      <c r="I629" s="21"/>
      <c r="J629" s="52"/>
      <c r="K629" s="19" t="s">
        <v>2432</v>
      </c>
      <c r="L629" s="20" t="s">
        <v>2424</v>
      </c>
      <c r="M629" s="20" t="s">
        <v>2433</v>
      </c>
      <c r="N629" s="22" t="s">
        <v>91</v>
      </c>
      <c r="O629" s="20"/>
      <c r="P629" s="20" t="s">
        <v>93</v>
      </c>
      <c r="Q629" s="20" t="s">
        <v>942</v>
      </c>
      <c r="R629" s="76" t="s">
        <v>95</v>
      </c>
      <c r="S629" s="0" t="n">
        <f aca="false">IF(Recherche!$B$4="",0,IF(ISNUMBER(SEARCH(Recherche!$B$4,D629))+ISNUMBER(SEARCH(Recherche!$B$4,K629))&gt;0,1,0))</f>
        <v>0</v>
      </c>
      <c r="T629" s="0" t="str">
        <f aca="false">IF(S629=1,SUM($S$2:S629),"")</f>
        <v/>
      </c>
    </row>
    <row r="630" customFormat="false" ht="15" hidden="false" customHeight="false" outlineLevel="0" collapsed="false">
      <c r="A630" s="24" t="s">
        <v>2428</v>
      </c>
      <c r="B630" s="24" t="s">
        <v>63</v>
      </c>
      <c r="C630" s="24" t="s">
        <v>2403</v>
      </c>
      <c r="D630" s="23" t="s">
        <v>601</v>
      </c>
      <c r="E630" s="26" t="s">
        <v>91</v>
      </c>
      <c r="F630" s="74" t="s">
        <v>81</v>
      </c>
      <c r="G630" s="74" t="s">
        <v>979</v>
      </c>
      <c r="H630" s="75" t="n">
        <v>29.1</v>
      </c>
      <c r="I630" s="25" t="n">
        <v>30.6</v>
      </c>
      <c r="J630" s="58" t="n">
        <v>4.9</v>
      </c>
      <c r="K630" s="23" t="s">
        <v>2434</v>
      </c>
      <c r="L630" s="24" t="s">
        <v>2407</v>
      </c>
      <c r="M630" s="24" t="s">
        <v>2435</v>
      </c>
      <c r="N630" s="26" t="s">
        <v>91</v>
      </c>
      <c r="O630" s="24" t="s">
        <v>949</v>
      </c>
      <c r="P630" s="24" t="s">
        <v>119</v>
      </c>
      <c r="Q630" s="24" t="s">
        <v>1007</v>
      </c>
      <c r="R630" s="73" t="s">
        <v>95</v>
      </c>
      <c r="S630" s="0" t="n">
        <f aca="false">IF(Recherche!$B$4="",0,IF(ISNUMBER(SEARCH(Recherche!$B$4,D630))+ISNUMBER(SEARCH(Recherche!$B$4,K630))&gt;0,1,0))</f>
        <v>0</v>
      </c>
      <c r="T630" s="0" t="str">
        <f aca="false">IF(S630=1,SUM($S$2:S630),"")</f>
        <v/>
      </c>
    </row>
    <row r="631" customFormat="false" ht="15" hidden="false" customHeight="false" outlineLevel="0" collapsed="false">
      <c r="A631" s="20" t="s">
        <v>2436</v>
      </c>
      <c r="B631" s="20" t="s">
        <v>63</v>
      </c>
      <c r="C631" s="20" t="s">
        <v>2437</v>
      </c>
      <c r="D631" s="19" t="s">
        <v>603</v>
      </c>
      <c r="E631" s="22" t="s">
        <v>374</v>
      </c>
      <c r="F631" s="20" t="s">
        <v>76</v>
      </c>
      <c r="G631" s="20" t="s">
        <v>939</v>
      </c>
      <c r="H631" s="21" t="n">
        <v>2.23</v>
      </c>
      <c r="I631" s="21"/>
      <c r="J631" s="52"/>
      <c r="K631" s="19" t="s">
        <v>604</v>
      </c>
      <c r="L631" s="20" t="s">
        <v>2438</v>
      </c>
      <c r="M631" s="20" t="s">
        <v>2439</v>
      </c>
      <c r="N631" s="22" t="s">
        <v>374</v>
      </c>
      <c r="O631" s="20"/>
      <c r="P631" s="20" t="s">
        <v>93</v>
      </c>
      <c r="Q631" s="20" t="s">
        <v>942</v>
      </c>
      <c r="R631" s="76" t="s">
        <v>95</v>
      </c>
      <c r="S631" s="0" t="n">
        <f aca="false">IF(Recherche!$B$4="",0,IF(ISNUMBER(SEARCH(Recherche!$B$4,D631))+ISNUMBER(SEARCH(Recherche!$B$4,K631))&gt;0,1,0))</f>
        <v>0</v>
      </c>
      <c r="T631" s="0" t="str">
        <f aca="false">IF(S631=1,SUM($S$2:S631),"")</f>
        <v/>
      </c>
    </row>
    <row r="632" customFormat="false" ht="15" hidden="false" customHeight="false" outlineLevel="0" collapsed="false">
      <c r="A632" s="24" t="s">
        <v>2436</v>
      </c>
      <c r="B632" s="24" t="s">
        <v>63</v>
      </c>
      <c r="C632" s="24" t="s">
        <v>2437</v>
      </c>
      <c r="D632" s="23" t="s">
        <v>603</v>
      </c>
      <c r="E632" s="26" t="s">
        <v>374</v>
      </c>
      <c r="F632" s="74" t="s">
        <v>81</v>
      </c>
      <c r="G632" s="74" t="s">
        <v>979</v>
      </c>
      <c r="H632" s="75" t="n">
        <v>3.34</v>
      </c>
      <c r="I632" s="25" t="n">
        <v>3.52</v>
      </c>
      <c r="J632" s="58" t="n">
        <v>5.1</v>
      </c>
      <c r="K632" s="23" t="s">
        <v>2440</v>
      </c>
      <c r="L632" s="24" t="s">
        <v>1274</v>
      </c>
      <c r="M632" s="24" t="s">
        <v>2441</v>
      </c>
      <c r="N632" s="26" t="s">
        <v>91</v>
      </c>
      <c r="O632" s="24" t="s">
        <v>949</v>
      </c>
      <c r="P632" s="24" t="s">
        <v>119</v>
      </c>
      <c r="Q632" s="24" t="s">
        <v>1007</v>
      </c>
      <c r="R632" s="73" t="s">
        <v>95</v>
      </c>
      <c r="S632" s="0" t="n">
        <f aca="false">IF(Recherche!$B$4="",0,IF(ISNUMBER(SEARCH(Recherche!$B$4,D632))+ISNUMBER(SEARCH(Recherche!$B$4,K632))&gt;0,1,0))</f>
        <v>0</v>
      </c>
      <c r="T632" s="0" t="str">
        <f aca="false">IF(S632=1,SUM($S$2:S632),"")</f>
        <v/>
      </c>
    </row>
    <row r="633" customFormat="false" ht="15" hidden="false" customHeight="false" outlineLevel="0" collapsed="false">
      <c r="A633" s="20" t="s">
        <v>2436</v>
      </c>
      <c r="B633" s="20" t="s">
        <v>63</v>
      </c>
      <c r="C633" s="20" t="s">
        <v>2437</v>
      </c>
      <c r="D633" s="19" t="s">
        <v>603</v>
      </c>
      <c r="E633" s="22" t="s">
        <v>374</v>
      </c>
      <c r="F633" s="20" t="s">
        <v>80</v>
      </c>
      <c r="G633" s="20" t="s">
        <v>939</v>
      </c>
      <c r="H633" s="21" t="n">
        <v>3.94</v>
      </c>
      <c r="I633" s="21"/>
      <c r="J633" s="52"/>
      <c r="K633" s="19" t="s">
        <v>2442</v>
      </c>
      <c r="L633" s="20"/>
      <c r="M633" s="20" t="s">
        <v>2443</v>
      </c>
      <c r="N633" s="22" t="s">
        <v>91</v>
      </c>
      <c r="O633" s="20"/>
      <c r="P633" s="20" t="s">
        <v>303</v>
      </c>
      <c r="Q633" s="20" t="s">
        <v>942</v>
      </c>
      <c r="R633" s="76" t="s">
        <v>95</v>
      </c>
      <c r="S633" s="0" t="n">
        <f aca="false">IF(Recherche!$B$4="",0,IF(ISNUMBER(SEARCH(Recherche!$B$4,D633))+ISNUMBER(SEARCH(Recherche!$B$4,K633))&gt;0,1,0))</f>
        <v>0</v>
      </c>
      <c r="T633" s="0" t="str">
        <f aca="false">IF(S633=1,SUM($S$2:S633),"")</f>
        <v/>
      </c>
    </row>
    <row r="634" customFormat="false" ht="23.85" hidden="false" customHeight="false" outlineLevel="0" collapsed="false">
      <c r="A634" s="24" t="s">
        <v>2436</v>
      </c>
      <c r="B634" s="24" t="s">
        <v>63</v>
      </c>
      <c r="C634" s="24" t="s">
        <v>2437</v>
      </c>
      <c r="D634" s="23" t="s">
        <v>603</v>
      </c>
      <c r="E634" s="26" t="s">
        <v>374</v>
      </c>
      <c r="F634" s="74" t="s">
        <v>79</v>
      </c>
      <c r="G634" s="74" t="s">
        <v>943</v>
      </c>
      <c r="H634" s="75" t="n">
        <v>7.45</v>
      </c>
      <c r="I634" s="25"/>
      <c r="J634" s="58"/>
      <c r="K634" s="23" t="s">
        <v>2444</v>
      </c>
      <c r="L634" s="24"/>
      <c r="M634" s="24" t="s">
        <v>2445</v>
      </c>
      <c r="N634" s="26" t="s">
        <v>91</v>
      </c>
      <c r="O634" s="24"/>
      <c r="P634" s="24" t="s">
        <v>313</v>
      </c>
      <c r="Q634" s="24" t="s">
        <v>1387</v>
      </c>
      <c r="R634" s="73" t="s">
        <v>95</v>
      </c>
      <c r="S634" s="0" t="n">
        <f aca="false">IF(Recherche!$B$4="",0,IF(ISNUMBER(SEARCH(Recherche!$B$4,D634))+ISNUMBER(SEARCH(Recherche!$B$4,K634))&gt;0,1,0))</f>
        <v>0</v>
      </c>
      <c r="T634" s="0" t="str">
        <f aca="false">IF(S634=1,SUM($S$2:S634),"")</f>
        <v/>
      </c>
    </row>
    <row r="635" customFormat="false" ht="15" hidden="false" customHeight="false" outlineLevel="0" collapsed="false">
      <c r="A635" s="20" t="s">
        <v>2446</v>
      </c>
      <c r="B635" s="20" t="s">
        <v>63</v>
      </c>
      <c r="C635" s="20" t="s">
        <v>2437</v>
      </c>
      <c r="D635" s="19" t="s">
        <v>605</v>
      </c>
      <c r="E635" s="22" t="s">
        <v>374</v>
      </c>
      <c r="F635" s="20" t="s">
        <v>80</v>
      </c>
      <c r="G635" s="20" t="s">
        <v>939</v>
      </c>
      <c r="H635" s="21" t="n">
        <v>10.26</v>
      </c>
      <c r="I635" s="21"/>
      <c r="J635" s="52"/>
      <c r="K635" s="19" t="s">
        <v>2447</v>
      </c>
      <c r="L635" s="20"/>
      <c r="M635" s="20" t="s">
        <v>2448</v>
      </c>
      <c r="N635" s="22" t="s">
        <v>91</v>
      </c>
      <c r="O635" s="20"/>
      <c r="P635" s="20" t="s">
        <v>303</v>
      </c>
      <c r="Q635" s="20" t="s">
        <v>963</v>
      </c>
      <c r="R635" s="76" t="s">
        <v>95</v>
      </c>
      <c r="S635" s="0" t="n">
        <f aca="false">IF(Recherche!$B$4="",0,IF(ISNUMBER(SEARCH(Recherche!$B$4,D635))+ISNUMBER(SEARCH(Recherche!$B$4,K635))&gt;0,1,0))</f>
        <v>0</v>
      </c>
      <c r="T635" s="0" t="str">
        <f aca="false">IF(S635=1,SUM($S$2:S635),"")</f>
        <v/>
      </c>
    </row>
    <row r="636" customFormat="false" ht="15" hidden="false" customHeight="false" outlineLevel="0" collapsed="false">
      <c r="A636" s="24" t="s">
        <v>2446</v>
      </c>
      <c r="B636" s="24" t="s">
        <v>63</v>
      </c>
      <c r="C636" s="24" t="s">
        <v>2437</v>
      </c>
      <c r="D636" s="23" t="s">
        <v>605</v>
      </c>
      <c r="E636" s="26" t="s">
        <v>374</v>
      </c>
      <c r="F636" s="74" t="s">
        <v>81</v>
      </c>
      <c r="G636" s="74" t="s">
        <v>979</v>
      </c>
      <c r="H636" s="75" t="n">
        <v>13.34</v>
      </c>
      <c r="I636" s="25" t="n">
        <v>14.83</v>
      </c>
      <c r="J636" s="58" t="n">
        <v>10</v>
      </c>
      <c r="K636" s="23" t="s">
        <v>606</v>
      </c>
      <c r="L636" s="24" t="s">
        <v>2271</v>
      </c>
      <c r="M636" s="24" t="s">
        <v>2449</v>
      </c>
      <c r="N636" s="26" t="s">
        <v>1056</v>
      </c>
      <c r="O636" s="24" t="s">
        <v>1056</v>
      </c>
      <c r="P636" s="24" t="s">
        <v>169</v>
      </c>
      <c r="Q636" s="24" t="s">
        <v>1016</v>
      </c>
      <c r="R636" s="73" t="s">
        <v>95</v>
      </c>
      <c r="S636" s="0" t="n">
        <f aca="false">IF(Recherche!$B$4="",0,IF(ISNUMBER(SEARCH(Recherche!$B$4,D636))+ISNUMBER(SEARCH(Recherche!$B$4,K636))&gt;0,1,0))</f>
        <v>0</v>
      </c>
      <c r="T636" s="0" t="str">
        <f aca="false">IF(S636=1,SUM($S$2:S636),"")</f>
        <v/>
      </c>
    </row>
    <row r="637" customFormat="false" ht="15" hidden="false" customHeight="false" outlineLevel="0" collapsed="false">
      <c r="A637" s="20" t="s">
        <v>2446</v>
      </c>
      <c r="B637" s="20" t="s">
        <v>63</v>
      </c>
      <c r="C637" s="20" t="s">
        <v>2437</v>
      </c>
      <c r="D637" s="19" t="s">
        <v>605</v>
      </c>
      <c r="E637" s="22" t="s">
        <v>374</v>
      </c>
      <c r="F637" s="20" t="s">
        <v>76</v>
      </c>
      <c r="G637" s="20" t="s">
        <v>939</v>
      </c>
      <c r="H637" s="21" t="n">
        <v>18.22</v>
      </c>
      <c r="I637" s="21"/>
      <c r="J637" s="52"/>
      <c r="K637" s="19" t="s">
        <v>2450</v>
      </c>
      <c r="L637" s="20" t="s">
        <v>1293</v>
      </c>
      <c r="M637" s="20" t="s">
        <v>2451</v>
      </c>
      <c r="N637" s="22" t="s">
        <v>374</v>
      </c>
      <c r="O637" s="20"/>
      <c r="P637" s="20" t="s">
        <v>93</v>
      </c>
      <c r="Q637" s="20" t="s">
        <v>963</v>
      </c>
      <c r="R637" s="76" t="s">
        <v>95</v>
      </c>
      <c r="S637" s="0" t="n">
        <f aca="false">IF(Recherche!$B$4="",0,IF(ISNUMBER(SEARCH(Recherche!$B$4,D637))+ISNUMBER(SEARCH(Recherche!$B$4,K637))&gt;0,1,0))</f>
        <v>0</v>
      </c>
      <c r="T637" s="0" t="str">
        <f aca="false">IF(S637=1,SUM($S$2:S637),"")</f>
        <v/>
      </c>
    </row>
    <row r="638" customFormat="false" ht="23.85" hidden="false" customHeight="false" outlineLevel="0" collapsed="false">
      <c r="A638" s="24" t="s">
        <v>2446</v>
      </c>
      <c r="B638" s="24" t="s">
        <v>63</v>
      </c>
      <c r="C638" s="24" t="s">
        <v>2437</v>
      </c>
      <c r="D638" s="23" t="s">
        <v>605</v>
      </c>
      <c r="E638" s="26" t="s">
        <v>374</v>
      </c>
      <c r="F638" s="74" t="s">
        <v>79</v>
      </c>
      <c r="G638" s="74" t="s">
        <v>943</v>
      </c>
      <c r="H638" s="75" t="n">
        <v>48.56</v>
      </c>
      <c r="I638" s="25"/>
      <c r="J638" s="58"/>
      <c r="K638" s="23" t="s">
        <v>2452</v>
      </c>
      <c r="L638" s="24"/>
      <c r="M638" s="24" t="s">
        <v>2453</v>
      </c>
      <c r="N638" s="26" t="s">
        <v>2285</v>
      </c>
      <c r="O638" s="24"/>
      <c r="P638" s="24" t="s">
        <v>313</v>
      </c>
      <c r="Q638" s="24" t="s">
        <v>1016</v>
      </c>
      <c r="R638" s="73" t="s">
        <v>95</v>
      </c>
      <c r="S638" s="0" t="n">
        <f aca="false">IF(Recherche!$B$4="",0,IF(ISNUMBER(SEARCH(Recherche!$B$4,D638))+ISNUMBER(SEARCH(Recherche!$B$4,K638))&gt;0,1,0))</f>
        <v>0</v>
      </c>
      <c r="T638" s="0" t="str">
        <f aca="false">IF(S638=1,SUM($S$2:S638),"")</f>
        <v/>
      </c>
    </row>
    <row r="639" customFormat="false" ht="23.85" hidden="false" customHeight="false" outlineLevel="0" collapsed="false">
      <c r="A639" s="20" t="s">
        <v>2454</v>
      </c>
      <c r="B639" s="20" t="s">
        <v>63</v>
      </c>
      <c r="C639" s="20" t="s">
        <v>2437</v>
      </c>
      <c r="D639" s="19" t="s">
        <v>607</v>
      </c>
      <c r="E639" s="22" t="s">
        <v>91</v>
      </c>
      <c r="F639" s="20" t="s">
        <v>76</v>
      </c>
      <c r="G639" s="20" t="s">
        <v>939</v>
      </c>
      <c r="H639" s="21" t="n">
        <v>12.2</v>
      </c>
      <c r="I639" s="21"/>
      <c r="J639" s="52"/>
      <c r="K639" s="19" t="s">
        <v>608</v>
      </c>
      <c r="L639" s="20" t="s">
        <v>2455</v>
      </c>
      <c r="M639" s="20" t="s">
        <v>2456</v>
      </c>
      <c r="N639" s="22" t="s">
        <v>91</v>
      </c>
      <c r="O639" s="20"/>
      <c r="P639" s="20" t="s">
        <v>93</v>
      </c>
      <c r="Q639" s="20" t="s">
        <v>942</v>
      </c>
      <c r="R639" s="76" t="s">
        <v>95</v>
      </c>
      <c r="S639" s="0" t="n">
        <f aca="false">IF(Recherche!$B$4="",0,IF(ISNUMBER(SEARCH(Recherche!$B$4,D639))+ISNUMBER(SEARCH(Recherche!$B$4,K639))&gt;0,1,0))</f>
        <v>0</v>
      </c>
      <c r="T639" s="0" t="str">
        <f aca="false">IF(S639=1,SUM($S$2:S639),"")</f>
        <v/>
      </c>
    </row>
    <row r="640" customFormat="false" ht="23.85" hidden="false" customHeight="false" outlineLevel="0" collapsed="false">
      <c r="A640" s="24" t="s">
        <v>2454</v>
      </c>
      <c r="B640" s="24" t="s">
        <v>63</v>
      </c>
      <c r="C640" s="24" t="s">
        <v>2437</v>
      </c>
      <c r="D640" s="23" t="s">
        <v>607</v>
      </c>
      <c r="E640" s="26" t="s">
        <v>91</v>
      </c>
      <c r="F640" s="24" t="s">
        <v>80</v>
      </c>
      <c r="G640" s="24" t="s">
        <v>939</v>
      </c>
      <c r="H640" s="25" t="n">
        <v>17.52</v>
      </c>
      <c r="I640" s="25"/>
      <c r="J640" s="58"/>
      <c r="K640" s="23" t="s">
        <v>2457</v>
      </c>
      <c r="L640" s="24"/>
      <c r="M640" s="24" t="s">
        <v>2458</v>
      </c>
      <c r="N640" s="26" t="s">
        <v>91</v>
      </c>
      <c r="O640" s="24"/>
      <c r="P640" s="24" t="s">
        <v>303</v>
      </c>
      <c r="Q640" s="24" t="s">
        <v>942</v>
      </c>
      <c r="R640" s="73" t="s">
        <v>95</v>
      </c>
      <c r="S640" s="0" t="n">
        <f aca="false">IF(Recherche!$B$4="",0,IF(ISNUMBER(SEARCH(Recherche!$B$4,D640))+ISNUMBER(SEARCH(Recherche!$B$4,K640))&gt;0,1,0))</f>
        <v>0</v>
      </c>
      <c r="T640" s="0" t="str">
        <f aca="false">IF(S640=1,SUM($S$2:S640),"")</f>
        <v/>
      </c>
    </row>
    <row r="641" customFormat="false" ht="35.05" hidden="false" customHeight="false" outlineLevel="0" collapsed="false">
      <c r="A641" s="20" t="s">
        <v>2454</v>
      </c>
      <c r="B641" s="20" t="s">
        <v>63</v>
      </c>
      <c r="C641" s="20" t="s">
        <v>2437</v>
      </c>
      <c r="D641" s="19" t="s">
        <v>607</v>
      </c>
      <c r="E641" s="22" t="s">
        <v>91</v>
      </c>
      <c r="F641" s="74" t="s">
        <v>81</v>
      </c>
      <c r="G641" s="74" t="s">
        <v>979</v>
      </c>
      <c r="H641" s="75" t="n">
        <v>24.34</v>
      </c>
      <c r="I641" s="21" t="n">
        <v>25.6</v>
      </c>
      <c r="J641" s="52" t="n">
        <v>4.9</v>
      </c>
      <c r="K641" s="19" t="s">
        <v>2459</v>
      </c>
      <c r="L641" s="20" t="s">
        <v>2460</v>
      </c>
      <c r="M641" s="20" t="s">
        <v>2461</v>
      </c>
      <c r="N641" s="22" t="s">
        <v>45</v>
      </c>
      <c r="O641" s="20" t="s">
        <v>45</v>
      </c>
      <c r="P641" s="20" t="s">
        <v>169</v>
      </c>
      <c r="Q641" s="20" t="s">
        <v>1016</v>
      </c>
      <c r="R641" s="76" t="s">
        <v>95</v>
      </c>
      <c r="S641" s="0" t="n">
        <f aca="false">IF(Recherche!$B$4="",0,IF(ISNUMBER(SEARCH(Recherche!$B$4,D641))+ISNUMBER(SEARCH(Recherche!$B$4,K641))&gt;0,1,0))</f>
        <v>0</v>
      </c>
      <c r="T641" s="0" t="str">
        <f aca="false">IF(S641=1,SUM($S$2:S641),"")</f>
        <v/>
      </c>
    </row>
    <row r="642" customFormat="false" ht="23.85" hidden="false" customHeight="false" outlineLevel="0" collapsed="false">
      <c r="A642" s="24" t="s">
        <v>2462</v>
      </c>
      <c r="B642" s="24" t="s">
        <v>63</v>
      </c>
      <c r="C642" s="24" t="s">
        <v>2437</v>
      </c>
      <c r="D642" s="23" t="s">
        <v>609</v>
      </c>
      <c r="E642" s="26" t="s">
        <v>91</v>
      </c>
      <c r="F642" s="24" t="s">
        <v>80</v>
      </c>
      <c r="G642" s="24" t="s">
        <v>939</v>
      </c>
      <c r="H642" s="25" t="n">
        <v>4.83</v>
      </c>
      <c r="I642" s="25"/>
      <c r="J642" s="58"/>
      <c r="K642" s="23" t="s">
        <v>610</v>
      </c>
      <c r="L642" s="24"/>
      <c r="M642" s="24" t="s">
        <v>2463</v>
      </c>
      <c r="N642" s="26" t="s">
        <v>91</v>
      </c>
      <c r="O642" s="24"/>
      <c r="P642" s="24" t="s">
        <v>303</v>
      </c>
      <c r="Q642" s="24" t="s">
        <v>1085</v>
      </c>
      <c r="R642" s="73" t="s">
        <v>95</v>
      </c>
      <c r="S642" s="0" t="n">
        <f aca="false">IF(Recherche!$B$4="",0,IF(ISNUMBER(SEARCH(Recherche!$B$4,D642))+ISNUMBER(SEARCH(Recherche!$B$4,K642))&gt;0,1,0))</f>
        <v>0</v>
      </c>
      <c r="T642" s="0" t="str">
        <f aca="false">IF(S642=1,SUM($S$2:S642),"")</f>
        <v/>
      </c>
    </row>
    <row r="643" customFormat="false" ht="15" hidden="false" customHeight="false" outlineLevel="0" collapsed="false">
      <c r="A643" s="20" t="s">
        <v>2462</v>
      </c>
      <c r="B643" s="20" t="s">
        <v>63</v>
      </c>
      <c r="C643" s="20" t="s">
        <v>2437</v>
      </c>
      <c r="D643" s="19" t="s">
        <v>609</v>
      </c>
      <c r="E643" s="22" t="s">
        <v>91</v>
      </c>
      <c r="F643" s="74" t="s">
        <v>79</v>
      </c>
      <c r="G643" s="74" t="s">
        <v>943</v>
      </c>
      <c r="H643" s="75" t="n">
        <v>8</v>
      </c>
      <c r="I643" s="21"/>
      <c r="J643" s="52"/>
      <c r="K643" s="19" t="s">
        <v>2464</v>
      </c>
      <c r="L643" s="20"/>
      <c r="M643" s="20" t="s">
        <v>2465</v>
      </c>
      <c r="N643" s="22" t="s">
        <v>91</v>
      </c>
      <c r="O643" s="20"/>
      <c r="P643" s="20" t="s">
        <v>313</v>
      </c>
      <c r="Q643" s="20" t="s">
        <v>1016</v>
      </c>
      <c r="R643" s="76" t="s">
        <v>95</v>
      </c>
      <c r="S643" s="0" t="n">
        <f aca="false">IF(Recherche!$B$4="",0,IF(ISNUMBER(SEARCH(Recherche!$B$4,D643))+ISNUMBER(SEARCH(Recherche!$B$4,K643))&gt;0,1,0))</f>
        <v>0</v>
      </c>
      <c r="T643" s="0" t="str">
        <f aca="false">IF(S643=1,SUM($S$2:S643),"")</f>
        <v/>
      </c>
    </row>
    <row r="644" customFormat="false" ht="23.85" hidden="false" customHeight="false" outlineLevel="0" collapsed="false">
      <c r="A644" s="24" t="s">
        <v>2462</v>
      </c>
      <c r="B644" s="24" t="s">
        <v>63</v>
      </c>
      <c r="C644" s="24" t="s">
        <v>2437</v>
      </c>
      <c r="D644" s="23" t="s">
        <v>609</v>
      </c>
      <c r="E644" s="26" t="s">
        <v>91</v>
      </c>
      <c r="F644" s="74" t="s">
        <v>81</v>
      </c>
      <c r="G644" s="74" t="s">
        <v>979</v>
      </c>
      <c r="H644" s="75" t="n">
        <v>10.2</v>
      </c>
      <c r="I644" s="25" t="n">
        <v>10.7</v>
      </c>
      <c r="J644" s="58" t="n">
        <v>4.7</v>
      </c>
      <c r="K644" s="23" t="s">
        <v>2466</v>
      </c>
      <c r="L644" s="24" t="s">
        <v>2057</v>
      </c>
      <c r="M644" s="24" t="s">
        <v>2467</v>
      </c>
      <c r="N644" s="26" t="s">
        <v>91</v>
      </c>
      <c r="O644" s="24" t="s">
        <v>949</v>
      </c>
      <c r="P644" s="24" t="s">
        <v>119</v>
      </c>
      <c r="Q644" s="24" t="s">
        <v>1016</v>
      </c>
      <c r="R644" s="73" t="s">
        <v>95</v>
      </c>
      <c r="S644" s="0" t="n">
        <f aca="false">IF(Recherche!$B$4="",0,IF(ISNUMBER(SEARCH(Recherche!$B$4,D644))+ISNUMBER(SEARCH(Recherche!$B$4,K644))&gt;0,1,0))</f>
        <v>0</v>
      </c>
      <c r="T644" s="0" t="str">
        <f aca="false">IF(S644=1,SUM($S$2:S644),"")</f>
        <v/>
      </c>
    </row>
    <row r="645" customFormat="false" ht="23.85" hidden="false" customHeight="false" outlineLevel="0" collapsed="false">
      <c r="A645" s="20" t="s">
        <v>2468</v>
      </c>
      <c r="B645" s="20" t="s">
        <v>63</v>
      </c>
      <c r="C645" s="20" t="s">
        <v>2437</v>
      </c>
      <c r="D645" s="19" t="s">
        <v>611</v>
      </c>
      <c r="E645" s="22" t="s">
        <v>91</v>
      </c>
      <c r="F645" s="20" t="s">
        <v>80</v>
      </c>
      <c r="G645" s="20" t="s">
        <v>939</v>
      </c>
      <c r="H645" s="21" t="n">
        <v>5.86</v>
      </c>
      <c r="I645" s="21"/>
      <c r="J645" s="52"/>
      <c r="K645" s="19" t="s">
        <v>612</v>
      </c>
      <c r="L645" s="20"/>
      <c r="M645" s="20" t="s">
        <v>2469</v>
      </c>
      <c r="N645" s="22" t="s">
        <v>91</v>
      </c>
      <c r="O645" s="20"/>
      <c r="P645" s="20" t="s">
        <v>303</v>
      </c>
      <c r="Q645" s="20" t="s">
        <v>963</v>
      </c>
      <c r="R645" s="76" t="s">
        <v>95</v>
      </c>
      <c r="S645" s="0" t="n">
        <f aca="false">IF(Recherche!$B$4="",0,IF(ISNUMBER(SEARCH(Recherche!$B$4,D645))+ISNUMBER(SEARCH(Recherche!$B$4,K645))&gt;0,1,0))</f>
        <v>0</v>
      </c>
      <c r="T645" s="0" t="str">
        <f aca="false">IF(S645=1,SUM($S$2:S645),"")</f>
        <v/>
      </c>
    </row>
    <row r="646" customFormat="false" ht="15" hidden="false" customHeight="false" outlineLevel="0" collapsed="false">
      <c r="A646" s="24" t="s">
        <v>2468</v>
      </c>
      <c r="B646" s="24" t="s">
        <v>63</v>
      </c>
      <c r="C646" s="24" t="s">
        <v>2437</v>
      </c>
      <c r="D646" s="23" t="s">
        <v>611</v>
      </c>
      <c r="E646" s="26" t="s">
        <v>91</v>
      </c>
      <c r="F646" s="24" t="s">
        <v>76</v>
      </c>
      <c r="G646" s="24" t="s">
        <v>939</v>
      </c>
      <c r="H646" s="25" t="n">
        <v>8.4</v>
      </c>
      <c r="I646" s="25"/>
      <c r="J646" s="58"/>
      <c r="K646" s="23" t="s">
        <v>2470</v>
      </c>
      <c r="L646" s="24" t="s">
        <v>1293</v>
      </c>
      <c r="M646" s="24" t="s">
        <v>2471</v>
      </c>
      <c r="N646" s="26" t="s">
        <v>91</v>
      </c>
      <c r="O646" s="24"/>
      <c r="P646" s="24" t="s">
        <v>93</v>
      </c>
      <c r="Q646" s="24" t="s">
        <v>963</v>
      </c>
      <c r="R646" s="73" t="s">
        <v>95</v>
      </c>
      <c r="S646" s="0" t="n">
        <f aca="false">IF(Recherche!$B$4="",0,IF(ISNUMBER(SEARCH(Recherche!$B$4,D646))+ISNUMBER(SEARCH(Recherche!$B$4,K646))&gt;0,1,0))</f>
        <v>0</v>
      </c>
      <c r="T646" s="0" t="str">
        <f aca="false">IF(S646=1,SUM($S$2:S646),"")</f>
        <v/>
      </c>
    </row>
    <row r="647" customFormat="false" ht="15" hidden="false" customHeight="false" outlineLevel="0" collapsed="false">
      <c r="A647" s="20" t="s">
        <v>2468</v>
      </c>
      <c r="B647" s="20" t="s">
        <v>63</v>
      </c>
      <c r="C647" s="20" t="s">
        <v>2437</v>
      </c>
      <c r="D647" s="19" t="s">
        <v>611</v>
      </c>
      <c r="E647" s="22" t="s">
        <v>91</v>
      </c>
      <c r="F647" s="74" t="s">
        <v>81</v>
      </c>
      <c r="G647" s="74" t="s">
        <v>979</v>
      </c>
      <c r="H647" s="75" t="n">
        <v>9.89</v>
      </c>
      <c r="I647" s="21" t="n">
        <v>10.42</v>
      </c>
      <c r="J647" s="52" t="n">
        <v>5.1</v>
      </c>
      <c r="K647" s="19" t="s">
        <v>2472</v>
      </c>
      <c r="L647" s="20" t="s">
        <v>2473</v>
      </c>
      <c r="M647" s="20" t="s">
        <v>2474</v>
      </c>
      <c r="N647" s="22" t="s">
        <v>91</v>
      </c>
      <c r="O647" s="20" t="s">
        <v>949</v>
      </c>
      <c r="P647" s="20" t="s">
        <v>119</v>
      </c>
      <c r="Q647" s="20" t="s">
        <v>1016</v>
      </c>
      <c r="R647" s="76" t="s">
        <v>95</v>
      </c>
      <c r="S647" s="0" t="n">
        <f aca="false">IF(Recherche!$B$4="",0,IF(ISNUMBER(SEARCH(Recherche!$B$4,D647))+ISNUMBER(SEARCH(Recherche!$B$4,K647))&gt;0,1,0))</f>
        <v>0</v>
      </c>
      <c r="T647" s="0" t="str">
        <f aca="false">IF(S647=1,SUM($S$2:S647),"")</f>
        <v/>
      </c>
    </row>
    <row r="648" customFormat="false" ht="23.85" hidden="false" customHeight="false" outlineLevel="0" collapsed="false">
      <c r="A648" s="24" t="s">
        <v>2468</v>
      </c>
      <c r="B648" s="24" t="s">
        <v>63</v>
      </c>
      <c r="C648" s="24" t="s">
        <v>2437</v>
      </c>
      <c r="D648" s="23" t="s">
        <v>611</v>
      </c>
      <c r="E648" s="26" t="s">
        <v>91</v>
      </c>
      <c r="F648" s="74" t="s">
        <v>79</v>
      </c>
      <c r="G648" s="74" t="s">
        <v>943</v>
      </c>
      <c r="H648" s="75" t="n">
        <v>10.19</v>
      </c>
      <c r="I648" s="25"/>
      <c r="J648" s="58"/>
      <c r="K648" s="23" t="s">
        <v>2475</v>
      </c>
      <c r="L648" s="24"/>
      <c r="M648" s="24" t="s">
        <v>2476</v>
      </c>
      <c r="N648" s="26" t="s">
        <v>91</v>
      </c>
      <c r="O648" s="24"/>
      <c r="P648" s="24" t="s">
        <v>313</v>
      </c>
      <c r="Q648" s="24" t="s">
        <v>1016</v>
      </c>
      <c r="R648" s="73" t="s">
        <v>95</v>
      </c>
      <c r="S648" s="0" t="n">
        <f aca="false">IF(Recherche!$B$4="",0,IF(ISNUMBER(SEARCH(Recherche!$B$4,D648))+ISNUMBER(SEARCH(Recherche!$B$4,K648))&gt;0,1,0))</f>
        <v>0</v>
      </c>
      <c r="T648" s="0" t="str">
        <f aca="false">IF(S648=1,SUM($S$2:S648),"")</f>
        <v/>
      </c>
    </row>
    <row r="649" customFormat="false" ht="23.85" hidden="false" customHeight="false" outlineLevel="0" collapsed="false">
      <c r="A649" s="20" t="s">
        <v>2477</v>
      </c>
      <c r="B649" s="20" t="s">
        <v>63</v>
      </c>
      <c r="C649" s="20" t="s">
        <v>2478</v>
      </c>
      <c r="D649" s="19" t="s">
        <v>613</v>
      </c>
      <c r="E649" s="22" t="s">
        <v>493</v>
      </c>
      <c r="F649" s="74" t="s">
        <v>79</v>
      </c>
      <c r="G649" s="74" t="s">
        <v>943</v>
      </c>
      <c r="H649" s="75" t="n">
        <v>1.52</v>
      </c>
      <c r="I649" s="21"/>
      <c r="J649" s="52"/>
      <c r="K649" s="19" t="s">
        <v>614</v>
      </c>
      <c r="L649" s="20"/>
      <c r="M649" s="20" t="s">
        <v>2479</v>
      </c>
      <c r="N649" s="22" t="s">
        <v>2209</v>
      </c>
      <c r="O649" s="20" t="s">
        <v>2480</v>
      </c>
      <c r="P649" s="20" t="s">
        <v>313</v>
      </c>
      <c r="Q649" s="20" t="s">
        <v>1387</v>
      </c>
      <c r="R649" s="76"/>
      <c r="S649" s="0" t="n">
        <f aca="false">IF(Recherche!$B$4="",0,IF(ISNUMBER(SEARCH(Recherche!$B$4,D649))+ISNUMBER(SEARCH(Recherche!$B$4,K649))&gt;0,1,0))</f>
        <v>0</v>
      </c>
      <c r="T649" s="0" t="str">
        <f aca="false">IF(S649=1,SUM($S$2:S649),"")</f>
        <v/>
      </c>
    </row>
    <row r="650" customFormat="false" ht="23.85" hidden="false" customHeight="false" outlineLevel="0" collapsed="false">
      <c r="A650" s="24" t="s">
        <v>2477</v>
      </c>
      <c r="B650" s="24" t="s">
        <v>63</v>
      </c>
      <c r="C650" s="24" t="s">
        <v>2478</v>
      </c>
      <c r="D650" s="23" t="s">
        <v>613</v>
      </c>
      <c r="E650" s="26" t="s">
        <v>493</v>
      </c>
      <c r="F650" s="24" t="s">
        <v>80</v>
      </c>
      <c r="G650" s="24" t="s">
        <v>939</v>
      </c>
      <c r="H650" s="25" t="n">
        <v>102.67</v>
      </c>
      <c r="I650" s="25"/>
      <c r="J650" s="58"/>
      <c r="K650" s="23" t="s">
        <v>2481</v>
      </c>
      <c r="L650" s="24"/>
      <c r="M650" s="24" t="s">
        <v>2482</v>
      </c>
      <c r="N650" s="26" t="s">
        <v>91</v>
      </c>
      <c r="O650" s="24"/>
      <c r="P650" s="24" t="s">
        <v>303</v>
      </c>
      <c r="Q650" s="24" t="s">
        <v>1085</v>
      </c>
      <c r="R650" s="73" t="s">
        <v>95</v>
      </c>
      <c r="S650" s="0" t="n">
        <f aca="false">IF(Recherche!$B$4="",0,IF(ISNUMBER(SEARCH(Recherche!$B$4,D650))+ISNUMBER(SEARCH(Recherche!$B$4,K650))&gt;0,1,0))</f>
        <v>0</v>
      </c>
      <c r="T650" s="0" t="str">
        <f aca="false">IF(S650=1,SUM($S$2:S650),"")</f>
        <v/>
      </c>
    </row>
    <row r="651" customFormat="false" ht="23.85" hidden="false" customHeight="false" outlineLevel="0" collapsed="false">
      <c r="A651" s="20" t="s">
        <v>2477</v>
      </c>
      <c r="B651" s="20" t="s">
        <v>63</v>
      </c>
      <c r="C651" s="20" t="s">
        <v>2478</v>
      </c>
      <c r="D651" s="19" t="s">
        <v>613</v>
      </c>
      <c r="E651" s="22" t="s">
        <v>493</v>
      </c>
      <c r="F651" s="74" t="s">
        <v>81</v>
      </c>
      <c r="G651" s="74" t="s">
        <v>979</v>
      </c>
      <c r="H651" s="75" t="n">
        <v>143.77</v>
      </c>
      <c r="I651" s="21" t="n">
        <v>149.41</v>
      </c>
      <c r="J651" s="52" t="n">
        <v>3.8</v>
      </c>
      <c r="K651" s="19" t="s">
        <v>2483</v>
      </c>
      <c r="L651" s="20" t="s">
        <v>2484</v>
      </c>
      <c r="M651" s="20" t="s">
        <v>2485</v>
      </c>
      <c r="N651" s="22" t="s">
        <v>1056</v>
      </c>
      <c r="O651" s="20" t="s">
        <v>1056</v>
      </c>
      <c r="P651" s="20" t="s">
        <v>119</v>
      </c>
      <c r="Q651" s="20" t="s">
        <v>1007</v>
      </c>
      <c r="R651" s="76" t="s">
        <v>95</v>
      </c>
      <c r="S651" s="0" t="n">
        <f aca="false">IF(Recherche!$B$4="",0,IF(ISNUMBER(SEARCH(Recherche!$B$4,D651))+ISNUMBER(SEARCH(Recherche!$B$4,K651))&gt;0,1,0))</f>
        <v>0</v>
      </c>
      <c r="T651" s="0" t="str">
        <f aca="false">IF(S651=1,SUM($S$2:S651),"")</f>
        <v/>
      </c>
    </row>
    <row r="652" customFormat="false" ht="15" hidden="false" customHeight="false" outlineLevel="0" collapsed="false">
      <c r="A652" s="24" t="s">
        <v>2486</v>
      </c>
      <c r="B652" s="24" t="s">
        <v>63</v>
      </c>
      <c r="C652" s="24" t="s">
        <v>2478</v>
      </c>
      <c r="D652" s="23" t="s">
        <v>615</v>
      </c>
      <c r="E652" s="26" t="s">
        <v>556</v>
      </c>
      <c r="F652" s="24" t="s">
        <v>80</v>
      </c>
      <c r="G652" s="24" t="s">
        <v>939</v>
      </c>
      <c r="H652" s="25" t="n">
        <v>15.5</v>
      </c>
      <c r="I652" s="25"/>
      <c r="J652" s="58"/>
      <c r="K652" s="23" t="s">
        <v>2487</v>
      </c>
      <c r="L652" s="24"/>
      <c r="M652" s="24" t="s">
        <v>2488</v>
      </c>
      <c r="N652" s="26" t="s">
        <v>91</v>
      </c>
      <c r="O652" s="24"/>
      <c r="P652" s="24" t="s">
        <v>303</v>
      </c>
      <c r="Q652" s="24" t="s">
        <v>963</v>
      </c>
      <c r="R652" s="73" t="s">
        <v>95</v>
      </c>
      <c r="S652" s="0" t="n">
        <f aca="false">IF(Recherche!$B$4="",0,IF(ISNUMBER(SEARCH(Recherche!$B$4,D652))+ISNUMBER(SEARCH(Recherche!$B$4,K652))&gt;0,1,0))</f>
        <v>0</v>
      </c>
      <c r="T652" s="0" t="str">
        <f aca="false">IF(S652=1,SUM($S$2:S652),"")</f>
        <v/>
      </c>
    </row>
    <row r="653" customFormat="false" ht="15" hidden="false" customHeight="false" outlineLevel="0" collapsed="false">
      <c r="A653" s="20" t="s">
        <v>2486</v>
      </c>
      <c r="B653" s="20" t="s">
        <v>63</v>
      </c>
      <c r="C653" s="20" t="s">
        <v>2478</v>
      </c>
      <c r="D653" s="19" t="s">
        <v>615</v>
      </c>
      <c r="E653" s="22" t="s">
        <v>556</v>
      </c>
      <c r="F653" s="74" t="s">
        <v>79</v>
      </c>
      <c r="G653" s="74" t="s">
        <v>943</v>
      </c>
      <c r="H653" s="75" t="n">
        <v>44.98</v>
      </c>
      <c r="I653" s="21"/>
      <c r="J653" s="52"/>
      <c r="K653" s="19" t="s">
        <v>616</v>
      </c>
      <c r="L653" s="20"/>
      <c r="M653" s="20" t="s">
        <v>2489</v>
      </c>
      <c r="N653" s="22" t="s">
        <v>556</v>
      </c>
      <c r="O653" s="20" t="s">
        <v>2490</v>
      </c>
      <c r="P653" s="20" t="s">
        <v>313</v>
      </c>
      <c r="Q653" s="20" t="s">
        <v>1387</v>
      </c>
      <c r="R653" s="76" t="s">
        <v>95</v>
      </c>
      <c r="S653" s="0" t="n">
        <f aca="false">IF(Recherche!$B$4="",0,IF(ISNUMBER(SEARCH(Recherche!$B$4,D653))+ISNUMBER(SEARCH(Recherche!$B$4,K653))&gt;0,1,0))</f>
        <v>0</v>
      </c>
      <c r="T653" s="0" t="str">
        <f aca="false">IF(S653=1,SUM($S$2:S653),"")</f>
        <v/>
      </c>
    </row>
    <row r="654" customFormat="false" ht="15" hidden="false" customHeight="false" outlineLevel="0" collapsed="false">
      <c r="A654" s="24" t="s">
        <v>2486</v>
      </c>
      <c r="B654" s="24" t="s">
        <v>63</v>
      </c>
      <c r="C654" s="24" t="s">
        <v>2478</v>
      </c>
      <c r="D654" s="23" t="s">
        <v>615</v>
      </c>
      <c r="E654" s="26" t="s">
        <v>556</v>
      </c>
      <c r="F654" s="74" t="s">
        <v>81</v>
      </c>
      <c r="G654" s="74" t="s">
        <v>979</v>
      </c>
      <c r="H654" s="75" t="n">
        <v>52.13</v>
      </c>
      <c r="I654" s="25" t="n">
        <v>54.82</v>
      </c>
      <c r="J654" s="58" t="n">
        <v>4.9</v>
      </c>
      <c r="K654" s="23" t="s">
        <v>2491</v>
      </c>
      <c r="L654" s="24" t="s">
        <v>2492</v>
      </c>
      <c r="M654" s="24" t="s">
        <v>2493</v>
      </c>
      <c r="N654" s="26" t="s">
        <v>91</v>
      </c>
      <c r="O654" s="24" t="s">
        <v>949</v>
      </c>
      <c r="P654" s="24" t="s">
        <v>119</v>
      </c>
      <c r="Q654" s="24" t="s">
        <v>1007</v>
      </c>
      <c r="R654" s="73" t="s">
        <v>95</v>
      </c>
      <c r="S654" s="0" t="n">
        <f aca="false">IF(Recherche!$B$4="",0,IF(ISNUMBER(SEARCH(Recherche!$B$4,D654))+ISNUMBER(SEARCH(Recherche!$B$4,K654))&gt;0,1,0))</f>
        <v>0</v>
      </c>
      <c r="T654" s="0" t="str">
        <f aca="false">IF(S654=1,SUM($S$2:S654),"")</f>
        <v/>
      </c>
    </row>
    <row r="655" customFormat="false" ht="15" hidden="false" customHeight="false" outlineLevel="0" collapsed="false">
      <c r="A655" s="20" t="s">
        <v>2494</v>
      </c>
      <c r="B655" s="20" t="s">
        <v>63</v>
      </c>
      <c r="C655" s="20" t="s">
        <v>2478</v>
      </c>
      <c r="D655" s="19" t="s">
        <v>617</v>
      </c>
      <c r="E655" s="22" t="s">
        <v>374</v>
      </c>
      <c r="F655" s="20" t="s">
        <v>76</v>
      </c>
      <c r="G655" s="20" t="s">
        <v>939</v>
      </c>
      <c r="H655" s="21" t="n">
        <v>6.34</v>
      </c>
      <c r="I655" s="21"/>
      <c r="J655" s="52"/>
      <c r="K655" s="19" t="s">
        <v>618</v>
      </c>
      <c r="L655" s="20" t="s">
        <v>2495</v>
      </c>
      <c r="M655" s="20" t="s">
        <v>2496</v>
      </c>
      <c r="N655" s="22" t="s">
        <v>374</v>
      </c>
      <c r="O655" s="20"/>
      <c r="P655" s="20" t="s">
        <v>93</v>
      </c>
      <c r="Q655" s="20" t="s">
        <v>963</v>
      </c>
      <c r="R655" s="76" t="s">
        <v>95</v>
      </c>
      <c r="S655" s="0" t="n">
        <f aca="false">IF(Recherche!$B$4="",0,IF(ISNUMBER(SEARCH(Recherche!$B$4,D655))+ISNUMBER(SEARCH(Recherche!$B$4,K655))&gt;0,1,0))</f>
        <v>0</v>
      </c>
      <c r="T655" s="0" t="str">
        <f aca="false">IF(S655=1,SUM($S$2:S655),"")</f>
        <v/>
      </c>
    </row>
    <row r="656" customFormat="false" ht="15" hidden="false" customHeight="false" outlineLevel="0" collapsed="false">
      <c r="A656" s="24" t="s">
        <v>2494</v>
      </c>
      <c r="B656" s="24" t="s">
        <v>63</v>
      </c>
      <c r="C656" s="24" t="s">
        <v>2478</v>
      </c>
      <c r="D656" s="23" t="s">
        <v>617</v>
      </c>
      <c r="E656" s="26" t="s">
        <v>374</v>
      </c>
      <c r="F656" s="74" t="s">
        <v>81</v>
      </c>
      <c r="G656" s="74" t="s">
        <v>979</v>
      </c>
      <c r="H656" s="75" t="n">
        <v>13.36</v>
      </c>
      <c r="I656" s="25" t="n">
        <v>14.08</v>
      </c>
      <c r="J656" s="58" t="n">
        <v>5.1</v>
      </c>
      <c r="K656" s="23" t="s">
        <v>2497</v>
      </c>
      <c r="L656" s="24" t="s">
        <v>2492</v>
      </c>
      <c r="M656" s="24" t="s">
        <v>2498</v>
      </c>
      <c r="N656" s="26" t="s">
        <v>91</v>
      </c>
      <c r="O656" s="24" t="s">
        <v>949</v>
      </c>
      <c r="P656" s="24" t="s">
        <v>169</v>
      </c>
      <c r="Q656" s="24" t="s">
        <v>1016</v>
      </c>
      <c r="R656" s="73" t="s">
        <v>95</v>
      </c>
      <c r="S656" s="0" t="n">
        <f aca="false">IF(Recherche!$B$4="",0,IF(ISNUMBER(SEARCH(Recherche!$B$4,D656))+ISNUMBER(SEARCH(Recherche!$B$4,K656))&gt;0,1,0))</f>
        <v>0</v>
      </c>
      <c r="T656" s="0" t="str">
        <f aca="false">IF(S656=1,SUM($S$2:S656),"")</f>
        <v/>
      </c>
    </row>
    <row r="657" customFormat="false" ht="15" hidden="false" customHeight="false" outlineLevel="0" collapsed="false">
      <c r="A657" s="20" t="s">
        <v>2494</v>
      </c>
      <c r="B657" s="20" t="s">
        <v>63</v>
      </c>
      <c r="C657" s="20" t="s">
        <v>2478</v>
      </c>
      <c r="D657" s="19" t="s">
        <v>617</v>
      </c>
      <c r="E657" s="22" t="s">
        <v>374</v>
      </c>
      <c r="F657" s="74" t="s">
        <v>79</v>
      </c>
      <c r="G657" s="74" t="s">
        <v>943</v>
      </c>
      <c r="H657" s="75" t="n">
        <v>15.52</v>
      </c>
      <c r="I657" s="21"/>
      <c r="J657" s="52"/>
      <c r="K657" s="19" t="s">
        <v>2499</v>
      </c>
      <c r="L657" s="20"/>
      <c r="M657" s="20" t="s">
        <v>2500</v>
      </c>
      <c r="N657" s="22" t="s">
        <v>91</v>
      </c>
      <c r="O657" s="20"/>
      <c r="P657" s="20" t="s">
        <v>313</v>
      </c>
      <c r="Q657" s="20" t="s">
        <v>1016</v>
      </c>
      <c r="R657" s="76" t="s">
        <v>95</v>
      </c>
      <c r="S657" s="0" t="n">
        <f aca="false">IF(Recherche!$B$4="",0,IF(ISNUMBER(SEARCH(Recherche!$B$4,D657))+ISNUMBER(SEARCH(Recherche!$B$4,K657))&gt;0,1,0))</f>
        <v>0</v>
      </c>
      <c r="T657" s="0" t="str">
        <f aca="false">IF(S657=1,SUM($S$2:S657),"")</f>
        <v/>
      </c>
    </row>
    <row r="658" customFormat="false" ht="23.85" hidden="false" customHeight="false" outlineLevel="0" collapsed="false">
      <c r="A658" s="24" t="s">
        <v>2494</v>
      </c>
      <c r="B658" s="24" t="s">
        <v>63</v>
      </c>
      <c r="C658" s="24" t="s">
        <v>2478</v>
      </c>
      <c r="D658" s="23" t="s">
        <v>617</v>
      </c>
      <c r="E658" s="26" t="s">
        <v>374</v>
      </c>
      <c r="F658" s="24" t="s">
        <v>80</v>
      </c>
      <c r="G658" s="24" t="s">
        <v>939</v>
      </c>
      <c r="H658" s="25" t="n">
        <v>17.27</v>
      </c>
      <c r="I658" s="25"/>
      <c r="J658" s="58"/>
      <c r="K658" s="23" t="s">
        <v>2501</v>
      </c>
      <c r="L658" s="24"/>
      <c r="M658" s="24" t="s">
        <v>2502</v>
      </c>
      <c r="N658" s="26" t="s">
        <v>91</v>
      </c>
      <c r="O658" s="24"/>
      <c r="P658" s="24" t="s">
        <v>303</v>
      </c>
      <c r="Q658" s="24" t="s">
        <v>963</v>
      </c>
      <c r="R658" s="73" t="s">
        <v>95</v>
      </c>
      <c r="S658" s="0" t="n">
        <f aca="false">IF(Recherche!$B$4="",0,IF(ISNUMBER(SEARCH(Recherche!$B$4,D658))+ISNUMBER(SEARCH(Recherche!$B$4,K658))&gt;0,1,0))</f>
        <v>0</v>
      </c>
      <c r="T658" s="0" t="str">
        <f aca="false">IF(S658=1,SUM($S$2:S658),"")</f>
        <v/>
      </c>
    </row>
    <row r="659" customFormat="false" ht="23.85" hidden="false" customHeight="false" outlineLevel="0" collapsed="false">
      <c r="A659" s="20" t="s">
        <v>2503</v>
      </c>
      <c r="B659" s="20" t="s">
        <v>64</v>
      </c>
      <c r="C659" s="20" t="s">
        <v>2504</v>
      </c>
      <c r="D659" s="19" t="s">
        <v>619</v>
      </c>
      <c r="E659" s="22" t="s">
        <v>493</v>
      </c>
      <c r="F659" s="74" t="s">
        <v>81</v>
      </c>
      <c r="G659" s="74" t="s">
        <v>979</v>
      </c>
      <c r="H659" s="75" t="n">
        <v>19.07</v>
      </c>
      <c r="I659" s="21" t="n">
        <v>23.2</v>
      </c>
      <c r="J659" s="52" t="n">
        <v>17.8</v>
      </c>
      <c r="K659" s="19" t="s">
        <v>620</v>
      </c>
      <c r="L659" s="20" t="s">
        <v>2505</v>
      </c>
      <c r="M659" s="20" t="s">
        <v>2506</v>
      </c>
      <c r="N659" s="22" t="s">
        <v>2213</v>
      </c>
      <c r="O659" s="20" t="s">
        <v>1216</v>
      </c>
      <c r="P659" s="20" t="s">
        <v>169</v>
      </c>
      <c r="Q659" s="20" t="s">
        <v>1007</v>
      </c>
      <c r="R659" s="76" t="s">
        <v>95</v>
      </c>
      <c r="S659" s="0" t="n">
        <f aca="false">IF(Recherche!$B$4="",0,IF(ISNUMBER(SEARCH(Recherche!$B$4,D659))+ISNUMBER(SEARCH(Recherche!$B$4,K659))&gt;0,1,0))</f>
        <v>0</v>
      </c>
      <c r="T659" s="0" t="str">
        <f aca="false">IF(S659=1,SUM($S$2:S659),"")</f>
        <v/>
      </c>
    </row>
    <row r="660" customFormat="false" ht="23.85" hidden="false" customHeight="false" outlineLevel="0" collapsed="false">
      <c r="A660" s="24" t="s">
        <v>2503</v>
      </c>
      <c r="B660" s="24" t="s">
        <v>64</v>
      </c>
      <c r="C660" s="24" t="s">
        <v>2504</v>
      </c>
      <c r="D660" s="23" t="s">
        <v>619</v>
      </c>
      <c r="E660" s="26" t="s">
        <v>493</v>
      </c>
      <c r="F660" s="74" t="s">
        <v>79</v>
      </c>
      <c r="G660" s="74" t="s">
        <v>943</v>
      </c>
      <c r="H660" s="75" t="n">
        <v>37.56</v>
      </c>
      <c r="I660" s="25"/>
      <c r="J660" s="58"/>
      <c r="K660" s="23" t="s">
        <v>2507</v>
      </c>
      <c r="L660" s="24"/>
      <c r="M660" s="24" t="s">
        <v>2508</v>
      </c>
      <c r="N660" s="26" t="s">
        <v>493</v>
      </c>
      <c r="O660" s="24"/>
      <c r="P660" s="24" t="s">
        <v>313</v>
      </c>
      <c r="Q660" s="24" t="s">
        <v>1016</v>
      </c>
      <c r="R660" s="73"/>
      <c r="S660" s="0" t="n">
        <f aca="false">IF(Recherche!$B$4="",0,IF(ISNUMBER(SEARCH(Recherche!$B$4,D660))+ISNUMBER(SEARCH(Recherche!$B$4,K660))&gt;0,1,0))</f>
        <v>0</v>
      </c>
      <c r="T660" s="0" t="str">
        <f aca="false">IF(S660=1,SUM($S$2:S660),"")</f>
        <v/>
      </c>
    </row>
    <row r="661" customFormat="false" ht="15" hidden="false" customHeight="false" outlineLevel="0" collapsed="false">
      <c r="A661" s="20" t="s">
        <v>2509</v>
      </c>
      <c r="B661" s="20" t="s">
        <v>64</v>
      </c>
      <c r="C661" s="20" t="s">
        <v>2504</v>
      </c>
      <c r="D661" s="19" t="s">
        <v>621</v>
      </c>
      <c r="E661" s="22" t="s">
        <v>493</v>
      </c>
      <c r="F661" s="74" t="s">
        <v>81</v>
      </c>
      <c r="G661" s="74" t="s">
        <v>979</v>
      </c>
      <c r="H661" s="75" t="n">
        <v>10.19</v>
      </c>
      <c r="I661" s="21" t="n">
        <v>12.41</v>
      </c>
      <c r="J661" s="52" t="n">
        <v>17.9</v>
      </c>
      <c r="K661" s="19" t="s">
        <v>2510</v>
      </c>
      <c r="L661" s="20" t="s">
        <v>2511</v>
      </c>
      <c r="M661" s="20" t="s">
        <v>2512</v>
      </c>
      <c r="N661" s="22" t="s">
        <v>91</v>
      </c>
      <c r="O661" s="20" t="s">
        <v>949</v>
      </c>
      <c r="P661" s="20" t="s">
        <v>169</v>
      </c>
      <c r="Q661" s="20" t="s">
        <v>1007</v>
      </c>
      <c r="R661" s="76" t="s">
        <v>95</v>
      </c>
      <c r="S661" s="0" t="n">
        <f aca="false">IF(Recherche!$B$4="",0,IF(ISNUMBER(SEARCH(Recherche!$B$4,D661))+ISNUMBER(SEARCH(Recherche!$B$4,K661))&gt;0,1,0))</f>
        <v>0</v>
      </c>
      <c r="T661" s="0" t="str">
        <f aca="false">IF(S661=1,SUM($S$2:S661),"")</f>
        <v/>
      </c>
    </row>
    <row r="662" customFormat="false" ht="15" hidden="false" customHeight="false" outlineLevel="0" collapsed="false">
      <c r="A662" s="24" t="s">
        <v>2509</v>
      </c>
      <c r="B662" s="24" t="s">
        <v>64</v>
      </c>
      <c r="C662" s="24" t="s">
        <v>2504</v>
      </c>
      <c r="D662" s="23" t="s">
        <v>621</v>
      </c>
      <c r="E662" s="26" t="s">
        <v>493</v>
      </c>
      <c r="F662" s="24" t="s">
        <v>80</v>
      </c>
      <c r="G662" s="24" t="s">
        <v>939</v>
      </c>
      <c r="H662" s="25" t="n">
        <v>24.13</v>
      </c>
      <c r="I662" s="25"/>
      <c r="J662" s="58"/>
      <c r="K662" s="23" t="s">
        <v>622</v>
      </c>
      <c r="L662" s="24"/>
      <c r="M662" s="24" t="s">
        <v>2513</v>
      </c>
      <c r="N662" s="26" t="s">
        <v>2209</v>
      </c>
      <c r="O662" s="24"/>
      <c r="P662" s="24" t="s">
        <v>303</v>
      </c>
      <c r="Q662" s="24" t="s">
        <v>963</v>
      </c>
      <c r="R662" s="73" t="s">
        <v>95</v>
      </c>
      <c r="S662" s="0" t="n">
        <f aca="false">IF(Recherche!$B$4="",0,IF(ISNUMBER(SEARCH(Recherche!$B$4,D662))+ISNUMBER(SEARCH(Recherche!$B$4,K662))&gt;0,1,0))</f>
        <v>0</v>
      </c>
      <c r="T662" s="0" t="str">
        <f aca="false">IF(S662=1,SUM($S$2:S662),"")</f>
        <v/>
      </c>
    </row>
    <row r="663" customFormat="false" ht="23.85" hidden="false" customHeight="false" outlineLevel="0" collapsed="false">
      <c r="A663" s="20" t="s">
        <v>2514</v>
      </c>
      <c r="B663" s="20" t="s">
        <v>64</v>
      </c>
      <c r="C663" s="20" t="s">
        <v>2504</v>
      </c>
      <c r="D663" s="19" t="s">
        <v>623</v>
      </c>
      <c r="E663" s="22" t="s">
        <v>137</v>
      </c>
      <c r="F663" s="74" t="s">
        <v>81</v>
      </c>
      <c r="G663" s="74" t="s">
        <v>979</v>
      </c>
      <c r="H663" s="75" t="n">
        <v>2.4</v>
      </c>
      <c r="I663" s="21" t="n">
        <v>2.91</v>
      </c>
      <c r="J663" s="52" t="n">
        <v>17.5</v>
      </c>
      <c r="K663" s="19" t="s">
        <v>2515</v>
      </c>
      <c r="L663" s="20" t="s">
        <v>2505</v>
      </c>
      <c r="M663" s="20" t="s">
        <v>2516</v>
      </c>
      <c r="N663" s="22" t="s">
        <v>91</v>
      </c>
      <c r="O663" s="20" t="s">
        <v>949</v>
      </c>
      <c r="P663" s="20" t="s">
        <v>169</v>
      </c>
      <c r="Q663" s="20" t="s">
        <v>1016</v>
      </c>
      <c r="R663" s="76" t="s">
        <v>95</v>
      </c>
      <c r="S663" s="0" t="n">
        <f aca="false">IF(Recherche!$B$4="",0,IF(ISNUMBER(SEARCH(Recherche!$B$4,D663))+ISNUMBER(SEARCH(Recherche!$B$4,K663))&gt;0,1,0))</f>
        <v>0</v>
      </c>
      <c r="T663" s="0" t="str">
        <f aca="false">IF(S663=1,SUM($S$2:S663),"")</f>
        <v/>
      </c>
    </row>
    <row r="664" customFormat="false" ht="23.85" hidden="false" customHeight="false" outlineLevel="0" collapsed="false">
      <c r="A664" s="24" t="s">
        <v>2514</v>
      </c>
      <c r="B664" s="24" t="s">
        <v>64</v>
      </c>
      <c r="C664" s="24" t="s">
        <v>2504</v>
      </c>
      <c r="D664" s="23" t="s">
        <v>623</v>
      </c>
      <c r="E664" s="26" t="s">
        <v>137</v>
      </c>
      <c r="F664" s="74" t="s">
        <v>79</v>
      </c>
      <c r="G664" s="74" t="s">
        <v>943</v>
      </c>
      <c r="H664" s="75" t="n">
        <v>3.21</v>
      </c>
      <c r="I664" s="25"/>
      <c r="J664" s="58"/>
      <c r="K664" s="23" t="s">
        <v>2517</v>
      </c>
      <c r="L664" s="24"/>
      <c r="M664" s="24" t="s">
        <v>2518</v>
      </c>
      <c r="N664" s="26" t="s">
        <v>91</v>
      </c>
      <c r="O664" s="24"/>
      <c r="P664" s="24" t="s">
        <v>313</v>
      </c>
      <c r="Q664" s="24" t="s">
        <v>1016</v>
      </c>
      <c r="R664" s="73" t="s">
        <v>95</v>
      </c>
      <c r="S664" s="0" t="n">
        <f aca="false">IF(Recherche!$B$4="",0,IF(ISNUMBER(SEARCH(Recherche!$B$4,D664))+ISNUMBER(SEARCH(Recherche!$B$4,K664))&gt;0,1,0))</f>
        <v>0</v>
      </c>
      <c r="T664" s="0" t="str">
        <f aca="false">IF(S664=1,SUM($S$2:S664),"")</f>
        <v/>
      </c>
    </row>
    <row r="665" customFormat="false" ht="23.85" hidden="false" customHeight="false" outlineLevel="0" collapsed="false">
      <c r="A665" s="20" t="s">
        <v>2514</v>
      </c>
      <c r="B665" s="20" t="s">
        <v>64</v>
      </c>
      <c r="C665" s="20" t="s">
        <v>2504</v>
      </c>
      <c r="D665" s="19" t="s">
        <v>623</v>
      </c>
      <c r="E665" s="22" t="s">
        <v>137</v>
      </c>
      <c r="F665" s="20" t="s">
        <v>80</v>
      </c>
      <c r="G665" s="20" t="s">
        <v>939</v>
      </c>
      <c r="H665" s="21" t="n">
        <v>8.1</v>
      </c>
      <c r="I665" s="21"/>
      <c r="J665" s="52"/>
      <c r="K665" s="19" t="s">
        <v>624</v>
      </c>
      <c r="L665" s="20"/>
      <c r="M665" s="20" t="s">
        <v>2519</v>
      </c>
      <c r="N665" s="22" t="s">
        <v>1533</v>
      </c>
      <c r="O665" s="20"/>
      <c r="P665" s="20" t="s">
        <v>303</v>
      </c>
      <c r="Q665" s="20" t="s">
        <v>963</v>
      </c>
      <c r="R665" s="76" t="s">
        <v>95</v>
      </c>
      <c r="S665" s="0" t="n">
        <f aca="false">IF(Recherche!$B$4="",0,IF(ISNUMBER(SEARCH(Recherche!$B$4,D665))+ISNUMBER(SEARCH(Recherche!$B$4,K665))&gt;0,1,0))</f>
        <v>0</v>
      </c>
      <c r="T665" s="0" t="str">
        <f aca="false">IF(S665=1,SUM($S$2:S665),"")</f>
        <v/>
      </c>
    </row>
    <row r="666" customFormat="false" ht="15" hidden="false" customHeight="false" outlineLevel="0" collapsed="false">
      <c r="A666" s="24" t="s">
        <v>2520</v>
      </c>
      <c r="B666" s="24" t="s">
        <v>64</v>
      </c>
      <c r="C666" s="24" t="s">
        <v>2504</v>
      </c>
      <c r="D666" s="23" t="s">
        <v>625</v>
      </c>
      <c r="E666" s="26" t="s">
        <v>553</v>
      </c>
      <c r="F666" s="74" t="s">
        <v>81</v>
      </c>
      <c r="G666" s="74" t="s">
        <v>979</v>
      </c>
      <c r="H666" s="75" t="n">
        <v>14.95</v>
      </c>
      <c r="I666" s="25" t="n">
        <v>16.62</v>
      </c>
      <c r="J666" s="58" t="n">
        <v>10</v>
      </c>
      <c r="K666" s="23" t="s">
        <v>2521</v>
      </c>
      <c r="L666" s="24" t="s">
        <v>2522</v>
      </c>
      <c r="M666" s="24" t="s">
        <v>2523</v>
      </c>
      <c r="N666" s="26" t="s">
        <v>1700</v>
      </c>
      <c r="O666" s="24" t="s">
        <v>1700</v>
      </c>
      <c r="P666" s="24" t="s">
        <v>119</v>
      </c>
      <c r="Q666" s="24" t="s">
        <v>1007</v>
      </c>
      <c r="R666" s="73" t="s">
        <v>95</v>
      </c>
      <c r="S666" s="0" t="n">
        <f aca="false">IF(Recherche!$B$4="",0,IF(ISNUMBER(SEARCH(Recherche!$B$4,D666))+ISNUMBER(SEARCH(Recherche!$B$4,K666))&gt;0,1,0))</f>
        <v>0</v>
      </c>
      <c r="T666" s="0" t="str">
        <f aca="false">IF(S666=1,SUM($S$2:S666),"")</f>
        <v/>
      </c>
    </row>
    <row r="667" customFormat="false" ht="15" hidden="false" customHeight="false" outlineLevel="0" collapsed="false">
      <c r="A667" s="20" t="s">
        <v>2520</v>
      </c>
      <c r="B667" s="20" t="s">
        <v>64</v>
      </c>
      <c r="C667" s="20" t="s">
        <v>2504</v>
      </c>
      <c r="D667" s="19" t="s">
        <v>625</v>
      </c>
      <c r="E667" s="22" t="s">
        <v>553</v>
      </c>
      <c r="F667" s="74" t="s">
        <v>79</v>
      </c>
      <c r="G667" s="74" t="s">
        <v>943</v>
      </c>
      <c r="H667" s="75" t="n">
        <v>15.3</v>
      </c>
      <c r="I667" s="21"/>
      <c r="J667" s="52"/>
      <c r="K667" s="19" t="s">
        <v>626</v>
      </c>
      <c r="L667" s="20"/>
      <c r="M667" s="20" t="s">
        <v>2524</v>
      </c>
      <c r="N667" s="22" t="s">
        <v>553</v>
      </c>
      <c r="O667" s="20"/>
      <c r="P667" s="20" t="s">
        <v>313</v>
      </c>
      <c r="Q667" s="20" t="s">
        <v>1016</v>
      </c>
      <c r="R667" s="76" t="s">
        <v>95</v>
      </c>
      <c r="S667" s="0" t="n">
        <f aca="false">IF(Recherche!$B$4="",0,IF(ISNUMBER(SEARCH(Recherche!$B$4,D667))+ISNUMBER(SEARCH(Recherche!$B$4,K667))&gt;0,1,0))</f>
        <v>0</v>
      </c>
      <c r="T667" s="0" t="str">
        <f aca="false">IF(S667=1,SUM($S$2:S667),"")</f>
        <v/>
      </c>
    </row>
    <row r="668" customFormat="false" ht="15" hidden="false" customHeight="false" outlineLevel="0" collapsed="false">
      <c r="A668" s="24" t="s">
        <v>2520</v>
      </c>
      <c r="B668" s="24" t="s">
        <v>64</v>
      </c>
      <c r="C668" s="24" t="s">
        <v>2504</v>
      </c>
      <c r="D668" s="23" t="s">
        <v>625</v>
      </c>
      <c r="E668" s="26" t="s">
        <v>553</v>
      </c>
      <c r="F668" s="74" t="s">
        <v>83</v>
      </c>
      <c r="G668" s="74" t="s">
        <v>943</v>
      </c>
      <c r="H668" s="75" t="n">
        <v>17.47</v>
      </c>
      <c r="I668" s="25"/>
      <c r="J668" s="58"/>
      <c r="K668" s="23" t="s">
        <v>2525</v>
      </c>
      <c r="L668" s="24"/>
      <c r="M668" s="24" t="s">
        <v>2526</v>
      </c>
      <c r="N668" s="26" t="s">
        <v>2245</v>
      </c>
      <c r="O668" s="24"/>
      <c r="P668" s="24" t="s">
        <v>534</v>
      </c>
      <c r="Q668" s="24" t="s">
        <v>1016</v>
      </c>
      <c r="R668" s="73" t="s">
        <v>95</v>
      </c>
      <c r="S668" s="0" t="n">
        <f aca="false">IF(Recherche!$B$4="",0,IF(ISNUMBER(SEARCH(Recherche!$B$4,D668))+ISNUMBER(SEARCH(Recherche!$B$4,K668))&gt;0,1,0))</f>
        <v>0</v>
      </c>
      <c r="T668" s="0" t="str">
        <f aca="false">IF(S668=1,SUM($S$2:S668),"")</f>
        <v/>
      </c>
    </row>
    <row r="669" customFormat="false" ht="23.85" hidden="false" customHeight="false" outlineLevel="0" collapsed="false">
      <c r="A669" s="20" t="s">
        <v>2520</v>
      </c>
      <c r="B669" s="20" t="s">
        <v>64</v>
      </c>
      <c r="C669" s="20" t="s">
        <v>2504</v>
      </c>
      <c r="D669" s="19" t="s">
        <v>625</v>
      </c>
      <c r="E669" s="22" t="s">
        <v>553</v>
      </c>
      <c r="F669" s="20" t="s">
        <v>80</v>
      </c>
      <c r="G669" s="20" t="s">
        <v>939</v>
      </c>
      <c r="H669" s="21" t="n">
        <v>25.86</v>
      </c>
      <c r="I669" s="21"/>
      <c r="J669" s="52"/>
      <c r="K669" s="19" t="s">
        <v>2527</v>
      </c>
      <c r="L669" s="20"/>
      <c r="M669" s="20" t="s">
        <v>2528</v>
      </c>
      <c r="N669" s="22" t="s">
        <v>91</v>
      </c>
      <c r="O669" s="20"/>
      <c r="P669" s="20" t="s">
        <v>303</v>
      </c>
      <c r="Q669" s="20" t="s">
        <v>942</v>
      </c>
      <c r="R669" s="76" t="s">
        <v>95</v>
      </c>
      <c r="S669" s="0" t="n">
        <f aca="false">IF(Recherche!$B$4="",0,IF(ISNUMBER(SEARCH(Recherche!$B$4,D669))+ISNUMBER(SEARCH(Recherche!$B$4,K669))&gt;0,1,0))</f>
        <v>0</v>
      </c>
      <c r="T669" s="0" t="str">
        <f aca="false">IF(S669=1,SUM($S$2:S669),"")</f>
        <v/>
      </c>
    </row>
    <row r="670" customFormat="false" ht="23.85" hidden="false" customHeight="false" outlineLevel="0" collapsed="false">
      <c r="A670" s="24" t="s">
        <v>2520</v>
      </c>
      <c r="B670" s="24" t="s">
        <v>64</v>
      </c>
      <c r="C670" s="24" t="s">
        <v>2504</v>
      </c>
      <c r="D670" s="23" t="s">
        <v>625</v>
      </c>
      <c r="E670" s="26" t="s">
        <v>553</v>
      </c>
      <c r="F670" s="24" t="s">
        <v>76</v>
      </c>
      <c r="G670" s="24" t="s">
        <v>939</v>
      </c>
      <c r="H670" s="25" t="n">
        <v>64.25</v>
      </c>
      <c r="I670" s="25"/>
      <c r="J670" s="58"/>
      <c r="K670" s="23" t="s">
        <v>2529</v>
      </c>
      <c r="L670" s="24" t="s">
        <v>2256</v>
      </c>
      <c r="M670" s="24" t="s">
        <v>2530</v>
      </c>
      <c r="N670" s="26" t="s">
        <v>553</v>
      </c>
      <c r="O670" s="24"/>
      <c r="P670" s="24" t="s">
        <v>93</v>
      </c>
      <c r="Q670" s="24" t="s">
        <v>963</v>
      </c>
      <c r="R670" s="73" t="s">
        <v>95</v>
      </c>
      <c r="S670" s="0" t="n">
        <f aca="false">IF(Recherche!$B$4="",0,IF(ISNUMBER(SEARCH(Recherche!$B$4,D670))+ISNUMBER(SEARCH(Recherche!$B$4,K670))&gt;0,1,0))</f>
        <v>0</v>
      </c>
      <c r="T670" s="0" t="str">
        <f aca="false">IF(S670=1,SUM($S$2:S670),"")</f>
        <v/>
      </c>
    </row>
    <row r="671" customFormat="false" ht="15" hidden="false" customHeight="false" outlineLevel="0" collapsed="false">
      <c r="A671" s="20" t="s">
        <v>2531</v>
      </c>
      <c r="B671" s="20" t="s">
        <v>64</v>
      </c>
      <c r="C671" s="20" t="s">
        <v>2504</v>
      </c>
      <c r="D671" s="19" t="s">
        <v>627</v>
      </c>
      <c r="E671" s="22" t="s">
        <v>553</v>
      </c>
      <c r="F671" s="74" t="s">
        <v>81</v>
      </c>
      <c r="G671" s="74" t="s">
        <v>979</v>
      </c>
      <c r="H671" s="75" t="n">
        <v>7.51</v>
      </c>
      <c r="I671" s="21" t="n">
        <v>7.91</v>
      </c>
      <c r="J671" s="52" t="n">
        <v>5.1</v>
      </c>
      <c r="K671" s="19" t="s">
        <v>2532</v>
      </c>
      <c r="L671" s="20" t="s">
        <v>2533</v>
      </c>
      <c r="M671" s="20" t="s">
        <v>2534</v>
      </c>
      <c r="N671" s="22" t="s">
        <v>91</v>
      </c>
      <c r="O671" s="20" t="s">
        <v>949</v>
      </c>
      <c r="P671" s="20" t="s">
        <v>119</v>
      </c>
      <c r="Q671" s="20" t="s">
        <v>1007</v>
      </c>
      <c r="R671" s="76" t="s">
        <v>95</v>
      </c>
      <c r="S671" s="0" t="n">
        <f aca="false">IF(Recherche!$B$4="",0,IF(ISNUMBER(SEARCH(Recherche!$B$4,D671))+ISNUMBER(SEARCH(Recherche!$B$4,K671))&gt;0,1,0))</f>
        <v>0</v>
      </c>
      <c r="T671" s="0" t="str">
        <f aca="false">IF(S671=1,SUM($S$2:S671),"")</f>
        <v/>
      </c>
    </row>
    <row r="672" customFormat="false" ht="15" hidden="false" customHeight="false" outlineLevel="0" collapsed="false">
      <c r="A672" s="24" t="s">
        <v>2531</v>
      </c>
      <c r="B672" s="24" t="s">
        <v>64</v>
      </c>
      <c r="C672" s="24" t="s">
        <v>2504</v>
      </c>
      <c r="D672" s="23" t="s">
        <v>627</v>
      </c>
      <c r="E672" s="26" t="s">
        <v>553</v>
      </c>
      <c r="F672" s="24" t="s">
        <v>76</v>
      </c>
      <c r="G672" s="24" t="s">
        <v>939</v>
      </c>
      <c r="H672" s="25" t="n">
        <v>13.54</v>
      </c>
      <c r="I672" s="25"/>
      <c r="J672" s="58"/>
      <c r="K672" s="23" t="s">
        <v>628</v>
      </c>
      <c r="L672" s="24" t="s">
        <v>2256</v>
      </c>
      <c r="M672" s="24" t="s">
        <v>2535</v>
      </c>
      <c r="N672" s="26" t="s">
        <v>553</v>
      </c>
      <c r="O672" s="24"/>
      <c r="P672" s="24" t="s">
        <v>93</v>
      </c>
      <c r="Q672" s="24" t="s">
        <v>942</v>
      </c>
      <c r="R672" s="73" t="s">
        <v>95</v>
      </c>
      <c r="S672" s="0" t="n">
        <f aca="false">IF(Recherche!$B$4="",0,IF(ISNUMBER(SEARCH(Recherche!$B$4,D672))+ISNUMBER(SEARCH(Recherche!$B$4,K672))&gt;0,1,0))</f>
        <v>0</v>
      </c>
      <c r="T672" s="0" t="str">
        <f aca="false">IF(S672=1,SUM($S$2:S672),"")</f>
        <v/>
      </c>
    </row>
    <row r="673" customFormat="false" ht="23.85" hidden="false" customHeight="false" outlineLevel="0" collapsed="false">
      <c r="A673" s="20" t="s">
        <v>2531</v>
      </c>
      <c r="B673" s="20" t="s">
        <v>64</v>
      </c>
      <c r="C673" s="20" t="s">
        <v>2504</v>
      </c>
      <c r="D673" s="19" t="s">
        <v>627</v>
      </c>
      <c r="E673" s="22" t="s">
        <v>553</v>
      </c>
      <c r="F673" s="20" t="s">
        <v>80</v>
      </c>
      <c r="G673" s="20" t="s">
        <v>939</v>
      </c>
      <c r="H673" s="21" t="n">
        <v>15.9</v>
      </c>
      <c r="I673" s="21"/>
      <c r="J673" s="52"/>
      <c r="K673" s="19" t="s">
        <v>2536</v>
      </c>
      <c r="L673" s="20"/>
      <c r="M673" s="20" t="s">
        <v>2537</v>
      </c>
      <c r="N673" s="22" t="s">
        <v>91</v>
      </c>
      <c r="O673" s="20"/>
      <c r="P673" s="20" t="s">
        <v>303</v>
      </c>
      <c r="Q673" s="20" t="s">
        <v>942</v>
      </c>
      <c r="R673" s="76" t="s">
        <v>95</v>
      </c>
      <c r="S673" s="0" t="n">
        <f aca="false">IF(Recherche!$B$4="",0,IF(ISNUMBER(SEARCH(Recherche!$B$4,D673))+ISNUMBER(SEARCH(Recherche!$B$4,K673))&gt;0,1,0))</f>
        <v>0</v>
      </c>
      <c r="T673" s="0" t="str">
        <f aca="false">IF(S673=1,SUM($S$2:S673),"")</f>
        <v/>
      </c>
    </row>
    <row r="674" customFormat="false" ht="15" hidden="false" customHeight="false" outlineLevel="0" collapsed="false">
      <c r="A674" s="24" t="s">
        <v>2538</v>
      </c>
      <c r="B674" s="24" t="s">
        <v>64</v>
      </c>
      <c r="C674" s="24" t="s">
        <v>2504</v>
      </c>
      <c r="D674" s="23" t="s">
        <v>629</v>
      </c>
      <c r="E674" s="26" t="s">
        <v>188</v>
      </c>
      <c r="F674" s="24" t="s">
        <v>76</v>
      </c>
      <c r="G674" s="24" t="s">
        <v>939</v>
      </c>
      <c r="H674" s="25" t="n">
        <v>3.24</v>
      </c>
      <c r="I674" s="25"/>
      <c r="J674" s="58"/>
      <c r="K674" s="23" t="s">
        <v>630</v>
      </c>
      <c r="L674" s="24" t="s">
        <v>2533</v>
      </c>
      <c r="M674" s="24" t="s">
        <v>2539</v>
      </c>
      <c r="N674" s="26" t="s">
        <v>188</v>
      </c>
      <c r="O674" s="24" t="s">
        <v>2540</v>
      </c>
      <c r="P674" s="24" t="s">
        <v>93</v>
      </c>
      <c r="Q674" s="24" t="s">
        <v>963</v>
      </c>
      <c r="R674" s="73" t="s">
        <v>95</v>
      </c>
      <c r="S674" s="0" t="n">
        <f aca="false">IF(Recherche!$B$4="",0,IF(ISNUMBER(SEARCH(Recherche!$B$4,D674))+ISNUMBER(SEARCH(Recherche!$B$4,K674))&gt;0,1,0))</f>
        <v>0</v>
      </c>
      <c r="T674" s="0" t="str">
        <f aca="false">IF(S674=1,SUM($S$2:S674),"")</f>
        <v/>
      </c>
    </row>
    <row r="675" customFormat="false" ht="23.85" hidden="false" customHeight="false" outlineLevel="0" collapsed="false">
      <c r="A675" s="20" t="s">
        <v>2538</v>
      </c>
      <c r="B675" s="20" t="s">
        <v>64</v>
      </c>
      <c r="C675" s="20" t="s">
        <v>2504</v>
      </c>
      <c r="D675" s="19" t="s">
        <v>629</v>
      </c>
      <c r="E675" s="22" t="s">
        <v>188</v>
      </c>
      <c r="F675" s="20" t="s">
        <v>80</v>
      </c>
      <c r="G675" s="20" t="s">
        <v>939</v>
      </c>
      <c r="H675" s="21" t="n">
        <v>14.62</v>
      </c>
      <c r="I675" s="21"/>
      <c r="J675" s="52"/>
      <c r="K675" s="19" t="s">
        <v>2541</v>
      </c>
      <c r="L675" s="20"/>
      <c r="M675" s="20" t="s">
        <v>2542</v>
      </c>
      <c r="N675" s="22" t="s">
        <v>91</v>
      </c>
      <c r="O675" s="20"/>
      <c r="P675" s="20" t="s">
        <v>303</v>
      </c>
      <c r="Q675" s="20" t="s">
        <v>963</v>
      </c>
      <c r="R675" s="76" t="s">
        <v>95</v>
      </c>
      <c r="S675" s="0" t="n">
        <f aca="false">IF(Recherche!$B$4="",0,IF(ISNUMBER(SEARCH(Recherche!$B$4,D675))+ISNUMBER(SEARCH(Recherche!$B$4,K675))&gt;0,1,0))</f>
        <v>0</v>
      </c>
      <c r="T675" s="0" t="str">
        <f aca="false">IF(S675=1,SUM($S$2:S675),"")</f>
        <v/>
      </c>
    </row>
    <row r="676" customFormat="false" ht="23.85" hidden="false" customHeight="false" outlineLevel="0" collapsed="false">
      <c r="A676" s="24" t="s">
        <v>2538</v>
      </c>
      <c r="B676" s="24" t="s">
        <v>64</v>
      </c>
      <c r="C676" s="24" t="s">
        <v>2504</v>
      </c>
      <c r="D676" s="23" t="s">
        <v>629</v>
      </c>
      <c r="E676" s="26" t="s">
        <v>188</v>
      </c>
      <c r="F676" s="74" t="s">
        <v>81</v>
      </c>
      <c r="G676" s="74" t="s">
        <v>979</v>
      </c>
      <c r="H676" s="75" t="n">
        <v>29.3</v>
      </c>
      <c r="I676" s="25" t="n">
        <v>30.85</v>
      </c>
      <c r="J676" s="58" t="n">
        <v>5</v>
      </c>
      <c r="K676" s="23" t="s">
        <v>2543</v>
      </c>
      <c r="L676" s="24" t="s">
        <v>2544</v>
      </c>
      <c r="M676" s="24" t="s">
        <v>2545</v>
      </c>
      <c r="N676" s="26" t="s">
        <v>1216</v>
      </c>
      <c r="O676" s="24" t="s">
        <v>1216</v>
      </c>
      <c r="P676" s="24" t="s">
        <v>169</v>
      </c>
      <c r="Q676" s="24" t="s">
        <v>1007</v>
      </c>
      <c r="R676" s="73" t="s">
        <v>95</v>
      </c>
      <c r="S676" s="0" t="n">
        <f aca="false">IF(Recherche!$B$4="",0,IF(ISNUMBER(SEARCH(Recherche!$B$4,D676))+ISNUMBER(SEARCH(Recherche!$B$4,K676))&gt;0,1,0))</f>
        <v>0</v>
      </c>
      <c r="T676" s="0" t="str">
        <f aca="false">IF(S676=1,SUM($S$2:S676),"")</f>
        <v/>
      </c>
    </row>
    <row r="677" customFormat="false" ht="23.85" hidden="false" customHeight="false" outlineLevel="0" collapsed="false">
      <c r="A677" s="20" t="s">
        <v>2546</v>
      </c>
      <c r="B677" s="20" t="s">
        <v>64</v>
      </c>
      <c r="C677" s="20" t="s">
        <v>2504</v>
      </c>
      <c r="D677" s="19" t="s">
        <v>631</v>
      </c>
      <c r="E677" s="22" t="s">
        <v>493</v>
      </c>
      <c r="F677" s="20" t="s">
        <v>80</v>
      </c>
      <c r="G677" s="20" t="s">
        <v>939</v>
      </c>
      <c r="H677" s="21" t="n">
        <v>16.56</v>
      </c>
      <c r="I677" s="21"/>
      <c r="J677" s="52"/>
      <c r="K677" s="19" t="s">
        <v>632</v>
      </c>
      <c r="L677" s="20"/>
      <c r="M677" s="20" t="s">
        <v>2547</v>
      </c>
      <c r="N677" s="22" t="s">
        <v>2209</v>
      </c>
      <c r="O677" s="20"/>
      <c r="P677" s="20" t="s">
        <v>303</v>
      </c>
      <c r="Q677" s="20" t="s">
        <v>942</v>
      </c>
      <c r="R677" s="76" t="s">
        <v>95</v>
      </c>
      <c r="S677" s="0" t="n">
        <f aca="false">IF(Recherche!$B$4="",0,IF(ISNUMBER(SEARCH(Recherche!$B$4,D677))+ISNUMBER(SEARCH(Recherche!$B$4,K677))&gt;0,1,0))</f>
        <v>0</v>
      </c>
      <c r="T677" s="0" t="str">
        <f aca="false">IF(S677=1,SUM($S$2:S677),"")</f>
        <v/>
      </c>
    </row>
    <row r="678" customFormat="false" ht="23.85" hidden="false" customHeight="false" outlineLevel="0" collapsed="false">
      <c r="A678" s="24" t="s">
        <v>2546</v>
      </c>
      <c r="B678" s="24" t="s">
        <v>64</v>
      </c>
      <c r="C678" s="24" t="s">
        <v>2504</v>
      </c>
      <c r="D678" s="23" t="s">
        <v>631</v>
      </c>
      <c r="E678" s="26" t="s">
        <v>493</v>
      </c>
      <c r="F678" s="74" t="s">
        <v>81</v>
      </c>
      <c r="G678" s="74" t="s">
        <v>979</v>
      </c>
      <c r="H678" s="75" t="n">
        <v>20</v>
      </c>
      <c r="I678" s="25" t="n">
        <v>22.17</v>
      </c>
      <c r="J678" s="58" t="n">
        <v>9.8</v>
      </c>
      <c r="K678" s="23" t="s">
        <v>2548</v>
      </c>
      <c r="L678" s="24" t="s">
        <v>2549</v>
      </c>
      <c r="M678" s="24" t="s">
        <v>2550</v>
      </c>
      <c r="N678" s="26" t="s">
        <v>91</v>
      </c>
      <c r="O678" s="24" t="s">
        <v>949</v>
      </c>
      <c r="P678" s="24" t="s">
        <v>169</v>
      </c>
      <c r="Q678" s="24" t="s">
        <v>1007</v>
      </c>
      <c r="R678" s="73" t="s">
        <v>95</v>
      </c>
      <c r="S678" s="0" t="n">
        <f aca="false">IF(Recherche!$B$4="",0,IF(ISNUMBER(SEARCH(Recherche!$B$4,D678))+ISNUMBER(SEARCH(Recherche!$B$4,K678))&gt;0,1,0))</f>
        <v>0</v>
      </c>
      <c r="T678" s="0" t="str">
        <f aca="false">IF(S678=1,SUM($S$2:S678),"")</f>
        <v/>
      </c>
    </row>
    <row r="679" customFormat="false" ht="23.85" hidden="false" customHeight="false" outlineLevel="0" collapsed="false">
      <c r="A679" s="20" t="s">
        <v>2546</v>
      </c>
      <c r="B679" s="20" t="s">
        <v>64</v>
      </c>
      <c r="C679" s="20" t="s">
        <v>2504</v>
      </c>
      <c r="D679" s="19" t="s">
        <v>631</v>
      </c>
      <c r="E679" s="22" t="s">
        <v>493</v>
      </c>
      <c r="F679" s="74" t="s">
        <v>79</v>
      </c>
      <c r="G679" s="74" t="s">
        <v>943</v>
      </c>
      <c r="H679" s="75" t="n">
        <v>89.98</v>
      </c>
      <c r="I679" s="21"/>
      <c r="J679" s="52"/>
      <c r="K679" s="19" t="s">
        <v>2551</v>
      </c>
      <c r="L679" s="20"/>
      <c r="M679" s="20" t="s">
        <v>2552</v>
      </c>
      <c r="N679" s="22" t="s">
        <v>2285</v>
      </c>
      <c r="O679" s="20"/>
      <c r="P679" s="20" t="s">
        <v>313</v>
      </c>
      <c r="Q679" s="20" t="s">
        <v>1387</v>
      </c>
      <c r="R679" s="76" t="s">
        <v>95</v>
      </c>
      <c r="S679" s="0" t="n">
        <f aca="false">IF(Recherche!$B$4="",0,IF(ISNUMBER(SEARCH(Recherche!$B$4,D679))+ISNUMBER(SEARCH(Recherche!$B$4,K679))&gt;0,1,0))</f>
        <v>0</v>
      </c>
      <c r="T679" s="0" t="str">
        <f aca="false">IF(S679=1,SUM($S$2:S679),"")</f>
        <v/>
      </c>
    </row>
    <row r="680" customFormat="false" ht="23.85" hidden="false" customHeight="false" outlineLevel="0" collapsed="false">
      <c r="A680" s="24" t="s">
        <v>2553</v>
      </c>
      <c r="B680" s="24" t="s">
        <v>64</v>
      </c>
      <c r="C680" s="24" t="s">
        <v>2504</v>
      </c>
      <c r="D680" s="23" t="s">
        <v>633</v>
      </c>
      <c r="E680" s="26" t="s">
        <v>634</v>
      </c>
      <c r="F680" s="24" t="s">
        <v>80</v>
      </c>
      <c r="G680" s="24" t="s">
        <v>939</v>
      </c>
      <c r="H680" s="25" t="n">
        <v>148.73</v>
      </c>
      <c r="I680" s="25"/>
      <c r="J680" s="58"/>
      <c r="K680" s="23" t="s">
        <v>635</v>
      </c>
      <c r="L680" s="24"/>
      <c r="M680" s="24" t="s">
        <v>2554</v>
      </c>
      <c r="N680" s="26" t="s">
        <v>634</v>
      </c>
      <c r="O680" s="24" t="s">
        <v>2555</v>
      </c>
      <c r="P680" s="24" t="s">
        <v>303</v>
      </c>
      <c r="Q680" s="24" t="s">
        <v>1085</v>
      </c>
      <c r="R680" s="73" t="s">
        <v>95</v>
      </c>
      <c r="S680" s="0" t="n">
        <f aca="false">IF(Recherche!$B$4="",0,IF(ISNUMBER(SEARCH(Recherche!$B$4,D680))+ISNUMBER(SEARCH(Recherche!$B$4,K680))&gt;0,1,0))</f>
        <v>0</v>
      </c>
      <c r="T680" s="0" t="str">
        <f aca="false">IF(S680=1,SUM($S$2:S680),"")</f>
        <v/>
      </c>
    </row>
    <row r="681" customFormat="false" ht="23.85" hidden="false" customHeight="false" outlineLevel="0" collapsed="false">
      <c r="A681" s="20" t="s">
        <v>2553</v>
      </c>
      <c r="B681" s="20" t="s">
        <v>64</v>
      </c>
      <c r="C681" s="20" t="s">
        <v>2504</v>
      </c>
      <c r="D681" s="19" t="s">
        <v>633</v>
      </c>
      <c r="E681" s="22" t="s">
        <v>634</v>
      </c>
      <c r="F681" s="74" t="s">
        <v>79</v>
      </c>
      <c r="G681" s="74" t="s">
        <v>943</v>
      </c>
      <c r="H681" s="75" t="n">
        <v>235.66</v>
      </c>
      <c r="I681" s="21"/>
      <c r="J681" s="52"/>
      <c r="K681" s="19" t="s">
        <v>2556</v>
      </c>
      <c r="L681" s="20"/>
      <c r="M681" s="20" t="s">
        <v>2557</v>
      </c>
      <c r="N681" s="22" t="s">
        <v>91</v>
      </c>
      <c r="O681" s="20"/>
      <c r="P681" s="20" t="s">
        <v>313</v>
      </c>
      <c r="Q681" s="20" t="s">
        <v>1016</v>
      </c>
      <c r="R681" s="76"/>
      <c r="S681" s="0" t="n">
        <f aca="false">IF(Recherche!$B$4="",0,IF(ISNUMBER(SEARCH(Recherche!$B$4,D681))+ISNUMBER(SEARCH(Recherche!$B$4,K681))&gt;0,1,0))</f>
        <v>0</v>
      </c>
      <c r="T681" s="0" t="str">
        <f aca="false">IF(S681=1,SUM($S$2:S681),"")</f>
        <v/>
      </c>
    </row>
    <row r="682" customFormat="false" ht="15" hidden="false" customHeight="false" outlineLevel="0" collapsed="false">
      <c r="A682" s="24" t="s">
        <v>2558</v>
      </c>
      <c r="B682" s="24" t="s">
        <v>64</v>
      </c>
      <c r="C682" s="24" t="s">
        <v>2559</v>
      </c>
      <c r="D682" s="23" t="s">
        <v>636</v>
      </c>
      <c r="E682" s="26" t="s">
        <v>493</v>
      </c>
      <c r="F682" s="24" t="s">
        <v>76</v>
      </c>
      <c r="G682" s="24" t="s">
        <v>939</v>
      </c>
      <c r="H682" s="25" t="n">
        <v>7.69</v>
      </c>
      <c r="I682" s="25"/>
      <c r="J682" s="58"/>
      <c r="K682" s="23" t="s">
        <v>637</v>
      </c>
      <c r="L682" s="24" t="s">
        <v>2560</v>
      </c>
      <c r="M682" s="24" t="s">
        <v>2561</v>
      </c>
      <c r="N682" s="26" t="s">
        <v>493</v>
      </c>
      <c r="O682" s="24"/>
      <c r="P682" s="24" t="s">
        <v>93</v>
      </c>
      <c r="Q682" s="24" t="s">
        <v>942</v>
      </c>
      <c r="R682" s="73" t="s">
        <v>95</v>
      </c>
      <c r="S682" s="0" t="n">
        <f aca="false">IF(Recherche!$B$4="",0,IF(ISNUMBER(SEARCH(Recherche!$B$4,D682))+ISNUMBER(SEARCH(Recherche!$B$4,K682))&gt;0,1,0))</f>
        <v>0</v>
      </c>
      <c r="T682" s="0" t="str">
        <f aca="false">IF(S682=1,SUM($S$2:S682),"")</f>
        <v/>
      </c>
    </row>
    <row r="683" customFormat="false" ht="23.85" hidden="false" customHeight="false" outlineLevel="0" collapsed="false">
      <c r="A683" s="20" t="s">
        <v>2558</v>
      </c>
      <c r="B683" s="20" t="s">
        <v>64</v>
      </c>
      <c r="C683" s="20" t="s">
        <v>2559</v>
      </c>
      <c r="D683" s="19" t="s">
        <v>636</v>
      </c>
      <c r="E683" s="22" t="s">
        <v>493</v>
      </c>
      <c r="F683" s="74" t="s">
        <v>79</v>
      </c>
      <c r="G683" s="74" t="s">
        <v>943</v>
      </c>
      <c r="H683" s="75" t="n">
        <v>9.44</v>
      </c>
      <c r="I683" s="21"/>
      <c r="J683" s="52"/>
      <c r="K683" s="19" t="s">
        <v>2562</v>
      </c>
      <c r="L683" s="20"/>
      <c r="M683" s="20" t="s">
        <v>2563</v>
      </c>
      <c r="N683" s="22" t="s">
        <v>2204</v>
      </c>
      <c r="O683" s="20"/>
      <c r="P683" s="20" t="s">
        <v>313</v>
      </c>
      <c r="Q683" s="20" t="s">
        <v>1387</v>
      </c>
      <c r="R683" s="76" t="s">
        <v>95</v>
      </c>
      <c r="S683" s="0" t="n">
        <f aca="false">IF(Recherche!$B$4="",0,IF(ISNUMBER(SEARCH(Recherche!$B$4,D683))+ISNUMBER(SEARCH(Recherche!$B$4,K683))&gt;0,1,0))</f>
        <v>0</v>
      </c>
      <c r="T683" s="0" t="str">
        <f aca="false">IF(S683=1,SUM($S$2:S683),"")</f>
        <v/>
      </c>
    </row>
    <row r="684" customFormat="false" ht="23.85" hidden="false" customHeight="false" outlineLevel="0" collapsed="false">
      <c r="A684" s="24" t="s">
        <v>2558</v>
      </c>
      <c r="B684" s="24" t="s">
        <v>64</v>
      </c>
      <c r="C684" s="24" t="s">
        <v>2559</v>
      </c>
      <c r="D684" s="23" t="s">
        <v>636</v>
      </c>
      <c r="E684" s="26" t="s">
        <v>493</v>
      </c>
      <c r="F684" s="74" t="s">
        <v>81</v>
      </c>
      <c r="G684" s="74" t="s">
        <v>979</v>
      </c>
      <c r="H684" s="75" t="n">
        <v>15.63</v>
      </c>
      <c r="I684" s="25" t="n">
        <v>16.46</v>
      </c>
      <c r="J684" s="58" t="n">
        <v>5</v>
      </c>
      <c r="K684" s="23" t="s">
        <v>2564</v>
      </c>
      <c r="L684" s="24" t="s">
        <v>2565</v>
      </c>
      <c r="M684" s="24" t="s">
        <v>2566</v>
      </c>
      <c r="N684" s="26" t="s">
        <v>91</v>
      </c>
      <c r="O684" s="24" t="s">
        <v>949</v>
      </c>
      <c r="P684" s="24" t="s">
        <v>169</v>
      </c>
      <c r="Q684" s="24" t="s">
        <v>1007</v>
      </c>
      <c r="R684" s="73" t="s">
        <v>95</v>
      </c>
      <c r="S684" s="0" t="n">
        <f aca="false">IF(Recherche!$B$4="",0,IF(ISNUMBER(SEARCH(Recherche!$B$4,D684))+ISNUMBER(SEARCH(Recherche!$B$4,K684))&gt;0,1,0))</f>
        <v>0</v>
      </c>
      <c r="T684" s="0" t="str">
        <f aca="false">IF(S684=1,SUM($S$2:S684),"")</f>
        <v/>
      </c>
    </row>
    <row r="685" customFormat="false" ht="35.05" hidden="false" customHeight="false" outlineLevel="0" collapsed="false">
      <c r="A685" s="20" t="s">
        <v>2558</v>
      </c>
      <c r="B685" s="20" t="s">
        <v>64</v>
      </c>
      <c r="C685" s="20" t="s">
        <v>2559</v>
      </c>
      <c r="D685" s="19" t="s">
        <v>636</v>
      </c>
      <c r="E685" s="22" t="s">
        <v>493</v>
      </c>
      <c r="F685" s="20" t="s">
        <v>80</v>
      </c>
      <c r="G685" s="20" t="s">
        <v>939</v>
      </c>
      <c r="H685" s="21" t="n">
        <v>19.72</v>
      </c>
      <c r="I685" s="21"/>
      <c r="J685" s="52"/>
      <c r="K685" s="19" t="s">
        <v>2567</v>
      </c>
      <c r="L685" s="20"/>
      <c r="M685" s="20" t="s">
        <v>2568</v>
      </c>
      <c r="N685" s="22" t="s">
        <v>2209</v>
      </c>
      <c r="O685" s="20"/>
      <c r="P685" s="20" t="s">
        <v>303</v>
      </c>
      <c r="Q685" s="20" t="s">
        <v>942</v>
      </c>
      <c r="R685" s="76" t="s">
        <v>95</v>
      </c>
      <c r="S685" s="0" t="n">
        <f aca="false">IF(Recherche!$B$4="",0,IF(ISNUMBER(SEARCH(Recherche!$B$4,D685))+ISNUMBER(SEARCH(Recherche!$B$4,K685))&gt;0,1,0))</f>
        <v>0</v>
      </c>
      <c r="T685" s="0" t="str">
        <f aca="false">IF(S685=1,SUM($S$2:S685),"")</f>
        <v/>
      </c>
    </row>
    <row r="686" customFormat="false" ht="23.85" hidden="false" customHeight="false" outlineLevel="0" collapsed="false">
      <c r="A686" s="24" t="s">
        <v>2569</v>
      </c>
      <c r="B686" s="24" t="s">
        <v>64</v>
      </c>
      <c r="C686" s="24" t="s">
        <v>2559</v>
      </c>
      <c r="D686" s="23" t="s">
        <v>638</v>
      </c>
      <c r="E686" s="26" t="s">
        <v>493</v>
      </c>
      <c r="F686" s="74" t="s">
        <v>81</v>
      </c>
      <c r="G686" s="74" t="s">
        <v>979</v>
      </c>
      <c r="H686" s="75" t="n">
        <v>9.05</v>
      </c>
      <c r="I686" s="25" t="n">
        <v>9.96</v>
      </c>
      <c r="J686" s="58" t="n">
        <v>9.1</v>
      </c>
      <c r="K686" s="23" t="s">
        <v>639</v>
      </c>
      <c r="L686" s="24" t="s">
        <v>2377</v>
      </c>
      <c r="M686" s="24" t="s">
        <v>2570</v>
      </c>
      <c r="N686" s="26" t="s">
        <v>2213</v>
      </c>
      <c r="O686" s="24" t="s">
        <v>1056</v>
      </c>
      <c r="P686" s="24" t="s">
        <v>169</v>
      </c>
      <c r="Q686" s="24" t="s">
        <v>1007</v>
      </c>
      <c r="R686" s="73" t="s">
        <v>95</v>
      </c>
      <c r="S686" s="0" t="n">
        <f aca="false">IF(Recherche!$B$4="",0,IF(ISNUMBER(SEARCH(Recherche!$B$4,D686))+ISNUMBER(SEARCH(Recherche!$B$4,K686))&gt;0,1,0))</f>
        <v>0</v>
      </c>
      <c r="T686" s="0" t="str">
        <f aca="false">IF(S686=1,SUM($S$2:S686),"")</f>
        <v/>
      </c>
    </row>
    <row r="687" customFormat="false" ht="23.85" hidden="false" customHeight="false" outlineLevel="0" collapsed="false">
      <c r="A687" s="20" t="s">
        <v>2569</v>
      </c>
      <c r="B687" s="20" t="s">
        <v>64</v>
      </c>
      <c r="C687" s="20" t="s">
        <v>2559</v>
      </c>
      <c r="D687" s="19" t="s">
        <v>638</v>
      </c>
      <c r="E687" s="22" t="s">
        <v>493</v>
      </c>
      <c r="F687" s="74" t="s">
        <v>79</v>
      </c>
      <c r="G687" s="74" t="s">
        <v>943</v>
      </c>
      <c r="H687" s="75" t="n">
        <v>16.28</v>
      </c>
      <c r="I687" s="21"/>
      <c r="J687" s="52"/>
      <c r="K687" s="19" t="s">
        <v>2571</v>
      </c>
      <c r="L687" s="20"/>
      <c r="M687" s="20" t="s">
        <v>2572</v>
      </c>
      <c r="N687" s="22" t="s">
        <v>91</v>
      </c>
      <c r="O687" s="20"/>
      <c r="P687" s="20" t="s">
        <v>313</v>
      </c>
      <c r="Q687" s="20" t="s">
        <v>1387</v>
      </c>
      <c r="R687" s="76" t="s">
        <v>95</v>
      </c>
      <c r="S687" s="0" t="n">
        <f aca="false">IF(Recherche!$B$4="",0,IF(ISNUMBER(SEARCH(Recherche!$B$4,D687))+ISNUMBER(SEARCH(Recherche!$B$4,K687))&gt;0,1,0))</f>
        <v>0</v>
      </c>
      <c r="T687" s="0" t="str">
        <f aca="false">IF(S687=1,SUM($S$2:S687),"")</f>
        <v/>
      </c>
    </row>
    <row r="688" customFormat="false" ht="23.85" hidden="false" customHeight="false" outlineLevel="0" collapsed="false">
      <c r="A688" s="24" t="s">
        <v>2569</v>
      </c>
      <c r="B688" s="24" t="s">
        <v>64</v>
      </c>
      <c r="C688" s="24" t="s">
        <v>2559</v>
      </c>
      <c r="D688" s="23" t="s">
        <v>638</v>
      </c>
      <c r="E688" s="26" t="s">
        <v>493</v>
      </c>
      <c r="F688" s="24" t="s">
        <v>80</v>
      </c>
      <c r="G688" s="24" t="s">
        <v>939</v>
      </c>
      <c r="H688" s="25" t="n">
        <v>56.56</v>
      </c>
      <c r="I688" s="25"/>
      <c r="J688" s="58"/>
      <c r="K688" s="23" t="s">
        <v>2573</v>
      </c>
      <c r="L688" s="24"/>
      <c r="M688" s="24" t="s">
        <v>2574</v>
      </c>
      <c r="N688" s="26" t="s">
        <v>91</v>
      </c>
      <c r="O688" s="24"/>
      <c r="P688" s="24" t="s">
        <v>303</v>
      </c>
      <c r="Q688" s="24" t="s">
        <v>942</v>
      </c>
      <c r="R688" s="73" t="s">
        <v>95</v>
      </c>
      <c r="S688" s="0" t="n">
        <f aca="false">IF(Recherche!$B$4="",0,IF(ISNUMBER(SEARCH(Recherche!$B$4,D688))+ISNUMBER(SEARCH(Recherche!$B$4,K688))&gt;0,1,0))</f>
        <v>0</v>
      </c>
      <c r="T688" s="0" t="str">
        <f aca="false">IF(S688=1,SUM($S$2:S688),"")</f>
        <v/>
      </c>
    </row>
    <row r="689" customFormat="false" ht="23.85" hidden="false" customHeight="false" outlineLevel="0" collapsed="false">
      <c r="A689" s="20" t="s">
        <v>2569</v>
      </c>
      <c r="B689" s="20" t="s">
        <v>64</v>
      </c>
      <c r="C689" s="20" t="s">
        <v>2559</v>
      </c>
      <c r="D689" s="19" t="s">
        <v>638</v>
      </c>
      <c r="E689" s="22" t="s">
        <v>493</v>
      </c>
      <c r="F689" s="74" t="s">
        <v>83</v>
      </c>
      <c r="G689" s="74" t="s">
        <v>943</v>
      </c>
      <c r="H689" s="75" t="n">
        <v>80.9</v>
      </c>
      <c r="I689" s="21"/>
      <c r="J689" s="52"/>
      <c r="K689" s="19" t="s">
        <v>2575</v>
      </c>
      <c r="L689" s="20"/>
      <c r="M689" s="20" t="s">
        <v>2576</v>
      </c>
      <c r="N689" s="22" t="s">
        <v>374</v>
      </c>
      <c r="O689" s="20"/>
      <c r="P689" s="20" t="s">
        <v>534</v>
      </c>
      <c r="Q689" s="20" t="s">
        <v>2164</v>
      </c>
      <c r="R689" s="76" t="s">
        <v>95</v>
      </c>
      <c r="S689" s="0" t="n">
        <f aca="false">IF(Recherche!$B$4="",0,IF(ISNUMBER(SEARCH(Recherche!$B$4,D689))+ISNUMBER(SEARCH(Recherche!$B$4,K689))&gt;0,1,0))</f>
        <v>0</v>
      </c>
      <c r="T689" s="0" t="str">
        <f aca="false">IF(S689=1,SUM($S$2:S689),"")</f>
        <v/>
      </c>
    </row>
    <row r="690" customFormat="false" ht="15" hidden="false" customHeight="false" outlineLevel="0" collapsed="false">
      <c r="A690" s="24" t="s">
        <v>2577</v>
      </c>
      <c r="B690" s="24" t="s">
        <v>64</v>
      </c>
      <c r="C690" s="24" t="s">
        <v>2559</v>
      </c>
      <c r="D690" s="23" t="s">
        <v>640</v>
      </c>
      <c r="E690" s="26" t="s">
        <v>137</v>
      </c>
      <c r="F690" s="74" t="s">
        <v>81</v>
      </c>
      <c r="G690" s="74" t="s">
        <v>979</v>
      </c>
      <c r="H690" s="75" t="n">
        <v>3.89</v>
      </c>
      <c r="I690" s="25" t="n">
        <v>4.27</v>
      </c>
      <c r="J690" s="58" t="n">
        <v>8.9</v>
      </c>
      <c r="K690" s="23" t="s">
        <v>2578</v>
      </c>
      <c r="L690" s="24" t="s">
        <v>2377</v>
      </c>
      <c r="M690" s="24" t="s">
        <v>2579</v>
      </c>
      <c r="N690" s="26" t="s">
        <v>91</v>
      </c>
      <c r="O690" s="24" t="s">
        <v>949</v>
      </c>
      <c r="P690" s="24" t="s">
        <v>169</v>
      </c>
      <c r="Q690" s="24" t="s">
        <v>1016</v>
      </c>
      <c r="R690" s="73" t="s">
        <v>95</v>
      </c>
      <c r="S690" s="0" t="n">
        <f aca="false">IF(Recherche!$B$4="",0,IF(ISNUMBER(SEARCH(Recherche!$B$4,D690))+ISNUMBER(SEARCH(Recherche!$B$4,K690))&gt;0,1,0))</f>
        <v>0</v>
      </c>
      <c r="T690" s="0" t="str">
        <f aca="false">IF(S690=1,SUM($S$2:S690),"")</f>
        <v/>
      </c>
    </row>
    <row r="691" customFormat="false" ht="23.85" hidden="false" customHeight="false" outlineLevel="0" collapsed="false">
      <c r="A691" s="20" t="s">
        <v>2577</v>
      </c>
      <c r="B691" s="20" t="s">
        <v>64</v>
      </c>
      <c r="C691" s="20" t="s">
        <v>2559</v>
      </c>
      <c r="D691" s="19" t="s">
        <v>640</v>
      </c>
      <c r="E691" s="22" t="s">
        <v>137</v>
      </c>
      <c r="F691" s="20" t="s">
        <v>76</v>
      </c>
      <c r="G691" s="20" t="s">
        <v>939</v>
      </c>
      <c r="H691" s="21" t="n">
        <v>4.38</v>
      </c>
      <c r="I691" s="21"/>
      <c r="J691" s="52"/>
      <c r="K691" s="19" t="s">
        <v>641</v>
      </c>
      <c r="L691" s="20" t="s">
        <v>1293</v>
      </c>
      <c r="M691" s="20" t="s">
        <v>2580</v>
      </c>
      <c r="N691" s="22" t="s">
        <v>137</v>
      </c>
      <c r="O691" s="20"/>
      <c r="P691" s="20" t="s">
        <v>93</v>
      </c>
      <c r="Q691" s="20" t="s">
        <v>963</v>
      </c>
      <c r="R691" s="76" t="s">
        <v>95</v>
      </c>
      <c r="S691" s="0" t="n">
        <f aca="false">IF(Recherche!$B$4="",0,IF(ISNUMBER(SEARCH(Recherche!$B$4,D691))+ISNUMBER(SEARCH(Recherche!$B$4,K691))&gt;0,1,0))</f>
        <v>0</v>
      </c>
      <c r="T691" s="0" t="str">
        <f aca="false">IF(S691=1,SUM($S$2:S691),"")</f>
        <v/>
      </c>
    </row>
    <row r="692" customFormat="false" ht="23.85" hidden="false" customHeight="false" outlineLevel="0" collapsed="false">
      <c r="A692" s="24" t="s">
        <v>2577</v>
      </c>
      <c r="B692" s="24" t="s">
        <v>64</v>
      </c>
      <c r="C692" s="24" t="s">
        <v>2559</v>
      </c>
      <c r="D692" s="23" t="s">
        <v>640</v>
      </c>
      <c r="E692" s="26" t="s">
        <v>137</v>
      </c>
      <c r="F692" s="24" t="s">
        <v>80</v>
      </c>
      <c r="G692" s="24" t="s">
        <v>939</v>
      </c>
      <c r="H692" s="25" t="n">
        <v>4.99</v>
      </c>
      <c r="I692" s="25"/>
      <c r="J692" s="58"/>
      <c r="K692" s="23" t="s">
        <v>2581</v>
      </c>
      <c r="L692" s="24"/>
      <c r="M692" s="24" t="s">
        <v>2582</v>
      </c>
      <c r="N692" s="26" t="s">
        <v>1533</v>
      </c>
      <c r="O692" s="24"/>
      <c r="P692" s="24" t="s">
        <v>303</v>
      </c>
      <c r="Q692" s="24" t="s">
        <v>963</v>
      </c>
      <c r="R692" s="73" t="s">
        <v>95</v>
      </c>
      <c r="S692" s="0" t="n">
        <f aca="false">IF(Recherche!$B$4="",0,IF(ISNUMBER(SEARCH(Recherche!$B$4,D692))+ISNUMBER(SEARCH(Recherche!$B$4,K692))&gt;0,1,0))</f>
        <v>0</v>
      </c>
      <c r="T692" s="0" t="str">
        <f aca="false">IF(S692=1,SUM($S$2:S692),"")</f>
        <v/>
      </c>
    </row>
    <row r="693" customFormat="false" ht="15" hidden="false" customHeight="false" outlineLevel="0" collapsed="false">
      <c r="A693" s="20" t="s">
        <v>2577</v>
      </c>
      <c r="B693" s="20" t="s">
        <v>64</v>
      </c>
      <c r="C693" s="20" t="s">
        <v>2559</v>
      </c>
      <c r="D693" s="19" t="s">
        <v>640</v>
      </c>
      <c r="E693" s="22" t="s">
        <v>137</v>
      </c>
      <c r="F693" s="74" t="s">
        <v>79</v>
      </c>
      <c r="G693" s="74" t="s">
        <v>943</v>
      </c>
      <c r="H693" s="75" t="n">
        <v>10.45</v>
      </c>
      <c r="I693" s="21"/>
      <c r="J693" s="52"/>
      <c r="K693" s="19" t="s">
        <v>2583</v>
      </c>
      <c r="L693" s="20"/>
      <c r="M693" s="20" t="s">
        <v>2584</v>
      </c>
      <c r="N693" s="22" t="s">
        <v>91</v>
      </c>
      <c r="O693" s="20"/>
      <c r="P693" s="20" t="s">
        <v>313</v>
      </c>
      <c r="Q693" s="20" t="s">
        <v>1016</v>
      </c>
      <c r="R693" s="76" t="s">
        <v>95</v>
      </c>
      <c r="S693" s="0" t="n">
        <f aca="false">IF(Recherche!$B$4="",0,IF(ISNUMBER(SEARCH(Recherche!$B$4,D693))+ISNUMBER(SEARCH(Recherche!$B$4,K693))&gt;0,1,0))</f>
        <v>0</v>
      </c>
      <c r="T693" s="0" t="str">
        <f aca="false">IF(S693=1,SUM($S$2:S693),"")</f>
        <v/>
      </c>
    </row>
    <row r="694" customFormat="false" ht="23.85" hidden="false" customHeight="false" outlineLevel="0" collapsed="false">
      <c r="A694" s="24" t="s">
        <v>2585</v>
      </c>
      <c r="B694" s="24" t="s">
        <v>64</v>
      </c>
      <c r="C694" s="24" t="s">
        <v>2559</v>
      </c>
      <c r="D694" s="23" t="s">
        <v>642</v>
      </c>
      <c r="E694" s="26" t="s">
        <v>91</v>
      </c>
      <c r="F694" s="74" t="s">
        <v>81</v>
      </c>
      <c r="G694" s="74" t="s">
        <v>979</v>
      </c>
      <c r="H694" s="75" t="n">
        <v>8.32</v>
      </c>
      <c r="I694" s="25" t="n">
        <v>20.45</v>
      </c>
      <c r="J694" s="58" t="n">
        <v>59.3</v>
      </c>
      <c r="K694" s="23" t="s">
        <v>643</v>
      </c>
      <c r="L694" s="24" t="s">
        <v>2036</v>
      </c>
      <c r="M694" s="24" t="s">
        <v>2586</v>
      </c>
      <c r="N694" s="26" t="s">
        <v>91</v>
      </c>
      <c r="O694" s="24" t="s">
        <v>949</v>
      </c>
      <c r="P694" s="24" t="s">
        <v>169</v>
      </c>
      <c r="Q694" s="24" t="s">
        <v>1007</v>
      </c>
      <c r="R694" s="73" t="s">
        <v>95</v>
      </c>
      <c r="S694" s="0" t="n">
        <f aca="false">IF(Recherche!$B$4="",0,IF(ISNUMBER(SEARCH(Recherche!$B$4,D694))+ISNUMBER(SEARCH(Recherche!$B$4,K694))&gt;0,1,0))</f>
        <v>0</v>
      </c>
      <c r="T694" s="0" t="str">
        <f aca="false">IF(S694=1,SUM($S$2:S694),"")</f>
        <v/>
      </c>
    </row>
    <row r="695" customFormat="false" ht="23.85" hidden="false" customHeight="false" outlineLevel="0" collapsed="false">
      <c r="A695" s="20" t="s">
        <v>2585</v>
      </c>
      <c r="B695" s="20" t="s">
        <v>64</v>
      </c>
      <c r="C695" s="20" t="s">
        <v>2559</v>
      </c>
      <c r="D695" s="19" t="s">
        <v>642</v>
      </c>
      <c r="E695" s="22" t="s">
        <v>91</v>
      </c>
      <c r="F695" s="74" t="s">
        <v>79</v>
      </c>
      <c r="G695" s="74" t="s">
        <v>943</v>
      </c>
      <c r="H695" s="75" t="n">
        <v>12.42</v>
      </c>
      <c r="I695" s="21"/>
      <c r="J695" s="52"/>
      <c r="K695" s="19" t="s">
        <v>2587</v>
      </c>
      <c r="L695" s="20"/>
      <c r="M695" s="20" t="s">
        <v>2588</v>
      </c>
      <c r="N695" s="22" t="s">
        <v>91</v>
      </c>
      <c r="O695" s="20"/>
      <c r="P695" s="20" t="s">
        <v>313</v>
      </c>
      <c r="Q695" s="20" t="s">
        <v>1387</v>
      </c>
      <c r="R695" s="76" t="s">
        <v>95</v>
      </c>
      <c r="S695" s="0" t="n">
        <f aca="false">IF(Recherche!$B$4="",0,IF(ISNUMBER(SEARCH(Recherche!$B$4,D695))+ISNUMBER(SEARCH(Recherche!$B$4,K695))&gt;0,1,0))</f>
        <v>0</v>
      </c>
      <c r="T695" s="0" t="str">
        <f aca="false">IF(S695=1,SUM($S$2:S695),"")</f>
        <v/>
      </c>
    </row>
    <row r="696" customFormat="false" ht="15" hidden="false" customHeight="false" outlineLevel="0" collapsed="false">
      <c r="A696" s="24" t="s">
        <v>2585</v>
      </c>
      <c r="B696" s="24" t="s">
        <v>64</v>
      </c>
      <c r="C696" s="24" t="s">
        <v>2559</v>
      </c>
      <c r="D696" s="23" t="s">
        <v>642</v>
      </c>
      <c r="E696" s="26" t="s">
        <v>91</v>
      </c>
      <c r="F696" s="24" t="s">
        <v>76</v>
      </c>
      <c r="G696" s="24" t="s">
        <v>939</v>
      </c>
      <c r="H696" s="25" t="n">
        <v>28.44</v>
      </c>
      <c r="I696" s="25"/>
      <c r="J696" s="58"/>
      <c r="K696" s="23" t="s">
        <v>2589</v>
      </c>
      <c r="L696" s="24" t="s">
        <v>2036</v>
      </c>
      <c r="M696" s="24" t="s">
        <v>2590</v>
      </c>
      <c r="N696" s="26" t="s">
        <v>91</v>
      </c>
      <c r="O696" s="24"/>
      <c r="P696" s="24" t="s">
        <v>93</v>
      </c>
      <c r="Q696" s="24" t="s">
        <v>963</v>
      </c>
      <c r="R696" s="73" t="s">
        <v>95</v>
      </c>
      <c r="S696" s="0" t="n">
        <f aca="false">IF(Recherche!$B$4="",0,IF(ISNUMBER(SEARCH(Recherche!$B$4,D696))+ISNUMBER(SEARCH(Recherche!$B$4,K696))&gt;0,1,0))</f>
        <v>0</v>
      </c>
      <c r="T696" s="0" t="str">
        <f aca="false">IF(S696=1,SUM($S$2:S696),"")</f>
        <v/>
      </c>
    </row>
    <row r="697" customFormat="false" ht="23.85" hidden="false" customHeight="false" outlineLevel="0" collapsed="false">
      <c r="A697" s="20" t="s">
        <v>2585</v>
      </c>
      <c r="B697" s="20" t="s">
        <v>64</v>
      </c>
      <c r="C697" s="20" t="s">
        <v>2559</v>
      </c>
      <c r="D697" s="19" t="s">
        <v>642</v>
      </c>
      <c r="E697" s="22" t="s">
        <v>91</v>
      </c>
      <c r="F697" s="20" t="s">
        <v>80</v>
      </c>
      <c r="G697" s="20" t="s">
        <v>939</v>
      </c>
      <c r="H697" s="21" t="n">
        <v>36.94</v>
      </c>
      <c r="I697" s="21"/>
      <c r="J697" s="52"/>
      <c r="K697" s="19" t="s">
        <v>2591</v>
      </c>
      <c r="L697" s="20"/>
      <c r="M697" s="20" t="s">
        <v>2592</v>
      </c>
      <c r="N697" s="22" t="s">
        <v>91</v>
      </c>
      <c r="O697" s="20"/>
      <c r="P697" s="20" t="s">
        <v>303</v>
      </c>
      <c r="Q697" s="20" t="s">
        <v>942</v>
      </c>
      <c r="R697" s="76" t="s">
        <v>95</v>
      </c>
      <c r="S697" s="0" t="n">
        <f aca="false">IF(Recherche!$B$4="",0,IF(ISNUMBER(SEARCH(Recherche!$B$4,D697))+ISNUMBER(SEARCH(Recherche!$B$4,K697))&gt;0,1,0))</f>
        <v>0</v>
      </c>
      <c r="T697" s="0" t="str">
        <f aca="false">IF(S697=1,SUM($S$2:S697),"")</f>
        <v/>
      </c>
    </row>
    <row r="698" customFormat="false" ht="15" hidden="false" customHeight="false" outlineLevel="0" collapsed="false">
      <c r="A698" s="24" t="s">
        <v>2593</v>
      </c>
      <c r="B698" s="24" t="s">
        <v>64</v>
      </c>
      <c r="C698" s="24" t="s">
        <v>2594</v>
      </c>
      <c r="D698" s="23" t="s">
        <v>644</v>
      </c>
      <c r="E698" s="26" t="s">
        <v>553</v>
      </c>
      <c r="F698" s="74" t="s">
        <v>81</v>
      </c>
      <c r="G698" s="74" t="s">
        <v>979</v>
      </c>
      <c r="H698" s="75" t="n">
        <v>15.75</v>
      </c>
      <c r="I698" s="25" t="n">
        <v>17.5</v>
      </c>
      <c r="J698" s="58" t="n">
        <v>10</v>
      </c>
      <c r="K698" s="23" t="s">
        <v>2595</v>
      </c>
      <c r="L698" s="24" t="s">
        <v>2271</v>
      </c>
      <c r="M698" s="24" t="s">
        <v>2596</v>
      </c>
      <c r="N698" s="26" t="s">
        <v>1700</v>
      </c>
      <c r="O698" s="24" t="s">
        <v>1700</v>
      </c>
      <c r="P698" s="24" t="s">
        <v>119</v>
      </c>
      <c r="Q698" s="24" t="s">
        <v>1007</v>
      </c>
      <c r="R698" s="73" t="s">
        <v>95</v>
      </c>
      <c r="S698" s="0" t="n">
        <f aca="false">IF(Recherche!$B$4="",0,IF(ISNUMBER(SEARCH(Recherche!$B$4,D698))+ISNUMBER(SEARCH(Recherche!$B$4,K698))&gt;0,1,0))</f>
        <v>0</v>
      </c>
      <c r="T698" s="0" t="str">
        <f aca="false">IF(S698=1,SUM($S$2:S698),"")</f>
        <v/>
      </c>
    </row>
    <row r="699" customFormat="false" ht="23.85" hidden="false" customHeight="false" outlineLevel="0" collapsed="false">
      <c r="A699" s="20" t="s">
        <v>2593</v>
      </c>
      <c r="B699" s="20" t="s">
        <v>64</v>
      </c>
      <c r="C699" s="20" t="s">
        <v>2594</v>
      </c>
      <c r="D699" s="19" t="s">
        <v>644</v>
      </c>
      <c r="E699" s="22" t="s">
        <v>553</v>
      </c>
      <c r="F699" s="74" t="s">
        <v>79</v>
      </c>
      <c r="G699" s="74" t="s">
        <v>943</v>
      </c>
      <c r="H699" s="75" t="n">
        <v>15.75</v>
      </c>
      <c r="I699" s="21"/>
      <c r="J699" s="52"/>
      <c r="K699" s="19" t="s">
        <v>645</v>
      </c>
      <c r="L699" s="20"/>
      <c r="M699" s="20" t="s">
        <v>2597</v>
      </c>
      <c r="N699" s="22" t="s">
        <v>553</v>
      </c>
      <c r="O699" s="20"/>
      <c r="P699" s="20" t="s">
        <v>313</v>
      </c>
      <c r="Q699" s="20" t="s">
        <v>1387</v>
      </c>
      <c r="R699" s="76" t="s">
        <v>95</v>
      </c>
      <c r="S699" s="0" t="n">
        <f aca="false">IF(Recherche!$B$4="",0,IF(ISNUMBER(SEARCH(Recherche!$B$4,D699))+ISNUMBER(SEARCH(Recherche!$B$4,K699))&gt;0,1,0))</f>
        <v>0</v>
      </c>
      <c r="T699" s="0" t="str">
        <f aca="false">IF(S699=1,SUM($S$2:S699),"")</f>
        <v/>
      </c>
    </row>
    <row r="700" customFormat="false" ht="23.85" hidden="false" customHeight="false" outlineLevel="0" collapsed="false">
      <c r="A700" s="24" t="s">
        <v>2593</v>
      </c>
      <c r="B700" s="24" t="s">
        <v>64</v>
      </c>
      <c r="C700" s="24" t="s">
        <v>2594</v>
      </c>
      <c r="D700" s="23" t="s">
        <v>644</v>
      </c>
      <c r="E700" s="26" t="s">
        <v>553</v>
      </c>
      <c r="F700" s="24" t="s">
        <v>80</v>
      </c>
      <c r="G700" s="24" t="s">
        <v>939</v>
      </c>
      <c r="H700" s="25" t="n">
        <v>25.9</v>
      </c>
      <c r="I700" s="25"/>
      <c r="J700" s="58"/>
      <c r="K700" s="23" t="s">
        <v>2598</v>
      </c>
      <c r="L700" s="24"/>
      <c r="M700" s="24" t="s">
        <v>2599</v>
      </c>
      <c r="N700" s="26" t="s">
        <v>91</v>
      </c>
      <c r="O700" s="24"/>
      <c r="P700" s="24" t="s">
        <v>303</v>
      </c>
      <c r="Q700" s="24" t="s">
        <v>942</v>
      </c>
      <c r="R700" s="73" t="s">
        <v>95</v>
      </c>
      <c r="S700" s="0" t="n">
        <f aca="false">IF(Recherche!$B$4="",0,IF(ISNUMBER(SEARCH(Recherche!$B$4,D700))+ISNUMBER(SEARCH(Recherche!$B$4,K700))&gt;0,1,0))</f>
        <v>0</v>
      </c>
      <c r="T700" s="0" t="str">
        <f aca="false">IF(S700=1,SUM($S$2:S700),"")</f>
        <v/>
      </c>
    </row>
    <row r="701" customFormat="false" ht="23.85" hidden="false" customHeight="false" outlineLevel="0" collapsed="false">
      <c r="A701" s="20" t="s">
        <v>2600</v>
      </c>
      <c r="B701" s="20" t="s">
        <v>64</v>
      </c>
      <c r="C701" s="20" t="s">
        <v>2594</v>
      </c>
      <c r="D701" s="19" t="s">
        <v>646</v>
      </c>
      <c r="E701" s="22" t="s">
        <v>647</v>
      </c>
      <c r="F701" s="74" t="s">
        <v>81</v>
      </c>
      <c r="G701" s="74" t="s">
        <v>979</v>
      </c>
      <c r="H701" s="75" t="n">
        <v>19.18</v>
      </c>
      <c r="I701" s="21" t="n">
        <v>21.17</v>
      </c>
      <c r="J701" s="52" t="n">
        <v>9.4</v>
      </c>
      <c r="K701" s="19" t="s">
        <v>2601</v>
      </c>
      <c r="L701" s="20" t="s">
        <v>2602</v>
      </c>
      <c r="M701" s="20" t="s">
        <v>2603</v>
      </c>
      <c r="N701" s="22" t="s">
        <v>2213</v>
      </c>
      <c r="O701" s="20" t="s">
        <v>949</v>
      </c>
      <c r="P701" s="20" t="s">
        <v>119</v>
      </c>
      <c r="Q701" s="20" t="s">
        <v>1016</v>
      </c>
      <c r="R701" s="76" t="s">
        <v>95</v>
      </c>
      <c r="S701" s="0" t="n">
        <f aca="false">IF(Recherche!$B$4="",0,IF(ISNUMBER(SEARCH(Recherche!$B$4,D701))+ISNUMBER(SEARCH(Recherche!$B$4,K701))&gt;0,1,0))</f>
        <v>0</v>
      </c>
      <c r="T701" s="0" t="str">
        <f aca="false">IF(S701=1,SUM($S$2:S701),"")</f>
        <v/>
      </c>
    </row>
    <row r="702" customFormat="false" ht="15" hidden="false" customHeight="false" outlineLevel="0" collapsed="false">
      <c r="A702" s="24" t="s">
        <v>2600</v>
      </c>
      <c r="B702" s="24" t="s">
        <v>64</v>
      </c>
      <c r="C702" s="24" t="s">
        <v>2594</v>
      </c>
      <c r="D702" s="23" t="s">
        <v>646</v>
      </c>
      <c r="E702" s="26" t="s">
        <v>647</v>
      </c>
      <c r="F702" s="24" t="s">
        <v>76</v>
      </c>
      <c r="G702" s="24" t="s">
        <v>939</v>
      </c>
      <c r="H702" s="25" t="n">
        <v>23.05</v>
      </c>
      <c r="I702" s="25"/>
      <c r="J702" s="58"/>
      <c r="K702" s="23" t="s">
        <v>648</v>
      </c>
      <c r="L702" s="24" t="s">
        <v>2604</v>
      </c>
      <c r="M702" s="24" t="s">
        <v>2605</v>
      </c>
      <c r="N702" s="26" t="s">
        <v>647</v>
      </c>
      <c r="O702" s="24"/>
      <c r="P702" s="24" t="s">
        <v>93</v>
      </c>
      <c r="Q702" s="24" t="s">
        <v>963</v>
      </c>
      <c r="R702" s="73" t="s">
        <v>95</v>
      </c>
      <c r="S702" s="0" t="n">
        <f aca="false">IF(Recherche!$B$4="",0,IF(ISNUMBER(SEARCH(Recherche!$B$4,D702))+ISNUMBER(SEARCH(Recherche!$B$4,K702))&gt;0,1,0))</f>
        <v>0</v>
      </c>
      <c r="T702" s="0" t="str">
        <f aca="false">IF(S702=1,SUM($S$2:S702),"")</f>
        <v/>
      </c>
    </row>
    <row r="703" customFormat="false" ht="23.85" hidden="false" customHeight="false" outlineLevel="0" collapsed="false">
      <c r="A703" s="20" t="s">
        <v>2600</v>
      </c>
      <c r="B703" s="20" t="s">
        <v>64</v>
      </c>
      <c r="C703" s="20" t="s">
        <v>2594</v>
      </c>
      <c r="D703" s="19" t="s">
        <v>646</v>
      </c>
      <c r="E703" s="22" t="s">
        <v>647</v>
      </c>
      <c r="F703" s="20" t="s">
        <v>80</v>
      </c>
      <c r="G703" s="20" t="s">
        <v>939</v>
      </c>
      <c r="H703" s="21" t="n">
        <v>26.24</v>
      </c>
      <c r="I703" s="21"/>
      <c r="J703" s="52"/>
      <c r="K703" s="19" t="s">
        <v>2606</v>
      </c>
      <c r="L703" s="20"/>
      <c r="M703" s="20" t="s">
        <v>2607</v>
      </c>
      <c r="N703" s="22" t="s">
        <v>91</v>
      </c>
      <c r="O703" s="20"/>
      <c r="P703" s="20" t="s">
        <v>303</v>
      </c>
      <c r="Q703" s="20" t="s">
        <v>963</v>
      </c>
      <c r="R703" s="76" t="s">
        <v>95</v>
      </c>
      <c r="S703" s="0" t="n">
        <f aca="false">IF(Recherche!$B$4="",0,IF(ISNUMBER(SEARCH(Recherche!$B$4,D703))+ISNUMBER(SEARCH(Recherche!$B$4,K703))&gt;0,1,0))</f>
        <v>0</v>
      </c>
      <c r="T703" s="0" t="str">
        <f aca="false">IF(S703=1,SUM($S$2:S703),"")</f>
        <v/>
      </c>
    </row>
    <row r="704" customFormat="false" ht="23.85" hidden="false" customHeight="false" outlineLevel="0" collapsed="false">
      <c r="A704" s="24" t="s">
        <v>2600</v>
      </c>
      <c r="B704" s="24" t="s">
        <v>64</v>
      </c>
      <c r="C704" s="24" t="s">
        <v>2594</v>
      </c>
      <c r="D704" s="23" t="s">
        <v>646</v>
      </c>
      <c r="E704" s="26" t="s">
        <v>647</v>
      </c>
      <c r="F704" s="74" t="s">
        <v>79</v>
      </c>
      <c r="G704" s="74" t="s">
        <v>943</v>
      </c>
      <c r="H704" s="75" t="n">
        <v>133.84</v>
      </c>
      <c r="I704" s="25"/>
      <c r="J704" s="58"/>
      <c r="K704" s="23" t="s">
        <v>2608</v>
      </c>
      <c r="L704" s="24"/>
      <c r="M704" s="24" t="s">
        <v>2609</v>
      </c>
      <c r="N704" s="26" t="s">
        <v>553</v>
      </c>
      <c r="O704" s="24"/>
      <c r="P704" s="24" t="s">
        <v>313</v>
      </c>
      <c r="Q704" s="24" t="s">
        <v>1387</v>
      </c>
      <c r="R704" s="73" t="s">
        <v>95</v>
      </c>
      <c r="S704" s="0" t="n">
        <f aca="false">IF(Recherche!$B$4="",0,IF(ISNUMBER(SEARCH(Recherche!$B$4,D704))+ISNUMBER(SEARCH(Recherche!$B$4,K704))&gt;0,1,0))</f>
        <v>0</v>
      </c>
      <c r="T704" s="0" t="str">
        <f aca="false">IF(S704=1,SUM($S$2:S704),"")</f>
        <v/>
      </c>
    </row>
    <row r="705" customFormat="false" ht="23.85" hidden="false" customHeight="false" outlineLevel="0" collapsed="false">
      <c r="A705" s="20" t="s">
        <v>2610</v>
      </c>
      <c r="B705" s="20" t="s">
        <v>65</v>
      </c>
      <c r="C705" s="20" t="s">
        <v>2611</v>
      </c>
      <c r="D705" s="19" t="s">
        <v>649</v>
      </c>
      <c r="E705" s="22" t="s">
        <v>91</v>
      </c>
      <c r="F705" s="74" t="s">
        <v>81</v>
      </c>
      <c r="G705" s="74" t="s">
        <v>979</v>
      </c>
      <c r="H705" s="75" t="n">
        <v>56.03</v>
      </c>
      <c r="I705" s="21" t="n">
        <v>55.6</v>
      </c>
      <c r="J705" s="52"/>
      <c r="K705" s="19" t="s">
        <v>650</v>
      </c>
      <c r="L705" s="20" t="s">
        <v>2612</v>
      </c>
      <c r="M705" s="20" t="s">
        <v>2613</v>
      </c>
      <c r="N705" s="22" t="s">
        <v>91</v>
      </c>
      <c r="O705" s="20" t="s">
        <v>949</v>
      </c>
      <c r="P705" s="20" t="s">
        <v>119</v>
      </c>
      <c r="Q705" s="20" t="s">
        <v>1007</v>
      </c>
      <c r="R705" s="76" t="s">
        <v>95</v>
      </c>
      <c r="S705" s="0" t="n">
        <f aca="false">IF(Recherche!$B$4="",0,IF(ISNUMBER(SEARCH(Recherche!$B$4,D705))+ISNUMBER(SEARCH(Recherche!$B$4,K705))&gt;0,1,0))</f>
        <v>0</v>
      </c>
      <c r="T705" s="0" t="str">
        <f aca="false">IF(S705=1,SUM($S$2:S705),"")</f>
        <v/>
      </c>
    </row>
    <row r="706" customFormat="false" ht="23.85" hidden="false" customHeight="false" outlineLevel="0" collapsed="false">
      <c r="A706" s="24" t="s">
        <v>2610</v>
      </c>
      <c r="B706" s="24" t="s">
        <v>65</v>
      </c>
      <c r="C706" s="24" t="s">
        <v>2611</v>
      </c>
      <c r="D706" s="23" t="s">
        <v>649</v>
      </c>
      <c r="E706" s="26" t="s">
        <v>91</v>
      </c>
      <c r="F706" s="74" t="s">
        <v>79</v>
      </c>
      <c r="G706" s="74" t="s">
        <v>943</v>
      </c>
      <c r="H706" s="75" t="n">
        <v>68.16</v>
      </c>
      <c r="I706" s="25"/>
      <c r="J706" s="58"/>
      <c r="K706" s="23" t="s">
        <v>2614</v>
      </c>
      <c r="L706" s="24"/>
      <c r="M706" s="24" t="s">
        <v>2615</v>
      </c>
      <c r="N706" s="26" t="s">
        <v>91</v>
      </c>
      <c r="O706" s="24"/>
      <c r="P706" s="24" t="s">
        <v>313</v>
      </c>
      <c r="Q706" s="24" t="s">
        <v>1387</v>
      </c>
      <c r="R706" s="73" t="s">
        <v>95</v>
      </c>
      <c r="S706" s="0" t="n">
        <f aca="false">IF(Recherche!$B$4="",0,IF(ISNUMBER(SEARCH(Recherche!$B$4,D706))+ISNUMBER(SEARCH(Recherche!$B$4,K706))&gt;0,1,0))</f>
        <v>0</v>
      </c>
      <c r="T706" s="0" t="str">
        <f aca="false">IF(S706=1,SUM($S$2:S706),"")</f>
        <v/>
      </c>
    </row>
    <row r="707" customFormat="false" ht="35.05" hidden="false" customHeight="false" outlineLevel="0" collapsed="false">
      <c r="A707" s="20" t="s">
        <v>2610</v>
      </c>
      <c r="B707" s="20" t="s">
        <v>65</v>
      </c>
      <c r="C707" s="20" t="s">
        <v>2611</v>
      </c>
      <c r="D707" s="19" t="s">
        <v>649</v>
      </c>
      <c r="E707" s="22" t="s">
        <v>91</v>
      </c>
      <c r="F707" s="74" t="s">
        <v>83</v>
      </c>
      <c r="G707" s="74" t="s">
        <v>943</v>
      </c>
      <c r="H707" s="75" t="n">
        <v>86.08</v>
      </c>
      <c r="I707" s="21"/>
      <c r="J707" s="52"/>
      <c r="K707" s="19" t="s">
        <v>2616</v>
      </c>
      <c r="L707" s="20"/>
      <c r="M707" s="20" t="s">
        <v>2617</v>
      </c>
      <c r="N707" s="22" t="s">
        <v>91</v>
      </c>
      <c r="O707" s="20"/>
      <c r="P707" s="20" t="s">
        <v>534</v>
      </c>
      <c r="Q707" s="20" t="s">
        <v>2164</v>
      </c>
      <c r="R707" s="76" t="s">
        <v>95</v>
      </c>
      <c r="S707" s="0" t="n">
        <f aca="false">IF(Recherche!$B$4="",0,IF(ISNUMBER(SEARCH(Recherche!$B$4,D707))+ISNUMBER(SEARCH(Recherche!$B$4,K707))&gt;0,1,0))</f>
        <v>0</v>
      </c>
      <c r="T707" s="0" t="str">
        <f aca="false">IF(S707=1,SUM($S$2:S707),"")</f>
        <v/>
      </c>
    </row>
    <row r="708" customFormat="false" ht="23.85" hidden="false" customHeight="false" outlineLevel="0" collapsed="false">
      <c r="A708" s="24" t="s">
        <v>2610</v>
      </c>
      <c r="B708" s="24" t="s">
        <v>65</v>
      </c>
      <c r="C708" s="24" t="s">
        <v>2611</v>
      </c>
      <c r="D708" s="23" t="s">
        <v>649</v>
      </c>
      <c r="E708" s="26" t="s">
        <v>91</v>
      </c>
      <c r="F708" s="24" t="s">
        <v>80</v>
      </c>
      <c r="G708" s="24" t="s">
        <v>939</v>
      </c>
      <c r="H708" s="25" t="n">
        <v>326.7</v>
      </c>
      <c r="I708" s="25"/>
      <c r="J708" s="58"/>
      <c r="K708" s="23" t="s">
        <v>2618</v>
      </c>
      <c r="L708" s="24"/>
      <c r="M708" s="24" t="s">
        <v>2619</v>
      </c>
      <c r="N708" s="26" t="s">
        <v>91</v>
      </c>
      <c r="O708" s="24"/>
      <c r="P708" s="24" t="s">
        <v>303</v>
      </c>
      <c r="Q708" s="24" t="s">
        <v>1085</v>
      </c>
      <c r="R708" s="73" t="s">
        <v>95</v>
      </c>
      <c r="S708" s="0" t="n">
        <f aca="false">IF(Recherche!$B$4="",0,IF(ISNUMBER(SEARCH(Recherche!$B$4,D708))+ISNUMBER(SEARCH(Recherche!$B$4,K708))&gt;0,1,0))</f>
        <v>0</v>
      </c>
      <c r="T708" s="0" t="str">
        <f aca="false">IF(S708=1,SUM($S$2:S708),"")</f>
        <v/>
      </c>
    </row>
    <row r="709" customFormat="false" ht="35.05" hidden="false" customHeight="false" outlineLevel="0" collapsed="false">
      <c r="A709" s="20" t="s">
        <v>2620</v>
      </c>
      <c r="B709" s="20" t="s">
        <v>65</v>
      </c>
      <c r="C709" s="20" t="s">
        <v>2611</v>
      </c>
      <c r="D709" s="19" t="s">
        <v>651</v>
      </c>
      <c r="E709" s="22" t="s">
        <v>91</v>
      </c>
      <c r="F709" s="74" t="s">
        <v>81</v>
      </c>
      <c r="G709" s="74" t="s">
        <v>979</v>
      </c>
      <c r="H709" s="75" t="n">
        <v>98.43</v>
      </c>
      <c r="I709" s="21" t="n">
        <v>108.89</v>
      </c>
      <c r="J709" s="52" t="n">
        <v>9.6</v>
      </c>
      <c r="K709" s="19" t="s">
        <v>652</v>
      </c>
      <c r="L709" s="20" t="s">
        <v>1987</v>
      </c>
      <c r="M709" s="20" t="s">
        <v>2621</v>
      </c>
      <c r="N709" s="22" t="s">
        <v>91</v>
      </c>
      <c r="O709" s="20" t="s">
        <v>949</v>
      </c>
      <c r="P709" s="20" t="s">
        <v>169</v>
      </c>
      <c r="Q709" s="20" t="s">
        <v>1016</v>
      </c>
      <c r="R709" s="76" t="s">
        <v>95</v>
      </c>
      <c r="S709" s="0" t="n">
        <f aca="false">IF(Recherche!$B$4="",0,IF(ISNUMBER(SEARCH(Recherche!$B$4,D709))+ISNUMBER(SEARCH(Recherche!$B$4,K709))&gt;0,1,0))</f>
        <v>0</v>
      </c>
      <c r="T709" s="0" t="str">
        <f aca="false">IF(S709=1,SUM($S$2:S709),"")</f>
        <v/>
      </c>
    </row>
    <row r="710" customFormat="false" ht="23.85" hidden="false" customHeight="false" outlineLevel="0" collapsed="false">
      <c r="A710" s="24" t="s">
        <v>2620</v>
      </c>
      <c r="B710" s="24" t="s">
        <v>65</v>
      </c>
      <c r="C710" s="24" t="s">
        <v>2611</v>
      </c>
      <c r="D710" s="23" t="s">
        <v>651</v>
      </c>
      <c r="E710" s="26" t="s">
        <v>91</v>
      </c>
      <c r="F710" s="74" t="s">
        <v>79</v>
      </c>
      <c r="G710" s="74" t="s">
        <v>943</v>
      </c>
      <c r="H710" s="75" t="n">
        <v>176.71</v>
      </c>
      <c r="I710" s="25"/>
      <c r="J710" s="58"/>
      <c r="K710" s="23" t="s">
        <v>2622</v>
      </c>
      <c r="L710" s="24"/>
      <c r="M710" s="24" t="s">
        <v>2623</v>
      </c>
      <c r="N710" s="26" t="s">
        <v>91</v>
      </c>
      <c r="O710" s="24"/>
      <c r="P710" s="24" t="s">
        <v>313</v>
      </c>
      <c r="Q710" s="24" t="s">
        <v>1387</v>
      </c>
      <c r="R710" s="73"/>
      <c r="S710" s="0" t="n">
        <f aca="false">IF(Recherche!$B$4="",0,IF(ISNUMBER(SEARCH(Recherche!$B$4,D710))+ISNUMBER(SEARCH(Recherche!$B$4,K710))&gt;0,1,0))</f>
        <v>0</v>
      </c>
      <c r="T710" s="0" t="str">
        <f aca="false">IF(S710=1,SUM($S$2:S710),"")</f>
        <v/>
      </c>
    </row>
    <row r="711" customFormat="false" ht="23.85" hidden="false" customHeight="false" outlineLevel="0" collapsed="false">
      <c r="A711" s="20" t="s">
        <v>2620</v>
      </c>
      <c r="B711" s="20" t="s">
        <v>65</v>
      </c>
      <c r="C711" s="20" t="s">
        <v>2611</v>
      </c>
      <c r="D711" s="19" t="s">
        <v>651</v>
      </c>
      <c r="E711" s="22" t="s">
        <v>91</v>
      </c>
      <c r="F711" s="20" t="s">
        <v>80</v>
      </c>
      <c r="G711" s="20" t="s">
        <v>939</v>
      </c>
      <c r="H711" s="21" t="n">
        <v>255.93</v>
      </c>
      <c r="I711" s="21"/>
      <c r="J711" s="52"/>
      <c r="K711" s="19" t="s">
        <v>2624</v>
      </c>
      <c r="L711" s="20"/>
      <c r="M711" s="20" t="s">
        <v>2625</v>
      </c>
      <c r="N711" s="22" t="s">
        <v>91</v>
      </c>
      <c r="O711" s="20"/>
      <c r="P711" s="20" t="s">
        <v>303</v>
      </c>
      <c r="Q711" s="20" t="s">
        <v>942</v>
      </c>
      <c r="R711" s="76" t="s">
        <v>95</v>
      </c>
      <c r="S711" s="0" t="n">
        <f aca="false">IF(Recherche!$B$4="",0,IF(ISNUMBER(SEARCH(Recherche!$B$4,D711))+ISNUMBER(SEARCH(Recherche!$B$4,K711))&gt;0,1,0))</f>
        <v>0</v>
      </c>
      <c r="T711" s="0" t="str">
        <f aca="false">IF(S711=1,SUM($S$2:S711),"")</f>
        <v/>
      </c>
    </row>
    <row r="712" customFormat="false" ht="35.05" hidden="false" customHeight="false" outlineLevel="0" collapsed="false">
      <c r="A712" s="24" t="s">
        <v>2626</v>
      </c>
      <c r="B712" s="24" t="s">
        <v>65</v>
      </c>
      <c r="C712" s="24" t="s">
        <v>2611</v>
      </c>
      <c r="D712" s="23" t="s">
        <v>653</v>
      </c>
      <c r="E712" s="26" t="s">
        <v>91</v>
      </c>
      <c r="F712" s="74" t="s">
        <v>81</v>
      </c>
      <c r="G712" s="74" t="s">
        <v>979</v>
      </c>
      <c r="H712" s="75" t="n">
        <v>186.2</v>
      </c>
      <c r="I712" s="25" t="n">
        <v>202.39</v>
      </c>
      <c r="J712" s="58" t="n">
        <v>8</v>
      </c>
      <c r="K712" s="23" t="s">
        <v>654</v>
      </c>
      <c r="L712" s="24" t="s">
        <v>2627</v>
      </c>
      <c r="M712" s="24" t="s">
        <v>2628</v>
      </c>
      <c r="N712" s="26" t="s">
        <v>91</v>
      </c>
      <c r="O712" s="24" t="s">
        <v>949</v>
      </c>
      <c r="P712" s="24" t="s">
        <v>169</v>
      </c>
      <c r="Q712" s="24" t="s">
        <v>1007</v>
      </c>
      <c r="R712" s="73" t="s">
        <v>95</v>
      </c>
      <c r="S712" s="0" t="n">
        <f aca="false">IF(Recherche!$B$4="",0,IF(ISNUMBER(SEARCH(Recherche!$B$4,D712))+ISNUMBER(SEARCH(Recherche!$B$4,K712))&gt;0,1,0))</f>
        <v>0</v>
      </c>
      <c r="T712" s="0" t="str">
        <f aca="false">IF(S712=1,SUM($S$2:S712),"")</f>
        <v/>
      </c>
    </row>
    <row r="713" customFormat="false" ht="23.85" hidden="false" customHeight="false" outlineLevel="0" collapsed="false">
      <c r="A713" s="20" t="s">
        <v>2626</v>
      </c>
      <c r="B713" s="20" t="s">
        <v>65</v>
      </c>
      <c r="C713" s="20" t="s">
        <v>2611</v>
      </c>
      <c r="D713" s="19" t="s">
        <v>653</v>
      </c>
      <c r="E713" s="22" t="s">
        <v>91</v>
      </c>
      <c r="F713" s="74" t="s">
        <v>79</v>
      </c>
      <c r="G713" s="74" t="s">
        <v>943</v>
      </c>
      <c r="H713" s="75" t="n">
        <v>199.67</v>
      </c>
      <c r="I713" s="21"/>
      <c r="J713" s="52"/>
      <c r="K713" s="19" t="s">
        <v>2629</v>
      </c>
      <c r="L713" s="20"/>
      <c r="M713" s="20" t="s">
        <v>2630</v>
      </c>
      <c r="N713" s="22" t="s">
        <v>91</v>
      </c>
      <c r="O713" s="20"/>
      <c r="P713" s="20" t="s">
        <v>313</v>
      </c>
      <c r="Q713" s="20" t="s">
        <v>1387</v>
      </c>
      <c r="R713" s="76" t="s">
        <v>95</v>
      </c>
      <c r="S713" s="0" t="n">
        <f aca="false">IF(Recherche!$B$4="",0,IF(ISNUMBER(SEARCH(Recherche!$B$4,D713))+ISNUMBER(SEARCH(Recherche!$B$4,K713))&gt;0,1,0))</f>
        <v>0</v>
      </c>
      <c r="T713" s="0" t="str">
        <f aca="false">IF(S713=1,SUM($S$2:S713),"")</f>
        <v/>
      </c>
    </row>
    <row r="714" customFormat="false" ht="23.85" hidden="false" customHeight="false" outlineLevel="0" collapsed="false">
      <c r="A714" s="24" t="s">
        <v>2631</v>
      </c>
      <c r="B714" s="24" t="s">
        <v>65</v>
      </c>
      <c r="C714" s="24" t="s">
        <v>2611</v>
      </c>
      <c r="D714" s="23" t="s">
        <v>655</v>
      </c>
      <c r="E714" s="26" t="s">
        <v>91</v>
      </c>
      <c r="F714" s="24" t="s">
        <v>76</v>
      </c>
      <c r="G714" s="24" t="s">
        <v>939</v>
      </c>
      <c r="H714" s="25" t="n">
        <v>2.21</v>
      </c>
      <c r="I714" s="25"/>
      <c r="J714" s="58"/>
      <c r="K714" s="23" t="s">
        <v>656</v>
      </c>
      <c r="L714" s="24" t="s">
        <v>2632</v>
      </c>
      <c r="M714" s="24" t="s">
        <v>2633</v>
      </c>
      <c r="N714" s="26" t="s">
        <v>91</v>
      </c>
      <c r="O714" s="24"/>
      <c r="P714" s="24" t="s">
        <v>93</v>
      </c>
      <c r="Q714" s="24" t="s">
        <v>963</v>
      </c>
      <c r="R714" s="73" t="s">
        <v>95</v>
      </c>
      <c r="S714" s="0" t="n">
        <f aca="false">IF(Recherche!$B$4="",0,IF(ISNUMBER(SEARCH(Recherche!$B$4,D714))+ISNUMBER(SEARCH(Recherche!$B$4,K714))&gt;0,1,0))</f>
        <v>0</v>
      </c>
      <c r="T714" s="0" t="str">
        <f aca="false">IF(S714=1,SUM($S$2:S714),"")</f>
        <v/>
      </c>
    </row>
    <row r="715" customFormat="false" ht="15" hidden="false" customHeight="false" outlineLevel="0" collapsed="false">
      <c r="A715" s="20" t="s">
        <v>2631</v>
      </c>
      <c r="B715" s="20" t="s">
        <v>65</v>
      </c>
      <c r="C715" s="20" t="s">
        <v>2611</v>
      </c>
      <c r="D715" s="19" t="s">
        <v>655</v>
      </c>
      <c r="E715" s="22" t="s">
        <v>91</v>
      </c>
      <c r="F715" s="74" t="s">
        <v>83</v>
      </c>
      <c r="G715" s="74" t="s">
        <v>943</v>
      </c>
      <c r="H715" s="75" t="n">
        <v>5.6</v>
      </c>
      <c r="I715" s="21"/>
      <c r="J715" s="52"/>
      <c r="K715" s="19" t="s">
        <v>2634</v>
      </c>
      <c r="L715" s="20"/>
      <c r="M715" s="20" t="s">
        <v>2635</v>
      </c>
      <c r="N715" s="22" t="s">
        <v>91</v>
      </c>
      <c r="O715" s="20"/>
      <c r="P715" s="20" t="s">
        <v>534</v>
      </c>
      <c r="Q715" s="20" t="s">
        <v>1016</v>
      </c>
      <c r="R715" s="76" t="s">
        <v>95</v>
      </c>
      <c r="S715" s="0" t="n">
        <f aca="false">IF(Recherche!$B$4="",0,IF(ISNUMBER(SEARCH(Recherche!$B$4,D715))+ISNUMBER(SEARCH(Recherche!$B$4,K715))&gt;0,1,0))</f>
        <v>0</v>
      </c>
      <c r="T715" s="0" t="str">
        <f aca="false">IF(S715=1,SUM($S$2:S715),"")</f>
        <v/>
      </c>
    </row>
    <row r="716" customFormat="false" ht="15" hidden="false" customHeight="false" outlineLevel="0" collapsed="false">
      <c r="A716" s="24" t="s">
        <v>2631</v>
      </c>
      <c r="B716" s="24" t="s">
        <v>65</v>
      </c>
      <c r="C716" s="24" t="s">
        <v>2611</v>
      </c>
      <c r="D716" s="23" t="s">
        <v>655</v>
      </c>
      <c r="E716" s="26" t="s">
        <v>91</v>
      </c>
      <c r="F716" s="74" t="s">
        <v>79</v>
      </c>
      <c r="G716" s="74" t="s">
        <v>943</v>
      </c>
      <c r="H716" s="75" t="n">
        <v>14</v>
      </c>
      <c r="I716" s="25"/>
      <c r="J716" s="58"/>
      <c r="K716" s="23" t="s">
        <v>2636</v>
      </c>
      <c r="L716" s="24"/>
      <c r="M716" s="24" t="s">
        <v>2637</v>
      </c>
      <c r="N716" s="26" t="s">
        <v>91</v>
      </c>
      <c r="O716" s="24"/>
      <c r="P716" s="24" t="s">
        <v>313</v>
      </c>
      <c r="Q716" s="24" t="s">
        <v>1016</v>
      </c>
      <c r="R716" s="73" t="s">
        <v>95</v>
      </c>
      <c r="S716" s="0" t="n">
        <f aca="false">IF(Recherche!$B$4="",0,IF(ISNUMBER(SEARCH(Recherche!$B$4,D716))+ISNUMBER(SEARCH(Recherche!$B$4,K716))&gt;0,1,0))</f>
        <v>0</v>
      </c>
      <c r="T716" s="0" t="str">
        <f aca="false">IF(S716=1,SUM($S$2:S716),"")</f>
        <v/>
      </c>
    </row>
    <row r="717" customFormat="false" ht="35.05" hidden="false" customHeight="false" outlineLevel="0" collapsed="false">
      <c r="A717" s="20" t="s">
        <v>2631</v>
      </c>
      <c r="B717" s="20" t="s">
        <v>65</v>
      </c>
      <c r="C717" s="20" t="s">
        <v>2611</v>
      </c>
      <c r="D717" s="19" t="s">
        <v>655</v>
      </c>
      <c r="E717" s="22" t="s">
        <v>91</v>
      </c>
      <c r="F717" s="74" t="s">
        <v>81</v>
      </c>
      <c r="G717" s="74" t="s">
        <v>979</v>
      </c>
      <c r="H717" s="75" t="n">
        <v>553.31</v>
      </c>
      <c r="I717" s="21" t="n">
        <v>614.42</v>
      </c>
      <c r="J717" s="52" t="n">
        <v>9.9</v>
      </c>
      <c r="K717" s="19" t="s">
        <v>2638</v>
      </c>
      <c r="L717" s="20" t="s">
        <v>1179</v>
      </c>
      <c r="M717" s="20" t="s">
        <v>2639</v>
      </c>
      <c r="N717" s="22" t="s">
        <v>91</v>
      </c>
      <c r="O717" s="20" t="s">
        <v>949</v>
      </c>
      <c r="P717" s="20" t="s">
        <v>169</v>
      </c>
      <c r="Q717" s="20" t="s">
        <v>1016</v>
      </c>
      <c r="R717" s="76" t="s">
        <v>95</v>
      </c>
      <c r="S717" s="0" t="n">
        <f aca="false">IF(Recherche!$B$4="",0,IF(ISNUMBER(SEARCH(Recherche!$B$4,D717))+ISNUMBER(SEARCH(Recherche!$B$4,K717))&gt;0,1,0))</f>
        <v>0</v>
      </c>
      <c r="T717" s="0" t="str">
        <f aca="false">IF(S717=1,SUM($S$2:S717),"")</f>
        <v/>
      </c>
    </row>
    <row r="718" customFormat="false" ht="23.85" hidden="false" customHeight="false" outlineLevel="0" collapsed="false">
      <c r="A718" s="24" t="s">
        <v>2640</v>
      </c>
      <c r="B718" s="24" t="s">
        <v>65</v>
      </c>
      <c r="C718" s="24" t="s">
        <v>2641</v>
      </c>
      <c r="D718" s="23" t="s">
        <v>657</v>
      </c>
      <c r="E718" s="26" t="s">
        <v>137</v>
      </c>
      <c r="F718" s="24" t="s">
        <v>80</v>
      </c>
      <c r="G718" s="24" t="s">
        <v>939</v>
      </c>
      <c r="H718" s="25" t="n">
        <v>1.46</v>
      </c>
      <c r="I718" s="25"/>
      <c r="J718" s="58"/>
      <c r="K718" s="23" t="s">
        <v>658</v>
      </c>
      <c r="L718" s="24"/>
      <c r="M718" s="24" t="s">
        <v>2642</v>
      </c>
      <c r="N718" s="26" t="s">
        <v>137</v>
      </c>
      <c r="O718" s="24"/>
      <c r="P718" s="24" t="s">
        <v>303</v>
      </c>
      <c r="Q718" s="24" t="s">
        <v>963</v>
      </c>
      <c r="R718" s="73" t="s">
        <v>95</v>
      </c>
      <c r="S718" s="0" t="n">
        <f aca="false">IF(Recherche!$B$4="",0,IF(ISNUMBER(SEARCH(Recherche!$B$4,D718))+ISNUMBER(SEARCH(Recherche!$B$4,K718))&gt;0,1,0))</f>
        <v>0</v>
      </c>
      <c r="T718" s="0" t="str">
        <f aca="false">IF(S718=1,SUM($S$2:S718),"")</f>
        <v/>
      </c>
    </row>
    <row r="719" customFormat="false" ht="23.85" hidden="false" customHeight="false" outlineLevel="0" collapsed="false">
      <c r="A719" s="20" t="s">
        <v>2643</v>
      </c>
      <c r="B719" s="20" t="s">
        <v>65</v>
      </c>
      <c r="C719" s="20" t="s">
        <v>2641</v>
      </c>
      <c r="D719" s="19" t="s">
        <v>659</v>
      </c>
      <c r="E719" s="22" t="s">
        <v>493</v>
      </c>
      <c r="F719" s="20" t="s">
        <v>80</v>
      </c>
      <c r="G719" s="20" t="s">
        <v>939</v>
      </c>
      <c r="H719" s="21" t="n">
        <v>14.1</v>
      </c>
      <c r="I719" s="21"/>
      <c r="J719" s="52"/>
      <c r="K719" s="19" t="s">
        <v>660</v>
      </c>
      <c r="L719" s="20"/>
      <c r="M719" s="20" t="s">
        <v>2644</v>
      </c>
      <c r="N719" s="22" t="s">
        <v>2209</v>
      </c>
      <c r="O719" s="20"/>
      <c r="P719" s="20" t="s">
        <v>303</v>
      </c>
      <c r="Q719" s="20" t="s">
        <v>942</v>
      </c>
      <c r="R719" s="76" t="s">
        <v>95</v>
      </c>
      <c r="S719" s="0" t="n">
        <f aca="false">IF(Recherche!$B$4="",0,IF(ISNUMBER(SEARCH(Recherche!$B$4,D719))+ISNUMBER(SEARCH(Recherche!$B$4,K719))&gt;0,1,0))</f>
        <v>0</v>
      </c>
      <c r="T719" s="0" t="str">
        <f aca="false">IF(S719=1,SUM($S$2:S719),"")</f>
        <v/>
      </c>
    </row>
    <row r="720" customFormat="false" ht="23.85" hidden="false" customHeight="false" outlineLevel="0" collapsed="false">
      <c r="A720" s="24" t="s">
        <v>2645</v>
      </c>
      <c r="B720" s="24" t="s">
        <v>65</v>
      </c>
      <c r="C720" s="24" t="s">
        <v>2641</v>
      </c>
      <c r="D720" s="23" t="s">
        <v>661</v>
      </c>
      <c r="E720" s="26" t="s">
        <v>493</v>
      </c>
      <c r="F720" s="74" t="s">
        <v>81</v>
      </c>
      <c r="G720" s="74" t="s">
        <v>979</v>
      </c>
      <c r="H720" s="75" t="n">
        <v>9.89</v>
      </c>
      <c r="I720" s="25" t="n">
        <v>9.84</v>
      </c>
      <c r="J720" s="58"/>
      <c r="K720" s="23" t="s">
        <v>662</v>
      </c>
      <c r="L720" s="24" t="s">
        <v>2646</v>
      </c>
      <c r="M720" s="24" t="s">
        <v>2647</v>
      </c>
      <c r="N720" s="26" t="s">
        <v>2213</v>
      </c>
      <c r="O720" s="24" t="s">
        <v>2227</v>
      </c>
      <c r="P720" s="24" t="s">
        <v>169</v>
      </c>
      <c r="Q720" s="24" t="s">
        <v>1007</v>
      </c>
      <c r="R720" s="73" t="s">
        <v>95</v>
      </c>
      <c r="S720" s="0" t="n">
        <f aca="false">IF(Recherche!$B$4="",0,IF(ISNUMBER(SEARCH(Recherche!$B$4,D720))+ISNUMBER(SEARCH(Recherche!$B$4,K720))&gt;0,1,0))</f>
        <v>0</v>
      </c>
      <c r="T720" s="0" t="str">
        <f aca="false">IF(S720=1,SUM($S$2:S720),"")</f>
        <v/>
      </c>
    </row>
    <row r="721" customFormat="false" ht="23.85" hidden="false" customHeight="false" outlineLevel="0" collapsed="false">
      <c r="A721" s="20" t="s">
        <v>2645</v>
      </c>
      <c r="B721" s="20" t="s">
        <v>65</v>
      </c>
      <c r="C721" s="20" t="s">
        <v>2641</v>
      </c>
      <c r="D721" s="19" t="s">
        <v>661</v>
      </c>
      <c r="E721" s="22" t="s">
        <v>493</v>
      </c>
      <c r="F721" s="20" t="s">
        <v>80</v>
      </c>
      <c r="G721" s="20" t="s">
        <v>939</v>
      </c>
      <c r="H721" s="21" t="n">
        <v>19.56</v>
      </c>
      <c r="I721" s="21"/>
      <c r="J721" s="52"/>
      <c r="K721" s="19" t="s">
        <v>2648</v>
      </c>
      <c r="L721" s="20"/>
      <c r="M721" s="20" t="s">
        <v>2649</v>
      </c>
      <c r="N721" s="22" t="s">
        <v>2209</v>
      </c>
      <c r="O721" s="20"/>
      <c r="P721" s="20" t="s">
        <v>303</v>
      </c>
      <c r="Q721" s="20" t="s">
        <v>942</v>
      </c>
      <c r="R721" s="76" t="s">
        <v>95</v>
      </c>
      <c r="S721" s="0" t="n">
        <f aca="false">IF(Recherche!$B$4="",0,IF(ISNUMBER(SEARCH(Recherche!$B$4,D721))+ISNUMBER(SEARCH(Recherche!$B$4,K721))&gt;0,1,0))</f>
        <v>0</v>
      </c>
      <c r="T721" s="0" t="str">
        <f aca="false">IF(S721=1,SUM($S$2:S721),"")</f>
        <v/>
      </c>
    </row>
    <row r="722" customFormat="false" ht="15" hidden="false" customHeight="false" outlineLevel="0" collapsed="false">
      <c r="A722" s="24" t="s">
        <v>2645</v>
      </c>
      <c r="B722" s="24" t="s">
        <v>65</v>
      </c>
      <c r="C722" s="24" t="s">
        <v>2641</v>
      </c>
      <c r="D722" s="23" t="s">
        <v>661</v>
      </c>
      <c r="E722" s="26" t="s">
        <v>493</v>
      </c>
      <c r="F722" s="74" t="s">
        <v>79</v>
      </c>
      <c r="G722" s="74" t="s">
        <v>943</v>
      </c>
      <c r="H722" s="75" t="n">
        <v>29.92</v>
      </c>
      <c r="I722" s="25"/>
      <c r="J722" s="58"/>
      <c r="K722" s="23" t="s">
        <v>2650</v>
      </c>
      <c r="L722" s="24"/>
      <c r="M722" s="24" t="s">
        <v>2651</v>
      </c>
      <c r="N722" s="26" t="s">
        <v>2204</v>
      </c>
      <c r="O722" s="24"/>
      <c r="P722" s="24" t="s">
        <v>313</v>
      </c>
      <c r="Q722" s="24" t="s">
        <v>1387</v>
      </c>
      <c r="R722" s="73" t="s">
        <v>95</v>
      </c>
      <c r="S722" s="0" t="n">
        <f aca="false">IF(Recherche!$B$4="",0,IF(ISNUMBER(SEARCH(Recherche!$B$4,D722))+ISNUMBER(SEARCH(Recherche!$B$4,K722))&gt;0,1,0))</f>
        <v>0</v>
      </c>
      <c r="T722" s="0" t="str">
        <f aca="false">IF(S722=1,SUM($S$2:S722),"")</f>
        <v/>
      </c>
    </row>
    <row r="723" customFormat="false" ht="15" hidden="false" customHeight="false" outlineLevel="0" collapsed="false">
      <c r="A723" s="20" t="s">
        <v>2652</v>
      </c>
      <c r="B723" s="20" t="s">
        <v>65</v>
      </c>
      <c r="C723" s="20" t="s">
        <v>2641</v>
      </c>
      <c r="D723" s="19" t="s">
        <v>663</v>
      </c>
      <c r="E723" s="22" t="s">
        <v>493</v>
      </c>
      <c r="F723" s="74" t="s">
        <v>79</v>
      </c>
      <c r="G723" s="74" t="s">
        <v>943</v>
      </c>
      <c r="H723" s="75" t="n">
        <v>34.4</v>
      </c>
      <c r="I723" s="21"/>
      <c r="J723" s="52"/>
      <c r="K723" s="19" t="s">
        <v>664</v>
      </c>
      <c r="L723" s="20"/>
      <c r="M723" s="20" t="s">
        <v>2653</v>
      </c>
      <c r="N723" s="22" t="s">
        <v>493</v>
      </c>
      <c r="O723" s="20"/>
      <c r="P723" s="20" t="s">
        <v>313</v>
      </c>
      <c r="Q723" s="20" t="s">
        <v>1016</v>
      </c>
      <c r="R723" s="76"/>
      <c r="S723" s="0" t="n">
        <f aca="false">IF(Recherche!$B$4="",0,IF(ISNUMBER(SEARCH(Recherche!$B$4,D723))+ISNUMBER(SEARCH(Recherche!$B$4,K723))&gt;0,1,0))</f>
        <v>0</v>
      </c>
      <c r="T723" s="0" t="str">
        <f aca="false">IF(S723=1,SUM($S$2:S723),"")</f>
        <v/>
      </c>
    </row>
    <row r="724" customFormat="false" ht="23.85" hidden="false" customHeight="false" outlineLevel="0" collapsed="false">
      <c r="A724" s="24" t="s">
        <v>2654</v>
      </c>
      <c r="B724" s="24" t="s">
        <v>65</v>
      </c>
      <c r="C724" s="24" t="s">
        <v>2641</v>
      </c>
      <c r="D724" s="23" t="s">
        <v>665</v>
      </c>
      <c r="E724" s="26" t="s">
        <v>137</v>
      </c>
      <c r="F724" s="24" t="s">
        <v>80</v>
      </c>
      <c r="G724" s="24" t="s">
        <v>939</v>
      </c>
      <c r="H724" s="25" t="n">
        <v>2.25</v>
      </c>
      <c r="I724" s="25"/>
      <c r="J724" s="58"/>
      <c r="K724" s="23" t="s">
        <v>666</v>
      </c>
      <c r="L724" s="24"/>
      <c r="M724" s="24" t="s">
        <v>2655</v>
      </c>
      <c r="N724" s="26" t="s">
        <v>1533</v>
      </c>
      <c r="O724" s="24"/>
      <c r="P724" s="24" t="s">
        <v>303</v>
      </c>
      <c r="Q724" s="24" t="s">
        <v>942</v>
      </c>
      <c r="R724" s="73" t="s">
        <v>95</v>
      </c>
      <c r="S724" s="0" t="n">
        <f aca="false">IF(Recherche!$B$4="",0,IF(ISNUMBER(SEARCH(Recherche!$B$4,D724))+ISNUMBER(SEARCH(Recherche!$B$4,K724))&gt;0,1,0))</f>
        <v>0</v>
      </c>
      <c r="T724" s="0" t="str">
        <f aca="false">IF(S724=1,SUM($S$2:S724),"")</f>
        <v/>
      </c>
    </row>
    <row r="725" customFormat="false" ht="15" hidden="false" customHeight="false" outlineLevel="0" collapsed="false">
      <c r="A725" s="20" t="s">
        <v>2654</v>
      </c>
      <c r="B725" s="20" t="s">
        <v>65</v>
      </c>
      <c r="C725" s="20" t="s">
        <v>2641</v>
      </c>
      <c r="D725" s="19" t="s">
        <v>665</v>
      </c>
      <c r="E725" s="22" t="s">
        <v>137</v>
      </c>
      <c r="F725" s="74" t="s">
        <v>81</v>
      </c>
      <c r="G725" s="74" t="s">
        <v>979</v>
      </c>
      <c r="H725" s="75" t="n">
        <v>4.41</v>
      </c>
      <c r="I725" s="21" t="n">
        <v>4.88</v>
      </c>
      <c r="J725" s="52" t="n">
        <v>9.6</v>
      </c>
      <c r="K725" s="19" t="s">
        <v>2656</v>
      </c>
      <c r="L725" s="20" t="s">
        <v>2657</v>
      </c>
      <c r="M725" s="20" t="s">
        <v>2658</v>
      </c>
      <c r="N725" s="22" t="s">
        <v>1524</v>
      </c>
      <c r="O725" s="20" t="s">
        <v>949</v>
      </c>
      <c r="P725" s="20" t="s">
        <v>169</v>
      </c>
      <c r="Q725" s="20" t="s">
        <v>1007</v>
      </c>
      <c r="R725" s="76" t="s">
        <v>95</v>
      </c>
      <c r="S725" s="0" t="n">
        <f aca="false">IF(Recherche!$B$4="",0,IF(ISNUMBER(SEARCH(Recherche!$B$4,D725))+ISNUMBER(SEARCH(Recherche!$B$4,K725))&gt;0,1,0))</f>
        <v>0</v>
      </c>
      <c r="T725" s="0" t="str">
        <f aca="false">IF(S725=1,SUM($S$2:S725),"")</f>
        <v/>
      </c>
    </row>
    <row r="726" customFormat="false" ht="23.85" hidden="false" customHeight="false" outlineLevel="0" collapsed="false">
      <c r="A726" s="24" t="s">
        <v>2654</v>
      </c>
      <c r="B726" s="24" t="s">
        <v>65</v>
      </c>
      <c r="C726" s="24" t="s">
        <v>2641</v>
      </c>
      <c r="D726" s="23" t="s">
        <v>665</v>
      </c>
      <c r="E726" s="26" t="s">
        <v>137</v>
      </c>
      <c r="F726" s="74" t="s">
        <v>79</v>
      </c>
      <c r="G726" s="74" t="s">
        <v>943</v>
      </c>
      <c r="H726" s="75" t="n">
        <v>22.32</v>
      </c>
      <c r="I726" s="25"/>
      <c r="J726" s="58"/>
      <c r="K726" s="23" t="s">
        <v>2659</v>
      </c>
      <c r="L726" s="24"/>
      <c r="M726" s="24" t="s">
        <v>2660</v>
      </c>
      <c r="N726" s="26" t="s">
        <v>1441</v>
      </c>
      <c r="O726" s="24"/>
      <c r="P726" s="24" t="s">
        <v>313</v>
      </c>
      <c r="Q726" s="24" t="s">
        <v>1387</v>
      </c>
      <c r="R726" s="73"/>
      <c r="S726" s="0" t="n">
        <f aca="false">IF(Recherche!$B$4="",0,IF(ISNUMBER(SEARCH(Recherche!$B$4,D726))+ISNUMBER(SEARCH(Recherche!$B$4,K726))&gt;0,1,0))</f>
        <v>0</v>
      </c>
      <c r="T726" s="0" t="str">
        <f aca="false">IF(S726=1,SUM($S$2:S726),"")</f>
        <v/>
      </c>
    </row>
    <row r="727" customFormat="false" ht="23.85" hidden="false" customHeight="false" outlineLevel="0" collapsed="false">
      <c r="A727" s="20" t="s">
        <v>2661</v>
      </c>
      <c r="B727" s="20" t="s">
        <v>65</v>
      </c>
      <c r="C727" s="20" t="s">
        <v>2641</v>
      </c>
      <c r="D727" s="19" t="s">
        <v>667</v>
      </c>
      <c r="E727" s="22" t="s">
        <v>137</v>
      </c>
      <c r="F727" s="20" t="s">
        <v>80</v>
      </c>
      <c r="G727" s="20" t="s">
        <v>939</v>
      </c>
      <c r="H727" s="21" t="n">
        <v>3.76</v>
      </c>
      <c r="I727" s="21"/>
      <c r="J727" s="52"/>
      <c r="K727" s="19" t="s">
        <v>668</v>
      </c>
      <c r="L727" s="20"/>
      <c r="M727" s="20" t="s">
        <v>2662</v>
      </c>
      <c r="N727" s="22" t="s">
        <v>1533</v>
      </c>
      <c r="O727" s="20"/>
      <c r="P727" s="20" t="s">
        <v>303</v>
      </c>
      <c r="Q727" s="20" t="s">
        <v>963</v>
      </c>
      <c r="R727" s="76" t="s">
        <v>95</v>
      </c>
      <c r="S727" s="0" t="n">
        <f aca="false">IF(Recherche!$B$4="",0,IF(ISNUMBER(SEARCH(Recherche!$B$4,D727))+ISNUMBER(SEARCH(Recherche!$B$4,K727))&gt;0,1,0))</f>
        <v>0</v>
      </c>
      <c r="T727" s="0" t="str">
        <f aca="false">IF(S727=1,SUM($S$2:S727),"")</f>
        <v/>
      </c>
    </row>
    <row r="728" customFormat="false" ht="15" hidden="false" customHeight="false" outlineLevel="0" collapsed="false">
      <c r="A728" s="24" t="s">
        <v>2661</v>
      </c>
      <c r="B728" s="24" t="s">
        <v>65</v>
      </c>
      <c r="C728" s="24" t="s">
        <v>2641</v>
      </c>
      <c r="D728" s="23" t="s">
        <v>667</v>
      </c>
      <c r="E728" s="26" t="s">
        <v>137</v>
      </c>
      <c r="F728" s="74" t="s">
        <v>79</v>
      </c>
      <c r="G728" s="74" t="s">
        <v>943</v>
      </c>
      <c r="H728" s="75" t="n">
        <v>13.19</v>
      </c>
      <c r="I728" s="25"/>
      <c r="J728" s="58"/>
      <c r="K728" s="23" t="s">
        <v>2663</v>
      </c>
      <c r="L728" s="24"/>
      <c r="M728" s="24" t="s">
        <v>2664</v>
      </c>
      <c r="N728" s="26" t="s">
        <v>91</v>
      </c>
      <c r="O728" s="24"/>
      <c r="P728" s="24" t="s">
        <v>313</v>
      </c>
      <c r="Q728" s="24" t="s">
        <v>1016</v>
      </c>
      <c r="R728" s="73" t="s">
        <v>95</v>
      </c>
      <c r="S728" s="0" t="n">
        <f aca="false">IF(Recherche!$B$4="",0,IF(ISNUMBER(SEARCH(Recherche!$B$4,D728))+ISNUMBER(SEARCH(Recherche!$B$4,K728))&gt;0,1,0))</f>
        <v>0</v>
      </c>
      <c r="T728" s="0" t="str">
        <f aca="false">IF(S728=1,SUM($S$2:S728),"")</f>
        <v/>
      </c>
    </row>
    <row r="729" customFormat="false" ht="23.85" hidden="false" customHeight="false" outlineLevel="0" collapsed="false">
      <c r="A729" s="20" t="s">
        <v>2661</v>
      </c>
      <c r="B729" s="20" t="s">
        <v>65</v>
      </c>
      <c r="C729" s="20" t="s">
        <v>2641</v>
      </c>
      <c r="D729" s="19" t="s">
        <v>667</v>
      </c>
      <c r="E729" s="22" t="s">
        <v>137</v>
      </c>
      <c r="F729" s="74" t="s">
        <v>81</v>
      </c>
      <c r="G729" s="74" t="s">
        <v>979</v>
      </c>
      <c r="H729" s="75" t="n">
        <v>13.7</v>
      </c>
      <c r="I729" s="21" t="n">
        <v>15.22</v>
      </c>
      <c r="J729" s="52" t="n">
        <v>10</v>
      </c>
      <c r="K729" s="19" t="s">
        <v>2665</v>
      </c>
      <c r="L729" s="20" t="s">
        <v>2666</v>
      </c>
      <c r="M729" s="20" t="s">
        <v>2667</v>
      </c>
      <c r="N729" s="22" t="s">
        <v>1056</v>
      </c>
      <c r="O729" s="20" t="s">
        <v>1056</v>
      </c>
      <c r="P729" s="20" t="s">
        <v>169</v>
      </c>
      <c r="Q729" s="20" t="s">
        <v>1016</v>
      </c>
      <c r="R729" s="76" t="s">
        <v>95</v>
      </c>
      <c r="S729" s="0" t="n">
        <f aca="false">IF(Recherche!$B$4="",0,IF(ISNUMBER(SEARCH(Recherche!$B$4,D729))+ISNUMBER(SEARCH(Recherche!$B$4,K729))&gt;0,1,0))</f>
        <v>0</v>
      </c>
      <c r="T729" s="0" t="str">
        <f aca="false">IF(S729=1,SUM($S$2:S729),"")</f>
        <v/>
      </c>
    </row>
    <row r="730" customFormat="false" ht="23.85" hidden="false" customHeight="false" outlineLevel="0" collapsed="false">
      <c r="A730" s="24" t="s">
        <v>2661</v>
      </c>
      <c r="B730" s="24" t="s">
        <v>65</v>
      </c>
      <c r="C730" s="24" t="s">
        <v>2641</v>
      </c>
      <c r="D730" s="23" t="s">
        <v>667</v>
      </c>
      <c r="E730" s="26" t="s">
        <v>137</v>
      </c>
      <c r="F730" s="74" t="s">
        <v>83</v>
      </c>
      <c r="G730" s="74" t="s">
        <v>943</v>
      </c>
      <c r="H730" s="75" t="n">
        <v>22.96</v>
      </c>
      <c r="I730" s="25"/>
      <c r="J730" s="58"/>
      <c r="K730" s="23" t="s">
        <v>2668</v>
      </c>
      <c r="L730" s="24"/>
      <c r="M730" s="24" t="s">
        <v>2669</v>
      </c>
      <c r="N730" s="26" t="s">
        <v>2206</v>
      </c>
      <c r="O730" s="24"/>
      <c r="P730" s="24" t="s">
        <v>534</v>
      </c>
      <c r="Q730" s="24" t="s">
        <v>2164</v>
      </c>
      <c r="R730" s="73" t="s">
        <v>95</v>
      </c>
      <c r="S730" s="0" t="n">
        <f aca="false">IF(Recherche!$B$4="",0,IF(ISNUMBER(SEARCH(Recherche!$B$4,D730))+ISNUMBER(SEARCH(Recherche!$B$4,K730))&gt;0,1,0))</f>
        <v>0</v>
      </c>
      <c r="T730" s="0" t="str">
        <f aca="false">IF(S730=1,SUM($S$2:S730),"")</f>
        <v/>
      </c>
    </row>
    <row r="731" customFormat="false" ht="23.85" hidden="false" customHeight="false" outlineLevel="0" collapsed="false">
      <c r="A731" s="20" t="s">
        <v>2661</v>
      </c>
      <c r="B731" s="20" t="s">
        <v>65</v>
      </c>
      <c r="C731" s="20" t="s">
        <v>2641</v>
      </c>
      <c r="D731" s="19" t="s">
        <v>667</v>
      </c>
      <c r="E731" s="22" t="s">
        <v>137</v>
      </c>
      <c r="F731" s="20" t="s">
        <v>76</v>
      </c>
      <c r="G731" s="20" t="s">
        <v>939</v>
      </c>
      <c r="H731" s="21" t="n">
        <v>54.95</v>
      </c>
      <c r="I731" s="21"/>
      <c r="J731" s="52"/>
      <c r="K731" s="19" t="s">
        <v>2670</v>
      </c>
      <c r="L731" s="20" t="s">
        <v>2666</v>
      </c>
      <c r="M731" s="20" t="s">
        <v>2671</v>
      </c>
      <c r="N731" s="22" t="s">
        <v>137</v>
      </c>
      <c r="O731" s="20"/>
      <c r="P731" s="20" t="s">
        <v>93</v>
      </c>
      <c r="Q731" s="20" t="s">
        <v>963</v>
      </c>
      <c r="R731" s="76" t="s">
        <v>95</v>
      </c>
      <c r="S731" s="0" t="n">
        <f aca="false">IF(Recherche!$B$4="",0,IF(ISNUMBER(SEARCH(Recherche!$B$4,D731))+ISNUMBER(SEARCH(Recherche!$B$4,K731))&gt;0,1,0))</f>
        <v>0</v>
      </c>
      <c r="T731" s="0" t="str">
        <f aca="false">IF(S731=1,SUM($S$2:S731),"")</f>
        <v/>
      </c>
    </row>
    <row r="732" customFormat="false" ht="23.85" hidden="false" customHeight="false" outlineLevel="0" collapsed="false">
      <c r="A732" s="24" t="s">
        <v>2672</v>
      </c>
      <c r="B732" s="24" t="s">
        <v>65</v>
      </c>
      <c r="C732" s="24" t="s">
        <v>2673</v>
      </c>
      <c r="D732" s="23" t="s">
        <v>669</v>
      </c>
      <c r="E732" s="26" t="s">
        <v>91</v>
      </c>
      <c r="F732" s="74" t="s">
        <v>79</v>
      </c>
      <c r="G732" s="74" t="s">
        <v>943</v>
      </c>
      <c r="H732" s="75" t="n">
        <v>2.15</v>
      </c>
      <c r="I732" s="25"/>
      <c r="J732" s="58"/>
      <c r="K732" s="23" t="s">
        <v>670</v>
      </c>
      <c r="L732" s="24"/>
      <c r="M732" s="24" t="s">
        <v>2674</v>
      </c>
      <c r="N732" s="26" t="s">
        <v>91</v>
      </c>
      <c r="O732" s="24" t="s">
        <v>2675</v>
      </c>
      <c r="P732" s="24" t="s">
        <v>313</v>
      </c>
      <c r="Q732" s="24" t="s">
        <v>1387</v>
      </c>
      <c r="R732" s="73" t="s">
        <v>95</v>
      </c>
      <c r="S732" s="0" t="n">
        <f aca="false">IF(Recherche!$B$4="",0,IF(ISNUMBER(SEARCH(Recherche!$B$4,D732))+ISNUMBER(SEARCH(Recherche!$B$4,K732))&gt;0,1,0))</f>
        <v>0</v>
      </c>
      <c r="T732" s="0" t="str">
        <f aca="false">IF(S732=1,SUM($S$2:S732),"")</f>
        <v/>
      </c>
    </row>
    <row r="733" customFormat="false" ht="15" hidden="false" customHeight="false" outlineLevel="0" collapsed="false">
      <c r="A733" s="20" t="s">
        <v>2672</v>
      </c>
      <c r="B733" s="20" t="s">
        <v>65</v>
      </c>
      <c r="C733" s="20" t="s">
        <v>2673</v>
      </c>
      <c r="D733" s="19" t="s">
        <v>669</v>
      </c>
      <c r="E733" s="22" t="s">
        <v>91</v>
      </c>
      <c r="F733" s="20" t="s">
        <v>76</v>
      </c>
      <c r="G733" s="20" t="s">
        <v>939</v>
      </c>
      <c r="H733" s="21" t="n">
        <v>110.18</v>
      </c>
      <c r="I733" s="21"/>
      <c r="J733" s="52"/>
      <c r="K733" s="19" t="s">
        <v>2676</v>
      </c>
      <c r="L733" s="20" t="s">
        <v>2677</v>
      </c>
      <c r="M733" s="20" t="s">
        <v>2678</v>
      </c>
      <c r="N733" s="22" t="s">
        <v>91</v>
      </c>
      <c r="O733" s="20"/>
      <c r="P733" s="20" t="s">
        <v>93</v>
      </c>
      <c r="Q733" s="20" t="s">
        <v>942</v>
      </c>
      <c r="R733" s="76" t="s">
        <v>95</v>
      </c>
      <c r="S733" s="0" t="n">
        <f aca="false">IF(Recherche!$B$4="",0,IF(ISNUMBER(SEARCH(Recherche!$B$4,D733))+ISNUMBER(SEARCH(Recherche!$B$4,K733))&gt;0,1,0))</f>
        <v>0</v>
      </c>
      <c r="T733" s="0" t="str">
        <f aca="false">IF(S733=1,SUM($S$2:S733),"")</f>
        <v/>
      </c>
    </row>
    <row r="734" customFormat="false" ht="23.85" hidden="false" customHeight="false" outlineLevel="0" collapsed="false">
      <c r="A734" s="24" t="s">
        <v>2679</v>
      </c>
      <c r="B734" s="24" t="s">
        <v>65</v>
      </c>
      <c r="C734" s="24" t="s">
        <v>2673</v>
      </c>
      <c r="D734" s="23" t="s">
        <v>671</v>
      </c>
      <c r="E734" s="26" t="s">
        <v>672</v>
      </c>
      <c r="F734" s="24" t="s">
        <v>76</v>
      </c>
      <c r="G734" s="24" t="s">
        <v>939</v>
      </c>
      <c r="H734" s="25" t="n">
        <v>3.14</v>
      </c>
      <c r="I734" s="25"/>
      <c r="J734" s="58"/>
      <c r="K734" s="23" t="s">
        <v>673</v>
      </c>
      <c r="L734" s="24" t="s">
        <v>2680</v>
      </c>
      <c r="M734" s="24" t="s">
        <v>2681</v>
      </c>
      <c r="N734" s="26" t="s">
        <v>91</v>
      </c>
      <c r="O734" s="24"/>
      <c r="P734" s="24" t="s">
        <v>93</v>
      </c>
      <c r="Q734" s="24" t="s">
        <v>963</v>
      </c>
      <c r="R734" s="73" t="s">
        <v>95</v>
      </c>
      <c r="S734" s="0" t="n">
        <f aca="false">IF(Recherche!$B$4="",0,IF(ISNUMBER(SEARCH(Recherche!$B$4,D734))+ISNUMBER(SEARCH(Recherche!$B$4,K734))&gt;0,1,0))</f>
        <v>0</v>
      </c>
      <c r="T734" s="0" t="str">
        <f aca="false">IF(S734=1,SUM($S$2:S734),"")</f>
        <v/>
      </c>
    </row>
    <row r="735" customFormat="false" ht="15" hidden="false" customHeight="false" outlineLevel="0" collapsed="false">
      <c r="A735" s="20" t="s">
        <v>2679</v>
      </c>
      <c r="B735" s="20" t="s">
        <v>65</v>
      </c>
      <c r="C735" s="20" t="s">
        <v>2673</v>
      </c>
      <c r="D735" s="19" t="s">
        <v>671</v>
      </c>
      <c r="E735" s="22" t="s">
        <v>672</v>
      </c>
      <c r="F735" s="74" t="s">
        <v>79</v>
      </c>
      <c r="G735" s="74" t="s">
        <v>943</v>
      </c>
      <c r="H735" s="75" t="n">
        <v>30.05</v>
      </c>
      <c r="I735" s="21"/>
      <c r="J735" s="52"/>
      <c r="K735" s="19" t="s">
        <v>2682</v>
      </c>
      <c r="L735" s="20"/>
      <c r="M735" s="20" t="s">
        <v>2683</v>
      </c>
      <c r="N735" s="22" t="s">
        <v>91</v>
      </c>
      <c r="O735" s="20"/>
      <c r="P735" s="20" t="s">
        <v>313</v>
      </c>
      <c r="Q735" s="20" t="s">
        <v>1016</v>
      </c>
      <c r="R735" s="76" t="s">
        <v>95</v>
      </c>
      <c r="S735" s="0" t="n">
        <f aca="false">IF(Recherche!$B$4="",0,IF(ISNUMBER(SEARCH(Recherche!$B$4,D735))+ISNUMBER(SEARCH(Recherche!$B$4,K735))&gt;0,1,0))</f>
        <v>0</v>
      </c>
      <c r="T735" s="0" t="str">
        <f aca="false">IF(S735=1,SUM($S$2:S735),"")</f>
        <v/>
      </c>
    </row>
    <row r="736" customFormat="false" ht="15" hidden="false" customHeight="false" outlineLevel="0" collapsed="false">
      <c r="A736" s="24" t="s">
        <v>2684</v>
      </c>
      <c r="B736" s="24" t="s">
        <v>65</v>
      </c>
      <c r="C736" s="24" t="s">
        <v>2673</v>
      </c>
      <c r="D736" s="23" t="s">
        <v>674</v>
      </c>
      <c r="E736" s="26" t="s">
        <v>91</v>
      </c>
      <c r="F736" s="24" t="s">
        <v>76</v>
      </c>
      <c r="G736" s="24" t="s">
        <v>939</v>
      </c>
      <c r="H736" s="25" t="n">
        <v>27.57</v>
      </c>
      <c r="I736" s="25"/>
      <c r="J736" s="58"/>
      <c r="K736" s="23" t="s">
        <v>675</v>
      </c>
      <c r="L736" s="24" t="s">
        <v>2685</v>
      </c>
      <c r="M736" s="24" t="s">
        <v>2686</v>
      </c>
      <c r="N736" s="26" t="s">
        <v>91</v>
      </c>
      <c r="O736" s="24"/>
      <c r="P736" s="24" t="s">
        <v>93</v>
      </c>
      <c r="Q736" s="24" t="s">
        <v>963</v>
      </c>
      <c r="R736" s="73" t="s">
        <v>95</v>
      </c>
      <c r="S736" s="0" t="n">
        <f aca="false">IF(Recherche!$B$4="",0,IF(ISNUMBER(SEARCH(Recherche!$B$4,D736))+ISNUMBER(SEARCH(Recherche!$B$4,K736))&gt;0,1,0))</f>
        <v>0</v>
      </c>
      <c r="T736" s="0" t="str">
        <f aca="false">IF(S736=1,SUM($S$2:S736),"")</f>
        <v/>
      </c>
    </row>
    <row r="737" customFormat="false" ht="23.85" hidden="false" customHeight="false" outlineLevel="0" collapsed="false">
      <c r="A737" s="20" t="s">
        <v>2687</v>
      </c>
      <c r="B737" s="20" t="s">
        <v>65</v>
      </c>
      <c r="C737" s="20" t="s">
        <v>2673</v>
      </c>
      <c r="D737" s="19" t="s">
        <v>676</v>
      </c>
      <c r="E737" s="22" t="s">
        <v>91</v>
      </c>
      <c r="F737" s="20" t="s">
        <v>76</v>
      </c>
      <c r="G737" s="20" t="s">
        <v>939</v>
      </c>
      <c r="H737" s="21" t="n">
        <v>3.36</v>
      </c>
      <c r="I737" s="21"/>
      <c r="J737" s="52"/>
      <c r="K737" s="19" t="s">
        <v>677</v>
      </c>
      <c r="L737" s="20" t="s">
        <v>1293</v>
      </c>
      <c r="M737" s="20" t="s">
        <v>2688</v>
      </c>
      <c r="N737" s="22" t="s">
        <v>91</v>
      </c>
      <c r="O737" s="20"/>
      <c r="P737" s="20" t="s">
        <v>93</v>
      </c>
      <c r="Q737" s="20" t="s">
        <v>942</v>
      </c>
      <c r="R737" s="76" t="s">
        <v>95</v>
      </c>
      <c r="S737" s="0" t="n">
        <f aca="false">IF(Recherche!$B$4="",0,IF(ISNUMBER(SEARCH(Recherche!$B$4,D737))+ISNUMBER(SEARCH(Recherche!$B$4,K737))&gt;0,1,0))</f>
        <v>0</v>
      </c>
      <c r="T737" s="0" t="str">
        <f aca="false">IF(S737=1,SUM($S$2:S737),"")</f>
        <v/>
      </c>
    </row>
    <row r="738" customFormat="false" ht="23.85" hidden="false" customHeight="false" outlineLevel="0" collapsed="false">
      <c r="A738" s="24" t="s">
        <v>2687</v>
      </c>
      <c r="B738" s="24" t="s">
        <v>65</v>
      </c>
      <c r="C738" s="24" t="s">
        <v>2673</v>
      </c>
      <c r="D738" s="23" t="s">
        <v>676</v>
      </c>
      <c r="E738" s="26" t="s">
        <v>91</v>
      </c>
      <c r="F738" s="24" t="s">
        <v>80</v>
      </c>
      <c r="G738" s="24" t="s">
        <v>939</v>
      </c>
      <c r="H738" s="25" t="n">
        <v>9.69</v>
      </c>
      <c r="I738" s="25"/>
      <c r="J738" s="58"/>
      <c r="K738" s="23" t="s">
        <v>465</v>
      </c>
      <c r="L738" s="24"/>
      <c r="M738" s="24" t="s">
        <v>1951</v>
      </c>
      <c r="N738" s="26" t="s">
        <v>91</v>
      </c>
      <c r="O738" s="24"/>
      <c r="P738" s="24" t="s">
        <v>303</v>
      </c>
      <c r="Q738" s="24" t="s">
        <v>963</v>
      </c>
      <c r="R738" s="73" t="s">
        <v>95</v>
      </c>
      <c r="S738" s="0" t="n">
        <f aca="false">IF(Recherche!$B$4="",0,IF(ISNUMBER(SEARCH(Recherche!$B$4,D738))+ISNUMBER(SEARCH(Recherche!$B$4,K738))&gt;0,1,0))</f>
        <v>0</v>
      </c>
      <c r="T738" s="0" t="str">
        <f aca="false">IF(S738=1,SUM($S$2:S738),"")</f>
        <v/>
      </c>
    </row>
    <row r="739" customFormat="false" ht="23.85" hidden="false" customHeight="false" outlineLevel="0" collapsed="false">
      <c r="A739" s="20" t="s">
        <v>2687</v>
      </c>
      <c r="B739" s="20" t="s">
        <v>65</v>
      </c>
      <c r="C739" s="20" t="s">
        <v>2673</v>
      </c>
      <c r="D739" s="19" t="s">
        <v>676</v>
      </c>
      <c r="E739" s="22" t="s">
        <v>91</v>
      </c>
      <c r="F739" s="74" t="s">
        <v>81</v>
      </c>
      <c r="G739" s="74" t="s">
        <v>979</v>
      </c>
      <c r="H739" s="75" t="n">
        <v>43.47</v>
      </c>
      <c r="I739" s="21" t="n">
        <v>57.85</v>
      </c>
      <c r="J739" s="52" t="n">
        <v>24.9</v>
      </c>
      <c r="K739" s="19" t="s">
        <v>2689</v>
      </c>
      <c r="L739" s="20" t="s">
        <v>1471</v>
      </c>
      <c r="M739" s="20" t="s">
        <v>2690</v>
      </c>
      <c r="N739" s="22" t="s">
        <v>91</v>
      </c>
      <c r="O739" s="20" t="s">
        <v>949</v>
      </c>
      <c r="P739" s="20" t="s">
        <v>169</v>
      </c>
      <c r="Q739" s="20" t="s">
        <v>1007</v>
      </c>
      <c r="R739" s="76" t="s">
        <v>95</v>
      </c>
      <c r="S739" s="0" t="n">
        <f aca="false">IF(Recherche!$B$4="",0,IF(ISNUMBER(SEARCH(Recherche!$B$4,D739))+ISNUMBER(SEARCH(Recherche!$B$4,K739))&gt;0,1,0))</f>
        <v>0</v>
      </c>
      <c r="T739" s="0" t="str">
        <f aca="false">IF(S739=1,SUM($S$2:S739),"")</f>
        <v/>
      </c>
    </row>
    <row r="740" customFormat="false" ht="15" hidden="false" customHeight="false" outlineLevel="0" collapsed="false">
      <c r="A740" s="24" t="s">
        <v>2691</v>
      </c>
      <c r="B740" s="24" t="s">
        <v>65</v>
      </c>
      <c r="C740" s="24" t="s">
        <v>2692</v>
      </c>
      <c r="D740" s="23" t="s">
        <v>678</v>
      </c>
      <c r="E740" s="26" t="s">
        <v>493</v>
      </c>
      <c r="F740" s="74" t="s">
        <v>83</v>
      </c>
      <c r="G740" s="74" t="s">
        <v>943</v>
      </c>
      <c r="H740" s="75" t="n">
        <v>58.71</v>
      </c>
      <c r="I740" s="25"/>
      <c r="J740" s="58"/>
      <c r="K740" s="23" t="s">
        <v>679</v>
      </c>
      <c r="L740" s="24" t="s">
        <v>2693</v>
      </c>
      <c r="M740" s="24" t="s">
        <v>2694</v>
      </c>
      <c r="N740" s="26" t="s">
        <v>2209</v>
      </c>
      <c r="O740" s="24"/>
      <c r="P740" s="24" t="s">
        <v>534</v>
      </c>
      <c r="Q740" s="24" t="s">
        <v>2164</v>
      </c>
      <c r="R740" s="73" t="s">
        <v>95</v>
      </c>
      <c r="S740" s="0" t="n">
        <f aca="false">IF(Recherche!$B$4="",0,IF(ISNUMBER(SEARCH(Recherche!$B$4,D740))+ISNUMBER(SEARCH(Recherche!$B$4,K740))&gt;0,1,0))</f>
        <v>0</v>
      </c>
      <c r="T740" s="0" t="str">
        <f aca="false">IF(S740=1,SUM($S$2:S740),"")</f>
        <v/>
      </c>
    </row>
    <row r="741" customFormat="false" ht="23.85" hidden="false" customHeight="false" outlineLevel="0" collapsed="false">
      <c r="A741" s="20" t="s">
        <v>2691</v>
      </c>
      <c r="B741" s="20" t="s">
        <v>65</v>
      </c>
      <c r="C741" s="20" t="s">
        <v>2692</v>
      </c>
      <c r="D741" s="19" t="s">
        <v>678</v>
      </c>
      <c r="E741" s="22" t="s">
        <v>493</v>
      </c>
      <c r="F741" s="74" t="s">
        <v>81</v>
      </c>
      <c r="G741" s="74" t="s">
        <v>979</v>
      </c>
      <c r="H741" s="75" t="n">
        <v>957.1</v>
      </c>
      <c r="I741" s="21" t="n">
        <v>1062.76</v>
      </c>
      <c r="J741" s="52" t="n">
        <v>9.9</v>
      </c>
      <c r="K741" s="19" t="s">
        <v>2695</v>
      </c>
      <c r="L741" s="20" t="s">
        <v>1997</v>
      </c>
      <c r="M741" s="20" t="s">
        <v>2696</v>
      </c>
      <c r="N741" s="22" t="s">
        <v>91</v>
      </c>
      <c r="O741" s="20" t="s">
        <v>949</v>
      </c>
      <c r="P741" s="20" t="s">
        <v>169</v>
      </c>
      <c r="Q741" s="20" t="s">
        <v>1016</v>
      </c>
      <c r="R741" s="76" t="s">
        <v>95</v>
      </c>
      <c r="S741" s="0" t="n">
        <f aca="false">IF(Recherche!$B$4="",0,IF(ISNUMBER(SEARCH(Recherche!$B$4,D741))+ISNUMBER(SEARCH(Recherche!$B$4,K741))&gt;0,1,0))</f>
        <v>0</v>
      </c>
      <c r="T741" s="0" t="str">
        <f aca="false">IF(S741=1,SUM($S$2:S741),"")</f>
        <v/>
      </c>
    </row>
    <row r="742" customFormat="false" ht="23.85" hidden="false" customHeight="false" outlineLevel="0" collapsed="false">
      <c r="A742" s="24" t="s">
        <v>2697</v>
      </c>
      <c r="B742" s="24" t="s">
        <v>65</v>
      </c>
      <c r="C742" s="24" t="s">
        <v>2692</v>
      </c>
      <c r="D742" s="23" t="s">
        <v>680</v>
      </c>
      <c r="E742" s="26" t="s">
        <v>519</v>
      </c>
      <c r="F742" s="24" t="s">
        <v>80</v>
      </c>
      <c r="G742" s="24" t="s">
        <v>939</v>
      </c>
      <c r="H742" s="25" t="n">
        <v>6.97</v>
      </c>
      <c r="I742" s="25"/>
      <c r="J742" s="58"/>
      <c r="K742" s="23" t="s">
        <v>681</v>
      </c>
      <c r="L742" s="24"/>
      <c r="M742" s="24" t="s">
        <v>2698</v>
      </c>
      <c r="N742" s="26" t="s">
        <v>519</v>
      </c>
      <c r="O742" s="24" t="s">
        <v>2124</v>
      </c>
      <c r="P742" s="24" t="s">
        <v>303</v>
      </c>
      <c r="Q742" s="24" t="s">
        <v>942</v>
      </c>
      <c r="R742" s="73" t="s">
        <v>95</v>
      </c>
      <c r="S742" s="0" t="n">
        <f aca="false">IF(Recherche!$B$4="",0,IF(ISNUMBER(SEARCH(Recherche!$B$4,D742))+ISNUMBER(SEARCH(Recherche!$B$4,K742))&gt;0,1,0))</f>
        <v>0</v>
      </c>
      <c r="T742" s="0" t="str">
        <f aca="false">IF(S742=1,SUM($S$2:S742),"")</f>
        <v/>
      </c>
    </row>
    <row r="743" customFormat="false" ht="23.85" hidden="false" customHeight="false" outlineLevel="0" collapsed="false">
      <c r="A743" s="20" t="s">
        <v>2697</v>
      </c>
      <c r="B743" s="20" t="s">
        <v>65</v>
      </c>
      <c r="C743" s="20" t="s">
        <v>2692</v>
      </c>
      <c r="D743" s="19" t="s">
        <v>680</v>
      </c>
      <c r="E743" s="22" t="s">
        <v>519</v>
      </c>
      <c r="F743" s="74" t="s">
        <v>81</v>
      </c>
      <c r="G743" s="74" t="s">
        <v>979</v>
      </c>
      <c r="H743" s="75" t="n">
        <v>8.95</v>
      </c>
      <c r="I743" s="21" t="n">
        <v>9.95</v>
      </c>
      <c r="J743" s="52" t="n">
        <v>10.1</v>
      </c>
      <c r="K743" s="19" t="s">
        <v>2699</v>
      </c>
      <c r="L743" s="20" t="s">
        <v>2700</v>
      </c>
      <c r="M743" s="20" t="s">
        <v>2701</v>
      </c>
      <c r="N743" s="22" t="s">
        <v>91</v>
      </c>
      <c r="O743" s="20" t="s">
        <v>949</v>
      </c>
      <c r="P743" s="20" t="s">
        <v>169</v>
      </c>
      <c r="Q743" s="20" t="s">
        <v>1007</v>
      </c>
      <c r="R743" s="76" t="s">
        <v>95</v>
      </c>
      <c r="S743" s="0" t="n">
        <f aca="false">IF(Recherche!$B$4="",0,IF(ISNUMBER(SEARCH(Recherche!$B$4,D743))+ISNUMBER(SEARCH(Recherche!$B$4,K743))&gt;0,1,0))</f>
        <v>0</v>
      </c>
      <c r="T743" s="0" t="str">
        <f aca="false">IF(S743=1,SUM($S$2:S743),"")</f>
        <v/>
      </c>
    </row>
    <row r="744" customFormat="false" ht="15" hidden="false" customHeight="false" outlineLevel="0" collapsed="false">
      <c r="A744" s="24" t="s">
        <v>2702</v>
      </c>
      <c r="B744" s="24" t="s">
        <v>66</v>
      </c>
      <c r="C744" s="24" t="s">
        <v>2703</v>
      </c>
      <c r="D744" s="23" t="s">
        <v>682</v>
      </c>
      <c r="E744" s="26" t="s">
        <v>553</v>
      </c>
      <c r="F744" s="24" t="s">
        <v>76</v>
      </c>
      <c r="G744" s="24" t="s">
        <v>939</v>
      </c>
      <c r="H744" s="25" t="n">
        <v>6.1</v>
      </c>
      <c r="I744" s="25"/>
      <c r="J744" s="58"/>
      <c r="K744" s="23" t="s">
        <v>683</v>
      </c>
      <c r="L744" s="24" t="s">
        <v>2256</v>
      </c>
      <c r="M744" s="24" t="s">
        <v>2704</v>
      </c>
      <c r="N744" s="26" t="s">
        <v>553</v>
      </c>
      <c r="O744" s="24"/>
      <c r="P744" s="24" t="s">
        <v>93</v>
      </c>
      <c r="Q744" s="24" t="s">
        <v>963</v>
      </c>
      <c r="R744" s="73" t="s">
        <v>95</v>
      </c>
      <c r="S744" s="0" t="n">
        <f aca="false">IF(Recherche!$B$4="",0,IF(ISNUMBER(SEARCH(Recherche!$B$4,D744))+ISNUMBER(SEARCH(Recherche!$B$4,K744))&gt;0,1,0))</f>
        <v>0</v>
      </c>
      <c r="T744" s="0" t="str">
        <f aca="false">IF(S744=1,SUM($S$2:S744),"")</f>
        <v/>
      </c>
    </row>
    <row r="745" customFormat="false" ht="23.85" hidden="false" customHeight="false" outlineLevel="0" collapsed="false">
      <c r="A745" s="20" t="s">
        <v>2702</v>
      </c>
      <c r="B745" s="20" t="s">
        <v>66</v>
      </c>
      <c r="C745" s="20" t="s">
        <v>2703</v>
      </c>
      <c r="D745" s="19" t="s">
        <v>682</v>
      </c>
      <c r="E745" s="22" t="s">
        <v>553</v>
      </c>
      <c r="F745" s="74" t="s">
        <v>81</v>
      </c>
      <c r="G745" s="74" t="s">
        <v>979</v>
      </c>
      <c r="H745" s="75" t="n">
        <v>6.38</v>
      </c>
      <c r="I745" s="21" t="n">
        <v>6.81</v>
      </c>
      <c r="J745" s="52" t="n">
        <v>6.3</v>
      </c>
      <c r="K745" s="19" t="s">
        <v>2705</v>
      </c>
      <c r="L745" s="20" t="s">
        <v>2706</v>
      </c>
      <c r="M745" s="20" t="s">
        <v>2707</v>
      </c>
      <c r="N745" s="22" t="s">
        <v>1700</v>
      </c>
      <c r="O745" s="20" t="s">
        <v>1700</v>
      </c>
      <c r="P745" s="20" t="s">
        <v>169</v>
      </c>
      <c r="Q745" s="20" t="s">
        <v>1007</v>
      </c>
      <c r="R745" s="76" t="s">
        <v>95</v>
      </c>
      <c r="S745" s="0" t="n">
        <f aca="false">IF(Recherche!$B$4="",0,IF(ISNUMBER(SEARCH(Recherche!$B$4,D745))+ISNUMBER(SEARCH(Recherche!$B$4,K745))&gt;0,1,0))</f>
        <v>0</v>
      </c>
      <c r="T745" s="0" t="str">
        <f aca="false">IF(S745=1,SUM($S$2:S745),"")</f>
        <v/>
      </c>
    </row>
    <row r="746" customFormat="false" ht="15" hidden="false" customHeight="false" outlineLevel="0" collapsed="false">
      <c r="A746" s="24" t="s">
        <v>2702</v>
      </c>
      <c r="B746" s="24" t="s">
        <v>66</v>
      </c>
      <c r="C746" s="24" t="s">
        <v>2703</v>
      </c>
      <c r="D746" s="23" t="s">
        <v>682</v>
      </c>
      <c r="E746" s="26" t="s">
        <v>553</v>
      </c>
      <c r="F746" s="74" t="s">
        <v>79</v>
      </c>
      <c r="G746" s="74" t="s">
        <v>943</v>
      </c>
      <c r="H746" s="75" t="n">
        <v>19.3</v>
      </c>
      <c r="I746" s="25"/>
      <c r="J746" s="58"/>
      <c r="K746" s="23" t="s">
        <v>2708</v>
      </c>
      <c r="L746" s="24"/>
      <c r="M746" s="24" t="s">
        <v>2709</v>
      </c>
      <c r="N746" s="26" t="s">
        <v>553</v>
      </c>
      <c r="O746" s="24"/>
      <c r="P746" s="24" t="s">
        <v>313</v>
      </c>
      <c r="Q746" s="24" t="s">
        <v>1016</v>
      </c>
      <c r="R746" s="73" t="s">
        <v>95</v>
      </c>
      <c r="S746" s="0" t="n">
        <f aca="false">IF(Recherche!$B$4="",0,IF(ISNUMBER(SEARCH(Recherche!$B$4,D746))+ISNUMBER(SEARCH(Recherche!$B$4,K746))&gt;0,1,0))</f>
        <v>0</v>
      </c>
      <c r="T746" s="0" t="str">
        <f aca="false">IF(S746=1,SUM($S$2:S746),"")</f>
        <v/>
      </c>
    </row>
    <row r="747" customFormat="false" ht="23.85" hidden="false" customHeight="false" outlineLevel="0" collapsed="false">
      <c r="A747" s="20" t="s">
        <v>2702</v>
      </c>
      <c r="B747" s="20" t="s">
        <v>66</v>
      </c>
      <c r="C747" s="20" t="s">
        <v>2703</v>
      </c>
      <c r="D747" s="19" t="s">
        <v>682</v>
      </c>
      <c r="E747" s="22" t="s">
        <v>553</v>
      </c>
      <c r="F747" s="20" t="s">
        <v>80</v>
      </c>
      <c r="G747" s="20" t="s">
        <v>939</v>
      </c>
      <c r="H747" s="21" t="n">
        <v>33.37</v>
      </c>
      <c r="I747" s="21"/>
      <c r="J747" s="52"/>
      <c r="K747" s="19" t="s">
        <v>2710</v>
      </c>
      <c r="L747" s="20"/>
      <c r="M747" s="20" t="s">
        <v>2711</v>
      </c>
      <c r="N747" s="22" t="s">
        <v>91</v>
      </c>
      <c r="O747" s="20"/>
      <c r="P747" s="20" t="s">
        <v>303</v>
      </c>
      <c r="Q747" s="20" t="s">
        <v>942</v>
      </c>
      <c r="R747" s="76" t="s">
        <v>95</v>
      </c>
      <c r="S747" s="0" t="n">
        <f aca="false">IF(Recherche!$B$4="",0,IF(ISNUMBER(SEARCH(Recherche!$B$4,D747))+ISNUMBER(SEARCH(Recherche!$B$4,K747))&gt;0,1,0))</f>
        <v>0</v>
      </c>
      <c r="T747" s="0" t="str">
        <f aca="false">IF(S747=1,SUM($S$2:S747),"")</f>
        <v/>
      </c>
    </row>
    <row r="748" customFormat="false" ht="23.85" hidden="false" customHeight="false" outlineLevel="0" collapsed="false">
      <c r="A748" s="24" t="s">
        <v>2712</v>
      </c>
      <c r="B748" s="24" t="s">
        <v>66</v>
      </c>
      <c r="C748" s="24" t="s">
        <v>2703</v>
      </c>
      <c r="D748" s="23" t="s">
        <v>684</v>
      </c>
      <c r="E748" s="26" t="s">
        <v>553</v>
      </c>
      <c r="F748" s="24" t="s">
        <v>80</v>
      </c>
      <c r="G748" s="24" t="s">
        <v>939</v>
      </c>
      <c r="H748" s="25" t="n">
        <v>8.57</v>
      </c>
      <c r="I748" s="25"/>
      <c r="J748" s="58"/>
      <c r="K748" s="23" t="s">
        <v>685</v>
      </c>
      <c r="L748" s="24"/>
      <c r="M748" s="24" t="s">
        <v>2713</v>
      </c>
      <c r="N748" s="26" t="s">
        <v>553</v>
      </c>
      <c r="O748" s="24" t="s">
        <v>2714</v>
      </c>
      <c r="P748" s="24" t="s">
        <v>303</v>
      </c>
      <c r="Q748" s="24" t="s">
        <v>942</v>
      </c>
      <c r="R748" s="73" t="s">
        <v>95</v>
      </c>
      <c r="S748" s="0" t="n">
        <f aca="false">IF(Recherche!$B$4="",0,IF(ISNUMBER(SEARCH(Recherche!$B$4,D748))+ISNUMBER(SEARCH(Recherche!$B$4,K748))&gt;0,1,0))</f>
        <v>0</v>
      </c>
      <c r="T748" s="0" t="str">
        <f aca="false">IF(S748=1,SUM($S$2:S748),"")</f>
        <v/>
      </c>
    </row>
    <row r="749" customFormat="false" ht="15" hidden="false" customHeight="false" outlineLevel="0" collapsed="false">
      <c r="A749" s="20" t="s">
        <v>2715</v>
      </c>
      <c r="B749" s="20" t="s">
        <v>66</v>
      </c>
      <c r="C749" s="20" t="s">
        <v>2703</v>
      </c>
      <c r="D749" s="19" t="s">
        <v>686</v>
      </c>
      <c r="E749" s="22" t="s">
        <v>553</v>
      </c>
      <c r="F749" s="20" t="s">
        <v>80</v>
      </c>
      <c r="G749" s="20" t="s">
        <v>939</v>
      </c>
      <c r="H749" s="21" t="n">
        <v>8.81</v>
      </c>
      <c r="I749" s="21"/>
      <c r="J749" s="52"/>
      <c r="K749" s="19" t="s">
        <v>2716</v>
      </c>
      <c r="L749" s="20"/>
      <c r="M749" s="20" t="s">
        <v>2717</v>
      </c>
      <c r="N749" s="22" t="s">
        <v>91</v>
      </c>
      <c r="O749" s="20"/>
      <c r="P749" s="20" t="s">
        <v>303</v>
      </c>
      <c r="Q749" s="20" t="s">
        <v>942</v>
      </c>
      <c r="R749" s="76" t="s">
        <v>95</v>
      </c>
      <c r="S749" s="0" t="n">
        <f aca="false">IF(Recherche!$B$4="",0,IF(ISNUMBER(SEARCH(Recherche!$B$4,D749))+ISNUMBER(SEARCH(Recherche!$B$4,K749))&gt;0,1,0))</f>
        <v>0</v>
      </c>
      <c r="T749" s="0" t="str">
        <f aca="false">IF(S749=1,SUM($S$2:S749),"")</f>
        <v/>
      </c>
    </row>
    <row r="750" customFormat="false" ht="15" hidden="false" customHeight="false" outlineLevel="0" collapsed="false">
      <c r="A750" s="24" t="s">
        <v>2715</v>
      </c>
      <c r="B750" s="24" t="s">
        <v>66</v>
      </c>
      <c r="C750" s="24" t="s">
        <v>2703</v>
      </c>
      <c r="D750" s="23" t="s">
        <v>686</v>
      </c>
      <c r="E750" s="26" t="s">
        <v>553</v>
      </c>
      <c r="F750" s="74" t="s">
        <v>81</v>
      </c>
      <c r="G750" s="74" t="s">
        <v>979</v>
      </c>
      <c r="H750" s="75" t="n">
        <v>12.05</v>
      </c>
      <c r="I750" s="25" t="n">
        <v>13.29</v>
      </c>
      <c r="J750" s="58" t="n">
        <v>9.3</v>
      </c>
      <c r="K750" s="23" t="s">
        <v>687</v>
      </c>
      <c r="L750" s="24" t="s">
        <v>2271</v>
      </c>
      <c r="M750" s="24" t="s">
        <v>2718</v>
      </c>
      <c r="N750" s="26" t="s">
        <v>553</v>
      </c>
      <c r="O750" s="24" t="s">
        <v>2714</v>
      </c>
      <c r="P750" s="24" t="s">
        <v>119</v>
      </c>
      <c r="Q750" s="24" t="s">
        <v>1007</v>
      </c>
      <c r="R750" s="73" t="s">
        <v>95</v>
      </c>
      <c r="S750" s="0" t="n">
        <f aca="false">IF(Recherche!$B$4="",0,IF(ISNUMBER(SEARCH(Recherche!$B$4,D750))+ISNUMBER(SEARCH(Recherche!$B$4,K750))&gt;0,1,0))</f>
        <v>0</v>
      </c>
      <c r="T750" s="0" t="str">
        <f aca="false">IF(S750=1,SUM($S$2:S750),"")</f>
        <v/>
      </c>
    </row>
    <row r="751" customFormat="false" ht="15" hidden="false" customHeight="false" outlineLevel="0" collapsed="false">
      <c r="A751" s="20" t="s">
        <v>2719</v>
      </c>
      <c r="B751" s="20" t="s">
        <v>66</v>
      </c>
      <c r="C751" s="20" t="s">
        <v>2703</v>
      </c>
      <c r="D751" s="19" t="s">
        <v>688</v>
      </c>
      <c r="E751" s="22" t="s">
        <v>553</v>
      </c>
      <c r="F751" s="74" t="s">
        <v>81</v>
      </c>
      <c r="G751" s="74" t="s">
        <v>979</v>
      </c>
      <c r="H751" s="75" t="n">
        <v>3.41</v>
      </c>
      <c r="I751" s="21" t="n">
        <v>3.41</v>
      </c>
      <c r="J751" s="52"/>
      <c r="K751" s="19" t="s">
        <v>2720</v>
      </c>
      <c r="L751" s="20" t="s">
        <v>2721</v>
      </c>
      <c r="M751" s="20" t="s">
        <v>2722</v>
      </c>
      <c r="N751" s="22" t="s">
        <v>1700</v>
      </c>
      <c r="O751" s="20" t="s">
        <v>1700</v>
      </c>
      <c r="P751" s="20" t="s">
        <v>169</v>
      </c>
      <c r="Q751" s="20" t="s">
        <v>1007</v>
      </c>
      <c r="R751" s="76" t="s">
        <v>95</v>
      </c>
      <c r="S751" s="0" t="n">
        <f aca="false">IF(Recherche!$B$4="",0,IF(ISNUMBER(SEARCH(Recherche!$B$4,D751))+ISNUMBER(SEARCH(Recherche!$B$4,K751))&gt;0,1,0))</f>
        <v>0</v>
      </c>
      <c r="T751" s="0" t="str">
        <f aca="false">IF(S751=1,SUM($S$2:S751),"")</f>
        <v/>
      </c>
    </row>
    <row r="752" customFormat="false" ht="15" hidden="false" customHeight="false" outlineLevel="0" collapsed="false">
      <c r="A752" s="24" t="s">
        <v>2719</v>
      </c>
      <c r="B752" s="24" t="s">
        <v>66</v>
      </c>
      <c r="C752" s="24" t="s">
        <v>2703</v>
      </c>
      <c r="D752" s="23" t="s">
        <v>688</v>
      </c>
      <c r="E752" s="26" t="s">
        <v>553</v>
      </c>
      <c r="F752" s="24" t="s">
        <v>76</v>
      </c>
      <c r="G752" s="24" t="s">
        <v>939</v>
      </c>
      <c r="H752" s="25" t="n">
        <v>6.1</v>
      </c>
      <c r="I752" s="25"/>
      <c r="J752" s="58"/>
      <c r="K752" s="23" t="s">
        <v>683</v>
      </c>
      <c r="L752" s="24" t="s">
        <v>2256</v>
      </c>
      <c r="M752" s="24" t="s">
        <v>2704</v>
      </c>
      <c r="N752" s="26" t="s">
        <v>553</v>
      </c>
      <c r="O752" s="24"/>
      <c r="P752" s="24" t="s">
        <v>93</v>
      </c>
      <c r="Q752" s="24" t="s">
        <v>942</v>
      </c>
      <c r="R752" s="73" t="s">
        <v>95</v>
      </c>
      <c r="S752" s="0" t="n">
        <f aca="false">IF(Recherche!$B$4="",0,IF(ISNUMBER(SEARCH(Recherche!$B$4,D752))+ISNUMBER(SEARCH(Recherche!$B$4,K752))&gt;0,1,0))</f>
        <v>0</v>
      </c>
      <c r="T752" s="0" t="str">
        <f aca="false">IF(S752=1,SUM($S$2:S752),"")</f>
        <v/>
      </c>
    </row>
    <row r="753" customFormat="false" ht="23.85" hidden="false" customHeight="false" outlineLevel="0" collapsed="false">
      <c r="A753" s="20" t="s">
        <v>2719</v>
      </c>
      <c r="B753" s="20" t="s">
        <v>66</v>
      </c>
      <c r="C753" s="20" t="s">
        <v>2703</v>
      </c>
      <c r="D753" s="19" t="s">
        <v>688</v>
      </c>
      <c r="E753" s="22" t="s">
        <v>553</v>
      </c>
      <c r="F753" s="74" t="s">
        <v>79</v>
      </c>
      <c r="G753" s="74" t="s">
        <v>943</v>
      </c>
      <c r="H753" s="75" t="n">
        <v>10.05</v>
      </c>
      <c r="I753" s="21"/>
      <c r="J753" s="52"/>
      <c r="K753" s="19" t="s">
        <v>2723</v>
      </c>
      <c r="L753" s="20"/>
      <c r="M753" s="20" t="s">
        <v>2724</v>
      </c>
      <c r="N753" s="22" t="s">
        <v>553</v>
      </c>
      <c r="O753" s="20"/>
      <c r="P753" s="20" t="s">
        <v>313</v>
      </c>
      <c r="Q753" s="20" t="s">
        <v>1387</v>
      </c>
      <c r="R753" s="76" t="s">
        <v>95</v>
      </c>
      <c r="S753" s="0" t="n">
        <f aca="false">IF(Recherche!$B$4="",0,IF(ISNUMBER(SEARCH(Recherche!$B$4,D753))+ISNUMBER(SEARCH(Recherche!$B$4,K753))&gt;0,1,0))</f>
        <v>0</v>
      </c>
      <c r="T753" s="0" t="str">
        <f aca="false">IF(S753=1,SUM($S$2:S753),"")</f>
        <v/>
      </c>
    </row>
    <row r="754" customFormat="false" ht="23.85" hidden="false" customHeight="false" outlineLevel="0" collapsed="false">
      <c r="A754" s="24" t="s">
        <v>2719</v>
      </c>
      <c r="B754" s="24" t="s">
        <v>66</v>
      </c>
      <c r="C754" s="24" t="s">
        <v>2703</v>
      </c>
      <c r="D754" s="23" t="s">
        <v>688</v>
      </c>
      <c r="E754" s="26" t="s">
        <v>553</v>
      </c>
      <c r="F754" s="24" t="s">
        <v>80</v>
      </c>
      <c r="G754" s="24" t="s">
        <v>939</v>
      </c>
      <c r="H754" s="25" t="n">
        <v>12.02</v>
      </c>
      <c r="I754" s="25"/>
      <c r="J754" s="58"/>
      <c r="K754" s="23" t="s">
        <v>2725</v>
      </c>
      <c r="L754" s="24"/>
      <c r="M754" s="24" t="s">
        <v>2726</v>
      </c>
      <c r="N754" s="26" t="s">
        <v>91</v>
      </c>
      <c r="O754" s="24"/>
      <c r="P754" s="24" t="s">
        <v>303</v>
      </c>
      <c r="Q754" s="24" t="s">
        <v>942</v>
      </c>
      <c r="R754" s="73" t="s">
        <v>95</v>
      </c>
      <c r="S754" s="0" t="n">
        <f aca="false">IF(Recherche!$B$4="",0,IF(ISNUMBER(SEARCH(Recherche!$B$4,D754))+ISNUMBER(SEARCH(Recherche!$B$4,K754))&gt;0,1,0))</f>
        <v>0</v>
      </c>
      <c r="T754" s="0" t="str">
        <f aca="false">IF(S754=1,SUM($S$2:S754),"")</f>
        <v/>
      </c>
    </row>
    <row r="755" customFormat="false" ht="15" hidden="false" customHeight="false" outlineLevel="0" collapsed="false">
      <c r="A755" s="20" t="s">
        <v>2727</v>
      </c>
      <c r="B755" s="20" t="s">
        <v>66</v>
      </c>
      <c r="C755" s="20" t="s">
        <v>2728</v>
      </c>
      <c r="D755" s="19" t="s">
        <v>689</v>
      </c>
      <c r="E755" s="22" t="s">
        <v>553</v>
      </c>
      <c r="F755" s="74" t="s">
        <v>79</v>
      </c>
      <c r="G755" s="74" t="s">
        <v>943</v>
      </c>
      <c r="H755" s="75" t="n">
        <v>2.44</v>
      </c>
      <c r="I755" s="21"/>
      <c r="J755" s="52"/>
      <c r="K755" s="19" t="s">
        <v>690</v>
      </c>
      <c r="L755" s="20"/>
      <c r="M755" s="20" t="s">
        <v>2729</v>
      </c>
      <c r="N755" s="22" t="s">
        <v>553</v>
      </c>
      <c r="O755" s="20"/>
      <c r="P755" s="20" t="s">
        <v>313</v>
      </c>
      <c r="Q755" s="20" t="s">
        <v>1387</v>
      </c>
      <c r="R755" s="76" t="s">
        <v>95</v>
      </c>
      <c r="S755" s="0" t="n">
        <f aca="false">IF(Recherche!$B$4="",0,IF(ISNUMBER(SEARCH(Recherche!$B$4,D755))+ISNUMBER(SEARCH(Recherche!$B$4,K755))&gt;0,1,0))</f>
        <v>0</v>
      </c>
      <c r="T755" s="0" t="str">
        <f aca="false">IF(S755=1,SUM($S$2:S755),"")</f>
        <v/>
      </c>
    </row>
    <row r="756" customFormat="false" ht="15" hidden="false" customHeight="false" outlineLevel="0" collapsed="false">
      <c r="A756" s="24" t="s">
        <v>2727</v>
      </c>
      <c r="B756" s="24" t="s">
        <v>66</v>
      </c>
      <c r="C756" s="24" t="s">
        <v>2728</v>
      </c>
      <c r="D756" s="23" t="s">
        <v>689</v>
      </c>
      <c r="E756" s="26" t="s">
        <v>553</v>
      </c>
      <c r="F756" s="74" t="s">
        <v>81</v>
      </c>
      <c r="G756" s="74" t="s">
        <v>979</v>
      </c>
      <c r="H756" s="75" t="n">
        <v>4.29</v>
      </c>
      <c r="I756" s="25" t="n">
        <v>4.77</v>
      </c>
      <c r="J756" s="58" t="n">
        <v>10.1</v>
      </c>
      <c r="K756" s="23" t="s">
        <v>2730</v>
      </c>
      <c r="L756" s="24" t="s">
        <v>2731</v>
      </c>
      <c r="M756" s="24" t="s">
        <v>2732</v>
      </c>
      <c r="N756" s="26" t="s">
        <v>1700</v>
      </c>
      <c r="O756" s="24" t="s">
        <v>1700</v>
      </c>
      <c r="P756" s="24" t="s">
        <v>169</v>
      </c>
      <c r="Q756" s="24" t="s">
        <v>1007</v>
      </c>
      <c r="R756" s="73" t="s">
        <v>95</v>
      </c>
      <c r="S756" s="0" t="n">
        <f aca="false">IF(Recherche!$B$4="",0,IF(ISNUMBER(SEARCH(Recherche!$B$4,D756))+ISNUMBER(SEARCH(Recherche!$B$4,K756))&gt;0,1,0))</f>
        <v>0</v>
      </c>
      <c r="T756" s="0" t="str">
        <f aca="false">IF(S756=1,SUM($S$2:S756),"")</f>
        <v/>
      </c>
    </row>
    <row r="757" customFormat="false" ht="23.85" hidden="false" customHeight="false" outlineLevel="0" collapsed="false">
      <c r="A757" s="20" t="s">
        <v>2727</v>
      </c>
      <c r="B757" s="20" t="s">
        <v>66</v>
      </c>
      <c r="C757" s="20" t="s">
        <v>2728</v>
      </c>
      <c r="D757" s="19" t="s">
        <v>689</v>
      </c>
      <c r="E757" s="22" t="s">
        <v>553</v>
      </c>
      <c r="F757" s="20" t="s">
        <v>80</v>
      </c>
      <c r="G757" s="20" t="s">
        <v>939</v>
      </c>
      <c r="H757" s="21" t="n">
        <v>4.81</v>
      </c>
      <c r="I757" s="21"/>
      <c r="J757" s="52"/>
      <c r="K757" s="19" t="s">
        <v>2733</v>
      </c>
      <c r="L757" s="20"/>
      <c r="M757" s="20" t="s">
        <v>2734</v>
      </c>
      <c r="N757" s="22" t="s">
        <v>91</v>
      </c>
      <c r="O757" s="20"/>
      <c r="P757" s="20" t="s">
        <v>303</v>
      </c>
      <c r="Q757" s="20" t="s">
        <v>942</v>
      </c>
      <c r="R757" s="76" t="s">
        <v>95</v>
      </c>
      <c r="S757" s="0" t="n">
        <f aca="false">IF(Recherche!$B$4="",0,IF(ISNUMBER(SEARCH(Recherche!$B$4,D757))+ISNUMBER(SEARCH(Recherche!$B$4,K757))&gt;0,1,0))</f>
        <v>0</v>
      </c>
      <c r="T757" s="0" t="str">
        <f aca="false">IF(S757=1,SUM($S$2:S757),"")</f>
        <v/>
      </c>
    </row>
    <row r="758" customFormat="false" ht="15" hidden="false" customHeight="false" outlineLevel="0" collapsed="false">
      <c r="A758" s="24" t="s">
        <v>2735</v>
      </c>
      <c r="B758" s="24" t="s">
        <v>66</v>
      </c>
      <c r="C758" s="24" t="s">
        <v>2728</v>
      </c>
      <c r="D758" s="23" t="s">
        <v>691</v>
      </c>
      <c r="E758" s="26" t="s">
        <v>553</v>
      </c>
      <c r="F758" s="74" t="s">
        <v>79</v>
      </c>
      <c r="G758" s="74" t="s">
        <v>943</v>
      </c>
      <c r="H758" s="75" t="n">
        <v>4.08</v>
      </c>
      <c r="I758" s="25"/>
      <c r="J758" s="58"/>
      <c r="K758" s="23" t="s">
        <v>692</v>
      </c>
      <c r="L758" s="24"/>
      <c r="M758" s="24" t="s">
        <v>2736</v>
      </c>
      <c r="N758" s="26" t="s">
        <v>553</v>
      </c>
      <c r="O758" s="24"/>
      <c r="P758" s="24" t="s">
        <v>313</v>
      </c>
      <c r="Q758" s="24" t="s">
        <v>1387</v>
      </c>
      <c r="R758" s="73" t="s">
        <v>95</v>
      </c>
      <c r="S758" s="0" t="n">
        <f aca="false">IF(Recherche!$B$4="",0,IF(ISNUMBER(SEARCH(Recherche!$B$4,D758))+ISNUMBER(SEARCH(Recherche!$B$4,K758))&gt;0,1,0))</f>
        <v>0</v>
      </c>
      <c r="T758" s="0" t="str">
        <f aca="false">IF(S758=1,SUM($S$2:S758),"")</f>
        <v/>
      </c>
    </row>
    <row r="759" customFormat="false" ht="15" hidden="false" customHeight="false" outlineLevel="0" collapsed="false">
      <c r="A759" s="20" t="s">
        <v>2737</v>
      </c>
      <c r="B759" s="20" t="s">
        <v>66</v>
      </c>
      <c r="C759" s="20" t="s">
        <v>2738</v>
      </c>
      <c r="D759" s="19" t="s">
        <v>693</v>
      </c>
      <c r="E759" s="22" t="s">
        <v>91</v>
      </c>
      <c r="F759" s="20" t="s">
        <v>80</v>
      </c>
      <c r="G759" s="20" t="s">
        <v>939</v>
      </c>
      <c r="H759" s="21" t="n">
        <v>3.97</v>
      </c>
      <c r="I759" s="21"/>
      <c r="J759" s="52"/>
      <c r="K759" s="19" t="s">
        <v>694</v>
      </c>
      <c r="L759" s="20"/>
      <c r="M759" s="20" t="s">
        <v>2739</v>
      </c>
      <c r="N759" s="22" t="s">
        <v>91</v>
      </c>
      <c r="O759" s="20"/>
      <c r="P759" s="20" t="s">
        <v>303</v>
      </c>
      <c r="Q759" s="20" t="s">
        <v>963</v>
      </c>
      <c r="R759" s="76" t="s">
        <v>95</v>
      </c>
      <c r="S759" s="0" t="n">
        <f aca="false">IF(Recherche!$B$4="",0,IF(ISNUMBER(SEARCH(Recherche!$B$4,D759))+ISNUMBER(SEARCH(Recherche!$B$4,K759))&gt;0,1,0))</f>
        <v>0</v>
      </c>
      <c r="T759" s="0" t="str">
        <f aca="false">IF(S759=1,SUM($S$2:S759),"")</f>
        <v/>
      </c>
    </row>
    <row r="760" customFormat="false" ht="23.85" hidden="false" customHeight="false" outlineLevel="0" collapsed="false">
      <c r="A760" s="24" t="s">
        <v>2740</v>
      </c>
      <c r="B760" s="24" t="s">
        <v>66</v>
      </c>
      <c r="C760" s="24" t="s">
        <v>2738</v>
      </c>
      <c r="D760" s="23" t="s">
        <v>695</v>
      </c>
      <c r="E760" s="26" t="s">
        <v>91</v>
      </c>
      <c r="F760" s="24" t="s">
        <v>80</v>
      </c>
      <c r="G760" s="24" t="s">
        <v>939</v>
      </c>
      <c r="H760" s="25" t="n">
        <v>1.86</v>
      </c>
      <c r="I760" s="25"/>
      <c r="J760" s="58"/>
      <c r="K760" s="23" t="s">
        <v>696</v>
      </c>
      <c r="L760" s="24"/>
      <c r="M760" s="24" t="s">
        <v>2741</v>
      </c>
      <c r="N760" s="26" t="s">
        <v>91</v>
      </c>
      <c r="O760" s="24"/>
      <c r="P760" s="24" t="s">
        <v>303</v>
      </c>
      <c r="Q760" s="24" t="s">
        <v>942</v>
      </c>
      <c r="R760" s="73" t="s">
        <v>95</v>
      </c>
      <c r="S760" s="0" t="n">
        <f aca="false">IF(Recherche!$B$4="",0,IF(ISNUMBER(SEARCH(Recherche!$B$4,D760))+ISNUMBER(SEARCH(Recherche!$B$4,K760))&gt;0,1,0))</f>
        <v>0</v>
      </c>
      <c r="T760" s="0" t="str">
        <f aca="false">IF(S760=1,SUM($S$2:S760),"")</f>
        <v/>
      </c>
    </row>
    <row r="761" customFormat="false" ht="23.85" hidden="false" customHeight="false" outlineLevel="0" collapsed="false">
      <c r="A761" s="20" t="s">
        <v>2740</v>
      </c>
      <c r="B761" s="20" t="s">
        <v>66</v>
      </c>
      <c r="C761" s="20" t="s">
        <v>2738</v>
      </c>
      <c r="D761" s="19" t="s">
        <v>695</v>
      </c>
      <c r="E761" s="22" t="s">
        <v>91</v>
      </c>
      <c r="F761" s="74" t="s">
        <v>79</v>
      </c>
      <c r="G761" s="74" t="s">
        <v>943</v>
      </c>
      <c r="H761" s="75" t="n">
        <v>174.08</v>
      </c>
      <c r="I761" s="21"/>
      <c r="J761" s="52"/>
      <c r="K761" s="19" t="s">
        <v>2742</v>
      </c>
      <c r="L761" s="20"/>
      <c r="M761" s="20" t="s">
        <v>2743</v>
      </c>
      <c r="N761" s="22" t="s">
        <v>2744</v>
      </c>
      <c r="O761" s="20"/>
      <c r="P761" s="20" t="s">
        <v>313</v>
      </c>
      <c r="Q761" s="20" t="s">
        <v>1387</v>
      </c>
      <c r="R761" s="76" t="s">
        <v>95</v>
      </c>
      <c r="S761" s="0" t="n">
        <f aca="false">IF(Recherche!$B$4="",0,IF(ISNUMBER(SEARCH(Recherche!$B$4,D761))+ISNUMBER(SEARCH(Recherche!$B$4,K761))&gt;0,1,0))</f>
        <v>0</v>
      </c>
      <c r="T761" s="0" t="str">
        <f aca="false">IF(S761=1,SUM($S$2:S761),"")</f>
        <v/>
      </c>
    </row>
    <row r="762" customFormat="false" ht="15" hidden="false" customHeight="false" outlineLevel="0" collapsed="false">
      <c r="A762" s="24" t="s">
        <v>2745</v>
      </c>
      <c r="B762" s="24" t="s">
        <v>66</v>
      </c>
      <c r="C762" s="24" t="s">
        <v>2738</v>
      </c>
      <c r="D762" s="23" t="s">
        <v>697</v>
      </c>
      <c r="E762" s="26" t="s">
        <v>91</v>
      </c>
      <c r="F762" s="24" t="s">
        <v>76</v>
      </c>
      <c r="G762" s="24" t="s">
        <v>939</v>
      </c>
      <c r="H762" s="25" t="n">
        <v>15.76</v>
      </c>
      <c r="I762" s="25"/>
      <c r="J762" s="58"/>
      <c r="K762" s="23" t="s">
        <v>698</v>
      </c>
      <c r="L762" s="24" t="s">
        <v>2746</v>
      </c>
      <c r="M762" s="24" t="s">
        <v>2747</v>
      </c>
      <c r="N762" s="26" t="s">
        <v>91</v>
      </c>
      <c r="O762" s="24"/>
      <c r="P762" s="24" t="s">
        <v>93</v>
      </c>
      <c r="Q762" s="24" t="s">
        <v>1052</v>
      </c>
      <c r="R762" s="73" t="s">
        <v>95</v>
      </c>
      <c r="S762" s="0" t="n">
        <f aca="false">IF(Recherche!$B$4="",0,IF(ISNUMBER(SEARCH(Recherche!$B$4,D762))+ISNUMBER(SEARCH(Recherche!$B$4,K762))&gt;0,1,0))</f>
        <v>0</v>
      </c>
      <c r="T762" s="0" t="str">
        <f aca="false">IF(S762=1,SUM($S$2:S762),"")</f>
        <v/>
      </c>
    </row>
    <row r="763" customFormat="false" ht="15" hidden="false" customHeight="false" outlineLevel="0" collapsed="false">
      <c r="A763" s="20" t="s">
        <v>2745</v>
      </c>
      <c r="B763" s="20" t="s">
        <v>66</v>
      </c>
      <c r="C763" s="20" t="s">
        <v>2738</v>
      </c>
      <c r="D763" s="19" t="s">
        <v>697</v>
      </c>
      <c r="E763" s="22" t="s">
        <v>91</v>
      </c>
      <c r="F763" s="74" t="s">
        <v>81</v>
      </c>
      <c r="G763" s="74" t="s">
        <v>979</v>
      </c>
      <c r="H763" s="75" t="n">
        <v>23.96</v>
      </c>
      <c r="I763" s="21" t="n">
        <v>25.32</v>
      </c>
      <c r="J763" s="52" t="n">
        <v>5.4</v>
      </c>
      <c r="K763" s="19" t="s">
        <v>2748</v>
      </c>
      <c r="L763" s="20" t="s">
        <v>2149</v>
      </c>
      <c r="M763" s="20" t="s">
        <v>2749</v>
      </c>
      <c r="N763" s="22" t="s">
        <v>2213</v>
      </c>
      <c r="O763" s="20" t="s">
        <v>949</v>
      </c>
      <c r="P763" s="20" t="s">
        <v>169</v>
      </c>
      <c r="Q763" s="20" t="s">
        <v>1007</v>
      </c>
      <c r="R763" s="76" t="s">
        <v>95</v>
      </c>
      <c r="S763" s="0" t="n">
        <f aca="false">IF(Recherche!$B$4="",0,IF(ISNUMBER(SEARCH(Recherche!$B$4,D763))+ISNUMBER(SEARCH(Recherche!$B$4,K763))&gt;0,1,0))</f>
        <v>0</v>
      </c>
      <c r="T763" s="0" t="str">
        <f aca="false">IF(S763=1,SUM($S$2:S763),"")</f>
        <v/>
      </c>
    </row>
    <row r="764" customFormat="false" ht="23.85" hidden="false" customHeight="false" outlineLevel="0" collapsed="false">
      <c r="A764" s="24" t="s">
        <v>2750</v>
      </c>
      <c r="B764" s="24" t="s">
        <v>66</v>
      </c>
      <c r="C764" s="24" t="s">
        <v>2751</v>
      </c>
      <c r="D764" s="23" t="s">
        <v>699</v>
      </c>
      <c r="E764" s="26" t="s">
        <v>493</v>
      </c>
      <c r="F764" s="74" t="s">
        <v>79</v>
      </c>
      <c r="G764" s="74" t="s">
        <v>943</v>
      </c>
      <c r="H764" s="75" t="n">
        <v>6.56</v>
      </c>
      <c r="I764" s="25"/>
      <c r="J764" s="58"/>
      <c r="K764" s="23" t="s">
        <v>2752</v>
      </c>
      <c r="L764" s="24"/>
      <c r="M764" s="24" t="s">
        <v>2753</v>
      </c>
      <c r="N764" s="26" t="s">
        <v>2754</v>
      </c>
      <c r="O764" s="24"/>
      <c r="P764" s="24" t="s">
        <v>313</v>
      </c>
      <c r="Q764" s="24" t="s">
        <v>1016</v>
      </c>
      <c r="R764" s="73"/>
      <c r="S764" s="0" t="n">
        <f aca="false">IF(Recherche!$B$4="",0,IF(ISNUMBER(SEARCH(Recherche!$B$4,D764))+ISNUMBER(SEARCH(Recherche!$B$4,K764))&gt;0,1,0))</f>
        <v>0</v>
      </c>
      <c r="T764" s="0" t="str">
        <f aca="false">IF(S764=1,SUM($S$2:S764),"")</f>
        <v/>
      </c>
    </row>
    <row r="765" customFormat="false" ht="23.85" hidden="false" customHeight="false" outlineLevel="0" collapsed="false">
      <c r="A765" s="20" t="s">
        <v>2750</v>
      </c>
      <c r="B765" s="20" t="s">
        <v>66</v>
      </c>
      <c r="C765" s="20" t="s">
        <v>2751</v>
      </c>
      <c r="D765" s="19" t="s">
        <v>699</v>
      </c>
      <c r="E765" s="22" t="s">
        <v>493</v>
      </c>
      <c r="F765" s="20" t="s">
        <v>80</v>
      </c>
      <c r="G765" s="20" t="s">
        <v>939</v>
      </c>
      <c r="H765" s="21" t="n">
        <v>14.32</v>
      </c>
      <c r="I765" s="21"/>
      <c r="J765" s="52"/>
      <c r="K765" s="19" t="s">
        <v>700</v>
      </c>
      <c r="L765" s="20"/>
      <c r="M765" s="20" t="s">
        <v>2755</v>
      </c>
      <c r="N765" s="22" t="s">
        <v>2209</v>
      </c>
      <c r="O765" s="20"/>
      <c r="P765" s="20" t="s">
        <v>303</v>
      </c>
      <c r="Q765" s="20" t="s">
        <v>942</v>
      </c>
      <c r="R765" s="76" t="s">
        <v>95</v>
      </c>
      <c r="S765" s="0" t="n">
        <f aca="false">IF(Recherche!$B$4="",0,IF(ISNUMBER(SEARCH(Recherche!$B$4,D765))+ISNUMBER(SEARCH(Recherche!$B$4,K765))&gt;0,1,0))</f>
        <v>0</v>
      </c>
      <c r="T765" s="0" t="str">
        <f aca="false">IF(S765=1,SUM($S$2:S765),"")</f>
        <v/>
      </c>
    </row>
    <row r="766" customFormat="false" ht="15" hidden="false" customHeight="false" outlineLevel="0" collapsed="false">
      <c r="A766" s="24" t="s">
        <v>2750</v>
      </c>
      <c r="B766" s="24" t="s">
        <v>66</v>
      </c>
      <c r="C766" s="24" t="s">
        <v>2751</v>
      </c>
      <c r="D766" s="23" t="s">
        <v>699</v>
      </c>
      <c r="E766" s="26" t="s">
        <v>493</v>
      </c>
      <c r="F766" s="74" t="s">
        <v>81</v>
      </c>
      <c r="G766" s="74" t="s">
        <v>979</v>
      </c>
      <c r="H766" s="75" t="n">
        <v>48.4</v>
      </c>
      <c r="I766" s="25" t="n">
        <v>53.73</v>
      </c>
      <c r="J766" s="58" t="n">
        <v>9.9</v>
      </c>
      <c r="K766" s="23" t="s">
        <v>2756</v>
      </c>
      <c r="L766" s="24" t="s">
        <v>1522</v>
      </c>
      <c r="M766" s="24" t="s">
        <v>2757</v>
      </c>
      <c r="N766" s="26" t="s">
        <v>2227</v>
      </c>
      <c r="O766" s="24" t="s">
        <v>2227</v>
      </c>
      <c r="P766" s="24" t="s">
        <v>169</v>
      </c>
      <c r="Q766" s="24" t="s">
        <v>1007</v>
      </c>
      <c r="R766" s="73" t="s">
        <v>95</v>
      </c>
      <c r="S766" s="0" t="n">
        <f aca="false">IF(Recherche!$B$4="",0,IF(ISNUMBER(SEARCH(Recherche!$B$4,D766))+ISNUMBER(SEARCH(Recherche!$B$4,K766))&gt;0,1,0))</f>
        <v>0</v>
      </c>
      <c r="T766" s="0" t="str">
        <f aca="false">IF(S766=1,SUM($S$2:S766),"")</f>
        <v/>
      </c>
    </row>
    <row r="767" customFormat="false" ht="15" hidden="false" customHeight="false" outlineLevel="0" collapsed="false">
      <c r="A767" s="20" t="s">
        <v>2758</v>
      </c>
      <c r="B767" s="20" t="s">
        <v>66</v>
      </c>
      <c r="C767" s="20" t="s">
        <v>2751</v>
      </c>
      <c r="D767" s="19" t="s">
        <v>701</v>
      </c>
      <c r="E767" s="22" t="s">
        <v>137</v>
      </c>
      <c r="F767" s="74" t="s">
        <v>79</v>
      </c>
      <c r="G767" s="74" t="s">
        <v>943</v>
      </c>
      <c r="H767" s="75" t="n">
        <v>1.36</v>
      </c>
      <c r="I767" s="21"/>
      <c r="J767" s="52"/>
      <c r="K767" s="19" t="s">
        <v>2759</v>
      </c>
      <c r="L767" s="20"/>
      <c r="M767" s="20" t="s">
        <v>2760</v>
      </c>
      <c r="N767" s="22" t="s">
        <v>91</v>
      </c>
      <c r="O767" s="20"/>
      <c r="P767" s="20" t="s">
        <v>313</v>
      </c>
      <c r="Q767" s="20" t="s">
        <v>1387</v>
      </c>
      <c r="R767" s="76" t="s">
        <v>95</v>
      </c>
      <c r="S767" s="0" t="n">
        <f aca="false">IF(Recherche!$B$4="",0,IF(ISNUMBER(SEARCH(Recherche!$B$4,D767))+ISNUMBER(SEARCH(Recherche!$B$4,K767))&gt;0,1,0))</f>
        <v>0</v>
      </c>
      <c r="T767" s="0" t="str">
        <f aca="false">IF(S767=1,SUM($S$2:S767),"")</f>
        <v/>
      </c>
    </row>
    <row r="768" customFormat="false" ht="23.85" hidden="false" customHeight="false" outlineLevel="0" collapsed="false">
      <c r="A768" s="24" t="s">
        <v>2758</v>
      </c>
      <c r="B768" s="24" t="s">
        <v>66</v>
      </c>
      <c r="C768" s="24" t="s">
        <v>2751</v>
      </c>
      <c r="D768" s="23" t="s">
        <v>701</v>
      </c>
      <c r="E768" s="26" t="s">
        <v>137</v>
      </c>
      <c r="F768" s="24" t="s">
        <v>80</v>
      </c>
      <c r="G768" s="24" t="s">
        <v>939</v>
      </c>
      <c r="H768" s="25" t="n">
        <v>2.9</v>
      </c>
      <c r="I768" s="25"/>
      <c r="J768" s="58"/>
      <c r="K768" s="23" t="s">
        <v>702</v>
      </c>
      <c r="L768" s="24"/>
      <c r="M768" s="24" t="s">
        <v>2761</v>
      </c>
      <c r="N768" s="26" t="s">
        <v>1533</v>
      </c>
      <c r="O768" s="24"/>
      <c r="P768" s="24" t="s">
        <v>303</v>
      </c>
      <c r="Q768" s="24" t="s">
        <v>942</v>
      </c>
      <c r="R768" s="73" t="s">
        <v>95</v>
      </c>
      <c r="S768" s="0" t="n">
        <f aca="false">IF(Recherche!$B$4="",0,IF(ISNUMBER(SEARCH(Recherche!$B$4,D768))+ISNUMBER(SEARCH(Recherche!$B$4,K768))&gt;0,1,0))</f>
        <v>0</v>
      </c>
      <c r="T768" s="0" t="str">
        <f aca="false">IF(S768=1,SUM($S$2:S768),"")</f>
        <v/>
      </c>
    </row>
    <row r="769" customFormat="false" ht="15" hidden="false" customHeight="false" outlineLevel="0" collapsed="false">
      <c r="A769" s="20" t="s">
        <v>2758</v>
      </c>
      <c r="B769" s="20" t="s">
        <v>66</v>
      </c>
      <c r="C769" s="20" t="s">
        <v>2751</v>
      </c>
      <c r="D769" s="19" t="s">
        <v>701</v>
      </c>
      <c r="E769" s="22" t="s">
        <v>137</v>
      </c>
      <c r="F769" s="20" t="s">
        <v>76</v>
      </c>
      <c r="G769" s="20" t="s">
        <v>939</v>
      </c>
      <c r="H769" s="21" t="n">
        <v>16.7</v>
      </c>
      <c r="I769" s="21"/>
      <c r="J769" s="52"/>
      <c r="K769" s="19" t="s">
        <v>2762</v>
      </c>
      <c r="L769" s="20" t="s">
        <v>2763</v>
      </c>
      <c r="M769" s="20" t="s">
        <v>2764</v>
      </c>
      <c r="N769" s="22" t="s">
        <v>137</v>
      </c>
      <c r="O769" s="20"/>
      <c r="P769" s="20" t="s">
        <v>93</v>
      </c>
      <c r="Q769" s="20" t="s">
        <v>942</v>
      </c>
      <c r="R769" s="76" t="s">
        <v>95</v>
      </c>
      <c r="S769" s="0" t="n">
        <f aca="false">IF(Recherche!$B$4="",0,IF(ISNUMBER(SEARCH(Recherche!$B$4,D769))+ISNUMBER(SEARCH(Recherche!$B$4,K769))&gt;0,1,0))</f>
        <v>0</v>
      </c>
      <c r="T769" s="0" t="str">
        <f aca="false">IF(S769=1,SUM($S$2:S769),"")</f>
        <v/>
      </c>
    </row>
    <row r="770" customFormat="false" ht="15" hidden="false" customHeight="false" outlineLevel="0" collapsed="false">
      <c r="A770" s="24" t="s">
        <v>2758</v>
      </c>
      <c r="B770" s="24" t="s">
        <v>66</v>
      </c>
      <c r="C770" s="24" t="s">
        <v>2751</v>
      </c>
      <c r="D770" s="23" t="s">
        <v>701</v>
      </c>
      <c r="E770" s="26" t="s">
        <v>137</v>
      </c>
      <c r="F770" s="74" t="s">
        <v>81</v>
      </c>
      <c r="G770" s="74" t="s">
        <v>979</v>
      </c>
      <c r="H770" s="75" t="n">
        <v>17.8</v>
      </c>
      <c r="I770" s="25" t="n">
        <v>18.7</v>
      </c>
      <c r="J770" s="58" t="n">
        <v>4.8</v>
      </c>
      <c r="K770" s="23" t="s">
        <v>2765</v>
      </c>
      <c r="L770" s="24" t="s">
        <v>1702</v>
      </c>
      <c r="M770" s="24" t="s">
        <v>2766</v>
      </c>
      <c r="N770" s="26" t="s">
        <v>91</v>
      </c>
      <c r="O770" s="24" t="s">
        <v>949</v>
      </c>
      <c r="P770" s="24" t="s">
        <v>119</v>
      </c>
      <c r="Q770" s="24" t="s">
        <v>1007</v>
      </c>
      <c r="R770" s="73" t="s">
        <v>95</v>
      </c>
      <c r="S770" s="0" t="n">
        <f aca="false">IF(Recherche!$B$4="",0,IF(ISNUMBER(SEARCH(Recherche!$B$4,D770))+ISNUMBER(SEARCH(Recherche!$B$4,K770))&gt;0,1,0))</f>
        <v>0</v>
      </c>
      <c r="T770" s="0" t="str">
        <f aca="false">IF(S770=1,SUM($S$2:S770),"")</f>
        <v/>
      </c>
    </row>
    <row r="771" customFormat="false" ht="23.85" hidden="false" customHeight="false" outlineLevel="0" collapsed="false">
      <c r="A771" s="20" t="s">
        <v>2767</v>
      </c>
      <c r="B771" s="20" t="s">
        <v>66</v>
      </c>
      <c r="C771" s="20" t="s">
        <v>2751</v>
      </c>
      <c r="D771" s="19" t="s">
        <v>703</v>
      </c>
      <c r="E771" s="22" t="s">
        <v>137</v>
      </c>
      <c r="F771" s="74" t="s">
        <v>79</v>
      </c>
      <c r="G771" s="74" t="s">
        <v>943</v>
      </c>
      <c r="H771" s="75" t="n">
        <v>3.08</v>
      </c>
      <c r="I771" s="21"/>
      <c r="J771" s="52"/>
      <c r="K771" s="19" t="s">
        <v>704</v>
      </c>
      <c r="L771" s="20"/>
      <c r="M771" s="20" t="s">
        <v>2768</v>
      </c>
      <c r="N771" s="22" t="s">
        <v>137</v>
      </c>
      <c r="O771" s="20" t="s">
        <v>2769</v>
      </c>
      <c r="P771" s="20" t="s">
        <v>313</v>
      </c>
      <c r="Q771" s="20" t="s">
        <v>1016</v>
      </c>
      <c r="R771" s="76"/>
      <c r="S771" s="0" t="n">
        <f aca="false">IF(Recherche!$B$4="",0,IF(ISNUMBER(SEARCH(Recherche!$B$4,D771))+ISNUMBER(SEARCH(Recherche!$B$4,K771))&gt;0,1,0))</f>
        <v>0</v>
      </c>
      <c r="T771" s="0" t="str">
        <f aca="false">IF(S771=1,SUM($S$2:S771),"")</f>
        <v/>
      </c>
    </row>
    <row r="772" customFormat="false" ht="15" hidden="false" customHeight="false" outlineLevel="0" collapsed="false">
      <c r="A772" s="24" t="s">
        <v>2770</v>
      </c>
      <c r="B772" s="24" t="s">
        <v>66</v>
      </c>
      <c r="C772" s="24" t="s">
        <v>2771</v>
      </c>
      <c r="D772" s="23" t="s">
        <v>705</v>
      </c>
      <c r="E772" s="26" t="s">
        <v>493</v>
      </c>
      <c r="F772" s="24" t="s">
        <v>76</v>
      </c>
      <c r="G772" s="24" t="s">
        <v>939</v>
      </c>
      <c r="H772" s="25" t="n">
        <v>0.51</v>
      </c>
      <c r="I772" s="25"/>
      <c r="J772" s="58"/>
      <c r="K772" s="23" t="s">
        <v>706</v>
      </c>
      <c r="L772" s="24" t="s">
        <v>1293</v>
      </c>
      <c r="M772" s="24" t="s">
        <v>2772</v>
      </c>
      <c r="N772" s="26" t="s">
        <v>2209</v>
      </c>
      <c r="O772" s="24" t="s">
        <v>2773</v>
      </c>
      <c r="P772" s="24" t="s">
        <v>93</v>
      </c>
      <c r="Q772" s="24" t="s">
        <v>942</v>
      </c>
      <c r="R772" s="73" t="s">
        <v>95</v>
      </c>
      <c r="S772" s="0" t="n">
        <f aca="false">IF(Recherche!$B$4="",0,IF(ISNUMBER(SEARCH(Recherche!$B$4,D772))+ISNUMBER(SEARCH(Recherche!$B$4,K772))&gt;0,1,0))</f>
        <v>0</v>
      </c>
      <c r="T772" s="0" t="str">
        <f aca="false">IF(S772=1,SUM($S$2:S772),"")</f>
        <v/>
      </c>
    </row>
    <row r="773" customFormat="false" ht="23.85" hidden="false" customHeight="false" outlineLevel="0" collapsed="false">
      <c r="A773" s="20" t="s">
        <v>2774</v>
      </c>
      <c r="B773" s="20" t="s">
        <v>66</v>
      </c>
      <c r="C773" s="20" t="s">
        <v>2771</v>
      </c>
      <c r="D773" s="19" t="s">
        <v>707</v>
      </c>
      <c r="E773" s="22" t="s">
        <v>708</v>
      </c>
      <c r="F773" s="74" t="s">
        <v>79</v>
      </c>
      <c r="G773" s="74" t="s">
        <v>943</v>
      </c>
      <c r="H773" s="75" t="n">
        <v>0.74</v>
      </c>
      <c r="I773" s="21"/>
      <c r="J773" s="52"/>
      <c r="K773" s="19" t="s">
        <v>709</v>
      </c>
      <c r="L773" s="20"/>
      <c r="M773" s="20" t="s">
        <v>2775</v>
      </c>
      <c r="N773" s="22" t="s">
        <v>708</v>
      </c>
      <c r="O773" s="20" t="s">
        <v>2714</v>
      </c>
      <c r="P773" s="20" t="s">
        <v>313</v>
      </c>
      <c r="Q773" s="20" t="s">
        <v>1016</v>
      </c>
      <c r="R773" s="76" t="s">
        <v>95</v>
      </c>
      <c r="S773" s="0" t="n">
        <f aca="false">IF(Recherche!$B$4="",0,IF(ISNUMBER(SEARCH(Recherche!$B$4,D773))+ISNUMBER(SEARCH(Recherche!$B$4,K773))&gt;0,1,0))</f>
        <v>0</v>
      </c>
      <c r="T773" s="0" t="str">
        <f aca="false">IF(S773=1,SUM($S$2:S773),"")</f>
        <v/>
      </c>
    </row>
    <row r="774" customFormat="false" ht="23.85" hidden="false" customHeight="false" outlineLevel="0" collapsed="false">
      <c r="A774" s="24" t="s">
        <v>2774</v>
      </c>
      <c r="B774" s="24" t="s">
        <v>66</v>
      </c>
      <c r="C774" s="24" t="s">
        <v>2771</v>
      </c>
      <c r="D774" s="23" t="s">
        <v>707</v>
      </c>
      <c r="E774" s="26" t="s">
        <v>708</v>
      </c>
      <c r="F774" s="24" t="s">
        <v>80</v>
      </c>
      <c r="G774" s="24" t="s">
        <v>939</v>
      </c>
      <c r="H774" s="25" t="n">
        <v>68.12</v>
      </c>
      <c r="I774" s="25"/>
      <c r="J774" s="58"/>
      <c r="K774" s="23" t="s">
        <v>2776</v>
      </c>
      <c r="L774" s="24"/>
      <c r="M774" s="24" t="s">
        <v>2777</v>
      </c>
      <c r="N774" s="26" t="s">
        <v>91</v>
      </c>
      <c r="O774" s="24"/>
      <c r="P774" s="24" t="s">
        <v>303</v>
      </c>
      <c r="Q774" s="24" t="s">
        <v>942</v>
      </c>
      <c r="R774" s="73" t="s">
        <v>95</v>
      </c>
      <c r="S774" s="0" t="n">
        <f aca="false">IF(Recherche!$B$4="",0,IF(ISNUMBER(SEARCH(Recherche!$B$4,D774))+ISNUMBER(SEARCH(Recherche!$B$4,K774))&gt;0,1,0))</f>
        <v>0</v>
      </c>
      <c r="T774" s="0" t="str">
        <f aca="false">IF(S774=1,SUM($S$2:S774),"")</f>
        <v/>
      </c>
    </row>
    <row r="775" customFormat="false" ht="23.85" hidden="false" customHeight="false" outlineLevel="0" collapsed="false">
      <c r="A775" s="20" t="s">
        <v>2778</v>
      </c>
      <c r="B775" s="20" t="s">
        <v>66</v>
      </c>
      <c r="C775" s="20" t="s">
        <v>2771</v>
      </c>
      <c r="D775" s="19" t="s">
        <v>710</v>
      </c>
      <c r="E775" s="22" t="s">
        <v>493</v>
      </c>
      <c r="F775" s="74" t="s">
        <v>81</v>
      </c>
      <c r="G775" s="74" t="s">
        <v>979</v>
      </c>
      <c r="H775" s="75" t="n">
        <v>3.36</v>
      </c>
      <c r="I775" s="21" t="n">
        <v>3.54</v>
      </c>
      <c r="J775" s="52" t="n">
        <v>5.1</v>
      </c>
      <c r="K775" s="19" t="s">
        <v>2779</v>
      </c>
      <c r="L775" s="20" t="s">
        <v>969</v>
      </c>
      <c r="M775" s="20" t="s">
        <v>2780</v>
      </c>
      <c r="N775" s="22" t="s">
        <v>91</v>
      </c>
      <c r="O775" s="20" t="s">
        <v>949</v>
      </c>
      <c r="P775" s="20" t="s">
        <v>169</v>
      </c>
      <c r="Q775" s="20" t="s">
        <v>1016</v>
      </c>
      <c r="R775" s="76" t="s">
        <v>95</v>
      </c>
      <c r="S775" s="0" t="n">
        <f aca="false">IF(Recherche!$B$4="",0,IF(ISNUMBER(SEARCH(Recherche!$B$4,D775))+ISNUMBER(SEARCH(Recherche!$B$4,K775))&gt;0,1,0))</f>
        <v>0</v>
      </c>
      <c r="T775" s="0" t="str">
        <f aca="false">IF(S775=1,SUM($S$2:S775),"")</f>
        <v/>
      </c>
    </row>
    <row r="776" customFormat="false" ht="23.85" hidden="false" customHeight="false" outlineLevel="0" collapsed="false">
      <c r="A776" s="24" t="s">
        <v>2778</v>
      </c>
      <c r="B776" s="24" t="s">
        <v>66</v>
      </c>
      <c r="C776" s="24" t="s">
        <v>2771</v>
      </c>
      <c r="D776" s="23" t="s">
        <v>710</v>
      </c>
      <c r="E776" s="26" t="s">
        <v>493</v>
      </c>
      <c r="F776" s="24" t="s">
        <v>80</v>
      </c>
      <c r="G776" s="24" t="s">
        <v>939</v>
      </c>
      <c r="H776" s="25" t="n">
        <v>7.68</v>
      </c>
      <c r="I776" s="25"/>
      <c r="J776" s="58"/>
      <c r="K776" s="23" t="s">
        <v>711</v>
      </c>
      <c r="L776" s="24"/>
      <c r="M776" s="24" t="s">
        <v>2781</v>
      </c>
      <c r="N776" s="26" t="s">
        <v>2209</v>
      </c>
      <c r="O776" s="24"/>
      <c r="P776" s="24" t="s">
        <v>303</v>
      </c>
      <c r="Q776" s="24" t="s">
        <v>942</v>
      </c>
      <c r="R776" s="73" t="s">
        <v>95</v>
      </c>
      <c r="S776" s="0" t="n">
        <f aca="false">IF(Recherche!$B$4="",0,IF(ISNUMBER(SEARCH(Recherche!$B$4,D776))+ISNUMBER(SEARCH(Recherche!$B$4,K776))&gt;0,1,0))</f>
        <v>0</v>
      </c>
      <c r="T776" s="0" t="str">
        <f aca="false">IF(S776=1,SUM($S$2:S776),"")</f>
        <v/>
      </c>
    </row>
    <row r="777" customFormat="false" ht="23.85" hidden="false" customHeight="false" outlineLevel="0" collapsed="false">
      <c r="A777" s="20" t="s">
        <v>2778</v>
      </c>
      <c r="B777" s="20" t="s">
        <v>66</v>
      </c>
      <c r="C777" s="20" t="s">
        <v>2771</v>
      </c>
      <c r="D777" s="19" t="s">
        <v>710</v>
      </c>
      <c r="E777" s="22" t="s">
        <v>493</v>
      </c>
      <c r="F777" s="74" t="s">
        <v>79</v>
      </c>
      <c r="G777" s="74" t="s">
        <v>943</v>
      </c>
      <c r="H777" s="75" t="n">
        <v>96.97</v>
      </c>
      <c r="I777" s="21"/>
      <c r="J777" s="52"/>
      <c r="K777" s="19" t="s">
        <v>2782</v>
      </c>
      <c r="L777" s="20"/>
      <c r="M777" s="20" t="s">
        <v>2783</v>
      </c>
      <c r="N777" s="22" t="s">
        <v>2285</v>
      </c>
      <c r="O777" s="20"/>
      <c r="P777" s="20" t="s">
        <v>313</v>
      </c>
      <c r="Q777" s="20" t="s">
        <v>1016</v>
      </c>
      <c r="R777" s="76" t="s">
        <v>95</v>
      </c>
      <c r="S777" s="0" t="n">
        <f aca="false">IF(Recherche!$B$4="",0,IF(ISNUMBER(SEARCH(Recherche!$B$4,D777))+ISNUMBER(SEARCH(Recherche!$B$4,K777))&gt;0,1,0))</f>
        <v>0</v>
      </c>
      <c r="T777" s="0" t="str">
        <f aca="false">IF(S777=1,SUM($S$2:S777),"")</f>
        <v/>
      </c>
    </row>
    <row r="778" customFormat="false" ht="23.85" hidden="false" customHeight="false" outlineLevel="0" collapsed="false">
      <c r="A778" s="24" t="s">
        <v>2784</v>
      </c>
      <c r="B778" s="24" t="s">
        <v>66</v>
      </c>
      <c r="C778" s="24" t="s">
        <v>2785</v>
      </c>
      <c r="D778" s="23" t="s">
        <v>712</v>
      </c>
      <c r="E778" s="26" t="s">
        <v>91</v>
      </c>
      <c r="F778" s="24" t="s">
        <v>80</v>
      </c>
      <c r="G778" s="24" t="s">
        <v>939</v>
      </c>
      <c r="H778" s="25" t="n">
        <v>0.77</v>
      </c>
      <c r="I778" s="25"/>
      <c r="J778" s="58"/>
      <c r="K778" s="23" t="s">
        <v>713</v>
      </c>
      <c r="L778" s="24"/>
      <c r="M778" s="24" t="s">
        <v>2786</v>
      </c>
      <c r="N778" s="26" t="s">
        <v>91</v>
      </c>
      <c r="O778" s="24"/>
      <c r="P778" s="24" t="s">
        <v>303</v>
      </c>
      <c r="Q778" s="24" t="s">
        <v>963</v>
      </c>
      <c r="R778" s="73" t="s">
        <v>95</v>
      </c>
      <c r="S778" s="0" t="n">
        <f aca="false">IF(Recherche!$B$4="",0,IF(ISNUMBER(SEARCH(Recherche!$B$4,D778))+ISNUMBER(SEARCH(Recherche!$B$4,K778))&gt;0,1,0))</f>
        <v>0</v>
      </c>
      <c r="T778" s="0" t="str">
        <f aca="false">IF(S778=1,SUM($S$2:S778),"")</f>
        <v/>
      </c>
    </row>
    <row r="779" customFormat="false" ht="15" hidden="false" customHeight="false" outlineLevel="0" collapsed="false">
      <c r="A779" s="20" t="s">
        <v>2784</v>
      </c>
      <c r="B779" s="20" t="s">
        <v>66</v>
      </c>
      <c r="C779" s="20" t="s">
        <v>2785</v>
      </c>
      <c r="D779" s="19" t="s">
        <v>712</v>
      </c>
      <c r="E779" s="22" t="s">
        <v>91</v>
      </c>
      <c r="F779" s="74" t="s">
        <v>79</v>
      </c>
      <c r="G779" s="74" t="s">
        <v>943</v>
      </c>
      <c r="H779" s="75" t="n">
        <v>6.95</v>
      </c>
      <c r="I779" s="21"/>
      <c r="J779" s="52"/>
      <c r="K779" s="19" t="s">
        <v>2787</v>
      </c>
      <c r="L779" s="20"/>
      <c r="M779" s="20" t="s">
        <v>2788</v>
      </c>
      <c r="N779" s="22" t="s">
        <v>91</v>
      </c>
      <c r="O779" s="20"/>
      <c r="P779" s="20" t="s">
        <v>313</v>
      </c>
      <c r="Q779" s="20" t="s">
        <v>1016</v>
      </c>
      <c r="R779" s="76" t="s">
        <v>95</v>
      </c>
      <c r="S779" s="0" t="n">
        <f aca="false">IF(Recherche!$B$4="",0,IF(ISNUMBER(SEARCH(Recherche!$B$4,D779))+ISNUMBER(SEARCH(Recherche!$B$4,K779))&gt;0,1,0))</f>
        <v>0</v>
      </c>
      <c r="T779" s="0" t="str">
        <f aca="false">IF(S779=1,SUM($S$2:S779),"")</f>
        <v/>
      </c>
    </row>
    <row r="780" customFormat="false" ht="23.85" hidden="false" customHeight="false" outlineLevel="0" collapsed="false">
      <c r="A780" s="24" t="s">
        <v>2784</v>
      </c>
      <c r="B780" s="24" t="s">
        <v>66</v>
      </c>
      <c r="C780" s="24" t="s">
        <v>2785</v>
      </c>
      <c r="D780" s="23" t="s">
        <v>712</v>
      </c>
      <c r="E780" s="26" t="s">
        <v>91</v>
      </c>
      <c r="F780" s="24" t="s">
        <v>76</v>
      </c>
      <c r="G780" s="24" t="s">
        <v>939</v>
      </c>
      <c r="H780" s="25" t="n">
        <v>7.56</v>
      </c>
      <c r="I780" s="25"/>
      <c r="J780" s="58"/>
      <c r="K780" s="23" t="s">
        <v>2789</v>
      </c>
      <c r="L780" s="24" t="s">
        <v>2790</v>
      </c>
      <c r="M780" s="24" t="s">
        <v>2791</v>
      </c>
      <c r="N780" s="26" t="s">
        <v>91</v>
      </c>
      <c r="O780" s="24"/>
      <c r="P780" s="24" t="s">
        <v>93</v>
      </c>
      <c r="Q780" s="24" t="s">
        <v>963</v>
      </c>
      <c r="R780" s="73" t="s">
        <v>95</v>
      </c>
      <c r="S780" s="0" t="n">
        <f aca="false">IF(Recherche!$B$4="",0,IF(ISNUMBER(SEARCH(Recherche!$B$4,D780))+ISNUMBER(SEARCH(Recherche!$B$4,K780))&gt;0,1,0))</f>
        <v>0</v>
      </c>
      <c r="T780" s="0" t="str">
        <f aca="false">IF(S780=1,SUM($S$2:S780),"")</f>
        <v/>
      </c>
    </row>
    <row r="781" customFormat="false" ht="15" hidden="false" customHeight="false" outlineLevel="0" collapsed="false">
      <c r="A781" s="20" t="s">
        <v>2784</v>
      </c>
      <c r="B781" s="20" t="s">
        <v>66</v>
      </c>
      <c r="C781" s="20" t="s">
        <v>2785</v>
      </c>
      <c r="D781" s="19" t="s">
        <v>712</v>
      </c>
      <c r="E781" s="22" t="s">
        <v>91</v>
      </c>
      <c r="F781" s="74" t="s">
        <v>81</v>
      </c>
      <c r="G781" s="74" t="s">
        <v>979</v>
      </c>
      <c r="H781" s="75" t="n">
        <v>9.18</v>
      </c>
      <c r="I781" s="21" t="n">
        <v>9.67</v>
      </c>
      <c r="J781" s="52" t="n">
        <v>5.1</v>
      </c>
      <c r="K781" s="19" t="s">
        <v>2792</v>
      </c>
      <c r="L781" s="20" t="s">
        <v>1274</v>
      </c>
      <c r="M781" s="20" t="s">
        <v>2793</v>
      </c>
      <c r="N781" s="22" t="s">
        <v>1700</v>
      </c>
      <c r="O781" s="20" t="s">
        <v>1700</v>
      </c>
      <c r="P781" s="20" t="s">
        <v>119</v>
      </c>
      <c r="Q781" s="20" t="s">
        <v>1016</v>
      </c>
      <c r="R781" s="76" t="s">
        <v>95</v>
      </c>
      <c r="S781" s="0" t="n">
        <f aca="false">IF(Recherche!$B$4="",0,IF(ISNUMBER(SEARCH(Recherche!$B$4,D781))+ISNUMBER(SEARCH(Recherche!$B$4,K781))&gt;0,1,0))</f>
        <v>0</v>
      </c>
      <c r="T781" s="0" t="str">
        <f aca="false">IF(S781=1,SUM($S$2:S781),"")</f>
        <v/>
      </c>
    </row>
    <row r="782" customFormat="false" ht="23.85" hidden="false" customHeight="false" outlineLevel="0" collapsed="false">
      <c r="A782" s="24" t="s">
        <v>2794</v>
      </c>
      <c r="B782" s="24" t="s">
        <v>66</v>
      </c>
      <c r="C782" s="24" t="s">
        <v>2785</v>
      </c>
      <c r="D782" s="23" t="s">
        <v>714</v>
      </c>
      <c r="E782" s="26" t="s">
        <v>91</v>
      </c>
      <c r="F782" s="74" t="s">
        <v>81</v>
      </c>
      <c r="G782" s="74" t="s">
        <v>979</v>
      </c>
      <c r="H782" s="75" t="n">
        <v>7.24</v>
      </c>
      <c r="I782" s="25" t="n">
        <v>8.05</v>
      </c>
      <c r="J782" s="58" t="n">
        <v>10.1</v>
      </c>
      <c r="K782" s="23" t="s">
        <v>715</v>
      </c>
      <c r="L782" s="24" t="s">
        <v>2271</v>
      </c>
      <c r="M782" s="24" t="s">
        <v>2795</v>
      </c>
      <c r="N782" s="26" t="s">
        <v>91</v>
      </c>
      <c r="O782" s="24" t="s">
        <v>949</v>
      </c>
      <c r="P782" s="24" t="s">
        <v>119</v>
      </c>
      <c r="Q782" s="24" t="s">
        <v>1007</v>
      </c>
      <c r="R782" s="73" t="s">
        <v>95</v>
      </c>
      <c r="S782" s="0" t="n">
        <f aca="false">IF(Recherche!$B$4="",0,IF(ISNUMBER(SEARCH(Recherche!$B$4,D782))+ISNUMBER(SEARCH(Recherche!$B$4,K782))&gt;0,1,0))</f>
        <v>0</v>
      </c>
      <c r="T782" s="0" t="str">
        <f aca="false">IF(S782=1,SUM($S$2:S782),"")</f>
        <v/>
      </c>
    </row>
    <row r="783" customFormat="false" ht="15" hidden="false" customHeight="false" outlineLevel="0" collapsed="false">
      <c r="A783" s="20" t="s">
        <v>2794</v>
      </c>
      <c r="B783" s="20" t="s">
        <v>66</v>
      </c>
      <c r="C783" s="20" t="s">
        <v>2785</v>
      </c>
      <c r="D783" s="19" t="s">
        <v>714</v>
      </c>
      <c r="E783" s="22" t="s">
        <v>91</v>
      </c>
      <c r="F783" s="74" t="s">
        <v>79</v>
      </c>
      <c r="G783" s="74" t="s">
        <v>943</v>
      </c>
      <c r="H783" s="75" t="n">
        <v>48.74</v>
      </c>
      <c r="I783" s="21"/>
      <c r="J783" s="52"/>
      <c r="K783" s="19" t="s">
        <v>2796</v>
      </c>
      <c r="L783" s="20"/>
      <c r="M783" s="20" t="s">
        <v>2797</v>
      </c>
      <c r="N783" s="22" t="s">
        <v>553</v>
      </c>
      <c r="O783" s="20"/>
      <c r="P783" s="20" t="s">
        <v>313</v>
      </c>
      <c r="Q783" s="20" t="s">
        <v>1387</v>
      </c>
      <c r="R783" s="76" t="s">
        <v>95</v>
      </c>
      <c r="S783" s="0" t="n">
        <f aca="false">IF(Recherche!$B$4="",0,IF(ISNUMBER(SEARCH(Recherche!$B$4,D783))+ISNUMBER(SEARCH(Recherche!$B$4,K783))&gt;0,1,0))</f>
        <v>0</v>
      </c>
      <c r="T783" s="0" t="str">
        <f aca="false">IF(S783=1,SUM($S$2:S783),"")</f>
        <v/>
      </c>
    </row>
    <row r="784" customFormat="false" ht="23.85" hidden="false" customHeight="false" outlineLevel="0" collapsed="false">
      <c r="A784" s="24" t="s">
        <v>2794</v>
      </c>
      <c r="B784" s="24" t="s">
        <v>66</v>
      </c>
      <c r="C784" s="24" t="s">
        <v>2785</v>
      </c>
      <c r="D784" s="23" t="s">
        <v>714</v>
      </c>
      <c r="E784" s="26" t="s">
        <v>91</v>
      </c>
      <c r="F784" s="24" t="s">
        <v>76</v>
      </c>
      <c r="G784" s="24" t="s">
        <v>939</v>
      </c>
      <c r="H784" s="25" t="n">
        <v>93.9</v>
      </c>
      <c r="I784" s="25"/>
      <c r="J784" s="58"/>
      <c r="K784" s="23" t="s">
        <v>2798</v>
      </c>
      <c r="L784" s="24" t="s">
        <v>2763</v>
      </c>
      <c r="M784" s="24" t="s">
        <v>2799</v>
      </c>
      <c r="N784" s="26" t="s">
        <v>91</v>
      </c>
      <c r="O784" s="24"/>
      <c r="P784" s="24" t="s">
        <v>93</v>
      </c>
      <c r="Q784" s="24" t="s">
        <v>942</v>
      </c>
      <c r="R784" s="73" t="s">
        <v>95</v>
      </c>
      <c r="S784" s="0" t="n">
        <f aca="false">IF(Recherche!$B$4="",0,IF(ISNUMBER(SEARCH(Recherche!$B$4,D784))+ISNUMBER(SEARCH(Recherche!$B$4,K784))&gt;0,1,0))</f>
        <v>0</v>
      </c>
      <c r="T784" s="0" t="str">
        <f aca="false">IF(S784=1,SUM($S$2:S784),"")</f>
        <v/>
      </c>
    </row>
    <row r="785" customFormat="false" ht="15" hidden="false" customHeight="false" outlineLevel="0" collapsed="false">
      <c r="A785" s="20" t="s">
        <v>2794</v>
      </c>
      <c r="B785" s="20" t="s">
        <v>66</v>
      </c>
      <c r="C785" s="20" t="s">
        <v>2785</v>
      </c>
      <c r="D785" s="19" t="s">
        <v>714</v>
      </c>
      <c r="E785" s="22" t="s">
        <v>91</v>
      </c>
      <c r="F785" s="20" t="s">
        <v>80</v>
      </c>
      <c r="G785" s="20" t="s">
        <v>939</v>
      </c>
      <c r="H785" s="21" t="n">
        <v>120.95</v>
      </c>
      <c r="I785" s="21"/>
      <c r="J785" s="52"/>
      <c r="K785" s="19" t="s">
        <v>2800</v>
      </c>
      <c r="L785" s="20"/>
      <c r="M785" s="20" t="s">
        <v>2801</v>
      </c>
      <c r="N785" s="22" t="s">
        <v>91</v>
      </c>
      <c r="O785" s="20"/>
      <c r="P785" s="20" t="s">
        <v>303</v>
      </c>
      <c r="Q785" s="20" t="s">
        <v>942</v>
      </c>
      <c r="R785" s="76" t="s">
        <v>95</v>
      </c>
      <c r="S785" s="0" t="n">
        <f aca="false">IF(Recherche!$B$4="",0,IF(ISNUMBER(SEARCH(Recherche!$B$4,D785))+ISNUMBER(SEARCH(Recherche!$B$4,K785))&gt;0,1,0))</f>
        <v>0</v>
      </c>
      <c r="T785" s="0" t="str">
        <f aca="false">IF(S785=1,SUM($S$2:S785),"")</f>
        <v/>
      </c>
    </row>
    <row r="786" customFormat="false" ht="23.85" hidden="false" customHeight="false" outlineLevel="0" collapsed="false">
      <c r="A786" s="24" t="s">
        <v>2802</v>
      </c>
      <c r="B786" s="24" t="s">
        <v>66</v>
      </c>
      <c r="C786" s="24" t="s">
        <v>2803</v>
      </c>
      <c r="D786" s="23" t="s">
        <v>716</v>
      </c>
      <c r="E786" s="26" t="s">
        <v>519</v>
      </c>
      <c r="F786" s="24" t="s">
        <v>76</v>
      </c>
      <c r="G786" s="24" t="s">
        <v>939</v>
      </c>
      <c r="H786" s="25" t="n">
        <v>6.5</v>
      </c>
      <c r="I786" s="25"/>
      <c r="J786" s="58"/>
      <c r="K786" s="23" t="s">
        <v>717</v>
      </c>
      <c r="L786" s="24" t="s">
        <v>2039</v>
      </c>
      <c r="M786" s="24" t="s">
        <v>2804</v>
      </c>
      <c r="N786" s="26" t="s">
        <v>519</v>
      </c>
      <c r="O786" s="24"/>
      <c r="P786" s="24" t="s">
        <v>93</v>
      </c>
      <c r="Q786" s="24" t="s">
        <v>1085</v>
      </c>
      <c r="R786" s="73" t="s">
        <v>95</v>
      </c>
      <c r="S786" s="0" t="n">
        <f aca="false">IF(Recherche!$B$4="",0,IF(ISNUMBER(SEARCH(Recherche!$B$4,D786))+ISNUMBER(SEARCH(Recherche!$B$4,K786))&gt;0,1,0))</f>
        <v>0</v>
      </c>
      <c r="T786" s="0" t="str">
        <f aca="false">IF(S786=1,SUM($S$2:S786),"")</f>
        <v/>
      </c>
    </row>
    <row r="787" customFormat="false" ht="23.85" hidden="false" customHeight="false" outlineLevel="0" collapsed="false">
      <c r="A787" s="20" t="s">
        <v>2802</v>
      </c>
      <c r="B787" s="20" t="s">
        <v>66</v>
      </c>
      <c r="C787" s="20" t="s">
        <v>2803</v>
      </c>
      <c r="D787" s="19" t="s">
        <v>716</v>
      </c>
      <c r="E787" s="22" t="s">
        <v>519</v>
      </c>
      <c r="F787" s="74" t="s">
        <v>81</v>
      </c>
      <c r="G787" s="74" t="s">
        <v>979</v>
      </c>
      <c r="H787" s="75" t="n">
        <v>10.33</v>
      </c>
      <c r="I787" s="21" t="n">
        <v>10.84</v>
      </c>
      <c r="J787" s="52" t="n">
        <v>4.7</v>
      </c>
      <c r="K787" s="19" t="s">
        <v>2805</v>
      </c>
      <c r="L787" s="20" t="s">
        <v>1274</v>
      </c>
      <c r="M787" s="20" t="s">
        <v>2806</v>
      </c>
      <c r="N787" s="22" t="s">
        <v>91</v>
      </c>
      <c r="O787" s="20" t="s">
        <v>949</v>
      </c>
      <c r="P787" s="20" t="s">
        <v>119</v>
      </c>
      <c r="Q787" s="20" t="s">
        <v>1007</v>
      </c>
      <c r="R787" s="76" t="s">
        <v>95</v>
      </c>
      <c r="S787" s="0" t="n">
        <f aca="false">IF(Recherche!$B$4="",0,IF(ISNUMBER(SEARCH(Recherche!$B$4,D787))+ISNUMBER(SEARCH(Recherche!$B$4,K787))&gt;0,1,0))</f>
        <v>0</v>
      </c>
      <c r="T787" s="0" t="str">
        <f aca="false">IF(S787=1,SUM($S$2:S787),"")</f>
        <v/>
      </c>
    </row>
    <row r="788" customFormat="false" ht="15" hidden="false" customHeight="false" outlineLevel="0" collapsed="false">
      <c r="A788" s="24" t="s">
        <v>2802</v>
      </c>
      <c r="B788" s="24" t="s">
        <v>66</v>
      </c>
      <c r="C788" s="24" t="s">
        <v>2803</v>
      </c>
      <c r="D788" s="23" t="s">
        <v>716</v>
      </c>
      <c r="E788" s="26" t="s">
        <v>519</v>
      </c>
      <c r="F788" s="74" t="s">
        <v>79</v>
      </c>
      <c r="G788" s="74" t="s">
        <v>943</v>
      </c>
      <c r="H788" s="75" t="n">
        <v>14</v>
      </c>
      <c r="I788" s="25"/>
      <c r="J788" s="58"/>
      <c r="K788" s="23" t="s">
        <v>2807</v>
      </c>
      <c r="L788" s="24"/>
      <c r="M788" s="24" t="s">
        <v>2808</v>
      </c>
      <c r="N788" s="26" t="s">
        <v>91</v>
      </c>
      <c r="O788" s="24"/>
      <c r="P788" s="24" t="s">
        <v>313</v>
      </c>
      <c r="Q788" s="24" t="s">
        <v>1387</v>
      </c>
      <c r="R788" s="73" t="s">
        <v>95</v>
      </c>
      <c r="S788" s="0" t="n">
        <f aca="false">IF(Recherche!$B$4="",0,IF(ISNUMBER(SEARCH(Recherche!$B$4,D788))+ISNUMBER(SEARCH(Recherche!$B$4,K788))&gt;0,1,0))</f>
        <v>0</v>
      </c>
      <c r="T788" s="0" t="str">
        <f aca="false">IF(S788=1,SUM($S$2:S788),"")</f>
        <v/>
      </c>
    </row>
    <row r="789" customFormat="false" ht="23.85" hidden="false" customHeight="false" outlineLevel="0" collapsed="false">
      <c r="A789" s="20" t="s">
        <v>2802</v>
      </c>
      <c r="B789" s="20" t="s">
        <v>66</v>
      </c>
      <c r="C789" s="20" t="s">
        <v>2803</v>
      </c>
      <c r="D789" s="19" t="s">
        <v>716</v>
      </c>
      <c r="E789" s="22" t="s">
        <v>519</v>
      </c>
      <c r="F789" s="20" t="s">
        <v>80</v>
      </c>
      <c r="G789" s="20" t="s">
        <v>939</v>
      </c>
      <c r="H789" s="21" t="n">
        <v>14.05</v>
      </c>
      <c r="I789" s="21"/>
      <c r="J789" s="52"/>
      <c r="K789" s="19" t="s">
        <v>2809</v>
      </c>
      <c r="L789" s="20"/>
      <c r="M789" s="20" t="s">
        <v>2810</v>
      </c>
      <c r="N789" s="22" t="s">
        <v>91</v>
      </c>
      <c r="O789" s="20"/>
      <c r="P789" s="20" t="s">
        <v>303</v>
      </c>
      <c r="Q789" s="20" t="s">
        <v>942</v>
      </c>
      <c r="R789" s="76" t="s">
        <v>95</v>
      </c>
      <c r="S789" s="0" t="n">
        <f aca="false">IF(Recherche!$B$4="",0,IF(ISNUMBER(SEARCH(Recherche!$B$4,D789))+ISNUMBER(SEARCH(Recherche!$B$4,K789))&gt;0,1,0))</f>
        <v>0</v>
      </c>
      <c r="T789" s="0" t="str">
        <f aca="false">IF(S789=1,SUM($S$2:S789),"")</f>
        <v/>
      </c>
    </row>
    <row r="790" customFormat="false" ht="15" hidden="false" customHeight="false" outlineLevel="0" collapsed="false">
      <c r="A790" s="24" t="s">
        <v>2811</v>
      </c>
      <c r="B790" s="24" t="s">
        <v>66</v>
      </c>
      <c r="C790" s="24" t="s">
        <v>2803</v>
      </c>
      <c r="D790" s="23" t="s">
        <v>718</v>
      </c>
      <c r="E790" s="26" t="s">
        <v>91</v>
      </c>
      <c r="F790" s="24" t="s">
        <v>76</v>
      </c>
      <c r="G790" s="24" t="s">
        <v>939</v>
      </c>
      <c r="H790" s="25" t="n">
        <v>5.69</v>
      </c>
      <c r="I790" s="25"/>
      <c r="J790" s="58"/>
      <c r="K790" s="23" t="s">
        <v>719</v>
      </c>
      <c r="L790" s="24" t="s">
        <v>2039</v>
      </c>
      <c r="M790" s="24" t="s">
        <v>2812</v>
      </c>
      <c r="N790" s="26" t="s">
        <v>91</v>
      </c>
      <c r="O790" s="24"/>
      <c r="P790" s="24" t="s">
        <v>93</v>
      </c>
      <c r="Q790" s="24" t="s">
        <v>1085</v>
      </c>
      <c r="R790" s="73" t="s">
        <v>95</v>
      </c>
      <c r="S790" s="0" t="n">
        <f aca="false">IF(Recherche!$B$4="",0,IF(ISNUMBER(SEARCH(Recherche!$B$4,D790))+ISNUMBER(SEARCH(Recherche!$B$4,K790))&gt;0,1,0))</f>
        <v>0</v>
      </c>
      <c r="T790" s="0" t="str">
        <f aca="false">IF(S790=1,SUM($S$2:S790),"")</f>
        <v/>
      </c>
    </row>
    <row r="791" customFormat="false" ht="23.85" hidden="false" customHeight="false" outlineLevel="0" collapsed="false">
      <c r="A791" s="20" t="s">
        <v>2811</v>
      </c>
      <c r="B791" s="20" t="s">
        <v>66</v>
      </c>
      <c r="C791" s="20" t="s">
        <v>2803</v>
      </c>
      <c r="D791" s="19" t="s">
        <v>718</v>
      </c>
      <c r="E791" s="22" t="s">
        <v>91</v>
      </c>
      <c r="F791" s="20" t="s">
        <v>80</v>
      </c>
      <c r="G791" s="20" t="s">
        <v>939</v>
      </c>
      <c r="H791" s="21" t="n">
        <v>22.83</v>
      </c>
      <c r="I791" s="21"/>
      <c r="J791" s="52"/>
      <c r="K791" s="19" t="s">
        <v>2813</v>
      </c>
      <c r="L791" s="20"/>
      <c r="M791" s="20" t="s">
        <v>2814</v>
      </c>
      <c r="N791" s="22" t="s">
        <v>91</v>
      </c>
      <c r="O791" s="20"/>
      <c r="P791" s="20" t="s">
        <v>303</v>
      </c>
      <c r="Q791" s="20" t="s">
        <v>942</v>
      </c>
      <c r="R791" s="76" t="s">
        <v>95</v>
      </c>
      <c r="S791" s="0" t="n">
        <f aca="false">IF(Recherche!$B$4="",0,IF(ISNUMBER(SEARCH(Recherche!$B$4,D791))+ISNUMBER(SEARCH(Recherche!$B$4,K791))&gt;0,1,0))</f>
        <v>0</v>
      </c>
      <c r="T791" s="0" t="str">
        <f aca="false">IF(S791=1,SUM($S$2:S791),"")</f>
        <v/>
      </c>
    </row>
    <row r="792" customFormat="false" ht="15" hidden="false" customHeight="false" outlineLevel="0" collapsed="false">
      <c r="A792" s="24" t="s">
        <v>2811</v>
      </c>
      <c r="B792" s="24" t="s">
        <v>66</v>
      </c>
      <c r="C792" s="24" t="s">
        <v>2803</v>
      </c>
      <c r="D792" s="23" t="s">
        <v>718</v>
      </c>
      <c r="E792" s="26" t="s">
        <v>91</v>
      </c>
      <c r="F792" s="74" t="s">
        <v>77</v>
      </c>
      <c r="G792" s="74" t="s">
        <v>979</v>
      </c>
      <c r="H792" s="75" t="n">
        <v>573.46</v>
      </c>
      <c r="I792" s="25" t="n">
        <v>573.46</v>
      </c>
      <c r="J792" s="58"/>
      <c r="K792" s="23" t="s">
        <v>2815</v>
      </c>
      <c r="L792" s="24" t="s">
        <v>2114</v>
      </c>
      <c r="M792" s="24" t="s">
        <v>2816</v>
      </c>
      <c r="N792" s="26" t="s">
        <v>2817</v>
      </c>
      <c r="O792" s="24"/>
      <c r="P792" s="24" t="s">
        <v>114</v>
      </c>
      <c r="Q792" s="24" t="s">
        <v>983</v>
      </c>
      <c r="R792" s="73"/>
      <c r="S792" s="0" t="n">
        <f aca="false">IF(Recherche!$B$4="",0,IF(ISNUMBER(SEARCH(Recherche!$B$4,D792))+ISNUMBER(SEARCH(Recherche!$B$4,K792))&gt;0,1,0))</f>
        <v>0</v>
      </c>
      <c r="T792" s="0" t="str">
        <f aca="false">IF(S792=1,SUM($S$2:S792),"")</f>
        <v/>
      </c>
    </row>
    <row r="793" customFormat="false" ht="23.85" hidden="false" customHeight="false" outlineLevel="0" collapsed="false">
      <c r="A793" s="20" t="s">
        <v>2818</v>
      </c>
      <c r="B793" s="20" t="s">
        <v>67</v>
      </c>
      <c r="C793" s="20" t="s">
        <v>2819</v>
      </c>
      <c r="D793" s="19" t="s">
        <v>720</v>
      </c>
      <c r="E793" s="22" t="s">
        <v>203</v>
      </c>
      <c r="F793" s="20" t="s">
        <v>80</v>
      </c>
      <c r="G793" s="20" t="s">
        <v>939</v>
      </c>
      <c r="H793" s="21" t="n">
        <v>17.33</v>
      </c>
      <c r="I793" s="21"/>
      <c r="J793" s="52"/>
      <c r="K793" s="19" t="s">
        <v>2820</v>
      </c>
      <c r="L793" s="20"/>
      <c r="M793" s="20" t="s">
        <v>2821</v>
      </c>
      <c r="N793" s="22" t="s">
        <v>91</v>
      </c>
      <c r="O793" s="20"/>
      <c r="P793" s="20" t="s">
        <v>303</v>
      </c>
      <c r="Q793" s="20" t="s">
        <v>942</v>
      </c>
      <c r="R793" s="76" t="s">
        <v>95</v>
      </c>
      <c r="S793" s="0" t="n">
        <f aca="false">IF(Recherche!$B$4="",0,IF(ISNUMBER(SEARCH(Recherche!$B$4,D793))+ISNUMBER(SEARCH(Recherche!$B$4,K793))&gt;0,1,0))</f>
        <v>0</v>
      </c>
      <c r="T793" s="0" t="str">
        <f aca="false">IF(S793=1,SUM($S$2:S793),"")</f>
        <v/>
      </c>
    </row>
    <row r="794" customFormat="false" ht="23.85" hidden="false" customHeight="false" outlineLevel="0" collapsed="false">
      <c r="A794" s="24" t="s">
        <v>2818</v>
      </c>
      <c r="B794" s="24" t="s">
        <v>67</v>
      </c>
      <c r="C794" s="24" t="s">
        <v>2819</v>
      </c>
      <c r="D794" s="23" t="s">
        <v>720</v>
      </c>
      <c r="E794" s="26" t="s">
        <v>203</v>
      </c>
      <c r="F794" s="24" t="s">
        <v>76</v>
      </c>
      <c r="G794" s="24" t="s">
        <v>939</v>
      </c>
      <c r="H794" s="25" t="n">
        <v>21.29</v>
      </c>
      <c r="I794" s="25"/>
      <c r="J794" s="58"/>
      <c r="K794" s="23" t="s">
        <v>721</v>
      </c>
      <c r="L794" s="24" t="s">
        <v>2039</v>
      </c>
      <c r="M794" s="24" t="s">
        <v>2822</v>
      </c>
      <c r="N794" s="26" t="s">
        <v>203</v>
      </c>
      <c r="O794" s="24"/>
      <c r="P794" s="24" t="s">
        <v>93</v>
      </c>
      <c r="Q794" s="24" t="s">
        <v>942</v>
      </c>
      <c r="R794" s="73" t="s">
        <v>95</v>
      </c>
      <c r="S794" s="0" t="n">
        <f aca="false">IF(Recherche!$B$4="",0,IF(ISNUMBER(SEARCH(Recherche!$B$4,D794))+ISNUMBER(SEARCH(Recherche!$B$4,K794))&gt;0,1,0))</f>
        <v>0</v>
      </c>
      <c r="T794" s="0" t="str">
        <f aca="false">IF(S794=1,SUM($S$2:S794),"")</f>
        <v/>
      </c>
    </row>
    <row r="795" customFormat="false" ht="23.85" hidden="false" customHeight="false" outlineLevel="0" collapsed="false">
      <c r="A795" s="20" t="s">
        <v>2823</v>
      </c>
      <c r="B795" s="20" t="s">
        <v>67</v>
      </c>
      <c r="C795" s="20" t="s">
        <v>2819</v>
      </c>
      <c r="D795" s="19" t="s">
        <v>722</v>
      </c>
      <c r="E795" s="22" t="s">
        <v>203</v>
      </c>
      <c r="F795" s="20" t="s">
        <v>76</v>
      </c>
      <c r="G795" s="20" t="s">
        <v>939</v>
      </c>
      <c r="H795" s="21" t="n">
        <v>9.58</v>
      </c>
      <c r="I795" s="21"/>
      <c r="J795" s="52"/>
      <c r="K795" s="19" t="s">
        <v>723</v>
      </c>
      <c r="L795" s="20" t="s">
        <v>2039</v>
      </c>
      <c r="M795" s="20" t="s">
        <v>2824</v>
      </c>
      <c r="N795" s="22" t="s">
        <v>203</v>
      </c>
      <c r="O795" s="20"/>
      <c r="P795" s="20" t="s">
        <v>93</v>
      </c>
      <c r="Q795" s="20" t="s">
        <v>1052</v>
      </c>
      <c r="R795" s="76" t="s">
        <v>95</v>
      </c>
      <c r="S795" s="0" t="n">
        <f aca="false">IF(Recherche!$B$4="",0,IF(ISNUMBER(SEARCH(Recherche!$B$4,D795))+ISNUMBER(SEARCH(Recherche!$B$4,K795))&gt;0,1,0))</f>
        <v>0</v>
      </c>
      <c r="T795" s="0" t="str">
        <f aca="false">IF(S795=1,SUM($S$2:S795),"")</f>
        <v/>
      </c>
    </row>
    <row r="796" customFormat="false" ht="23.85" hidden="false" customHeight="false" outlineLevel="0" collapsed="false">
      <c r="A796" s="24" t="s">
        <v>2823</v>
      </c>
      <c r="B796" s="24" t="s">
        <v>67</v>
      </c>
      <c r="C796" s="24" t="s">
        <v>2819</v>
      </c>
      <c r="D796" s="23" t="s">
        <v>722</v>
      </c>
      <c r="E796" s="26" t="s">
        <v>203</v>
      </c>
      <c r="F796" s="74" t="s">
        <v>81</v>
      </c>
      <c r="G796" s="74" t="s">
        <v>979</v>
      </c>
      <c r="H796" s="75" t="n">
        <v>33.54</v>
      </c>
      <c r="I796" s="25" t="n">
        <v>35.28</v>
      </c>
      <c r="J796" s="58" t="n">
        <v>4.9</v>
      </c>
      <c r="K796" s="23" t="s">
        <v>2825</v>
      </c>
      <c r="L796" s="24" t="s">
        <v>2826</v>
      </c>
      <c r="M796" s="24" t="s">
        <v>2827</v>
      </c>
      <c r="N796" s="26" t="s">
        <v>1216</v>
      </c>
      <c r="O796" s="24" t="s">
        <v>1216</v>
      </c>
      <c r="P796" s="24" t="s">
        <v>169</v>
      </c>
      <c r="Q796" s="24" t="s">
        <v>1007</v>
      </c>
      <c r="R796" s="73" t="s">
        <v>95</v>
      </c>
      <c r="S796" s="0" t="n">
        <f aca="false">IF(Recherche!$B$4="",0,IF(ISNUMBER(SEARCH(Recherche!$B$4,D796))+ISNUMBER(SEARCH(Recherche!$B$4,K796))&gt;0,1,0))</f>
        <v>0</v>
      </c>
      <c r="T796" s="0" t="str">
        <f aca="false">IF(S796=1,SUM($S$2:S796),"")</f>
        <v/>
      </c>
    </row>
    <row r="797" customFormat="false" ht="23.85" hidden="false" customHeight="false" outlineLevel="0" collapsed="false">
      <c r="A797" s="20" t="s">
        <v>2828</v>
      </c>
      <c r="B797" s="20" t="s">
        <v>67</v>
      </c>
      <c r="C797" s="20" t="s">
        <v>2819</v>
      </c>
      <c r="D797" s="19" t="s">
        <v>724</v>
      </c>
      <c r="E797" s="22" t="s">
        <v>203</v>
      </c>
      <c r="F797" s="20" t="s">
        <v>76</v>
      </c>
      <c r="G797" s="20" t="s">
        <v>939</v>
      </c>
      <c r="H797" s="21" t="n">
        <v>15.94</v>
      </c>
      <c r="I797" s="21"/>
      <c r="J797" s="52"/>
      <c r="K797" s="19" t="s">
        <v>725</v>
      </c>
      <c r="L797" s="20" t="s">
        <v>2039</v>
      </c>
      <c r="M797" s="20" t="s">
        <v>2829</v>
      </c>
      <c r="N797" s="22" t="s">
        <v>203</v>
      </c>
      <c r="O797" s="20"/>
      <c r="P797" s="20" t="s">
        <v>93</v>
      </c>
      <c r="Q797" s="20" t="s">
        <v>942</v>
      </c>
      <c r="R797" s="76" t="s">
        <v>95</v>
      </c>
      <c r="S797" s="0" t="n">
        <f aca="false">IF(Recherche!$B$4="",0,IF(ISNUMBER(SEARCH(Recherche!$B$4,D797))+ISNUMBER(SEARCH(Recherche!$B$4,K797))&gt;0,1,0))</f>
        <v>0</v>
      </c>
      <c r="T797" s="0" t="str">
        <f aca="false">IF(S797=1,SUM($S$2:S797),"")</f>
        <v/>
      </c>
    </row>
    <row r="798" customFormat="false" ht="15" hidden="false" customHeight="false" outlineLevel="0" collapsed="false">
      <c r="A798" s="24" t="s">
        <v>2828</v>
      </c>
      <c r="B798" s="24" t="s">
        <v>67</v>
      </c>
      <c r="C798" s="24" t="s">
        <v>2819</v>
      </c>
      <c r="D798" s="23" t="s">
        <v>724</v>
      </c>
      <c r="E798" s="26" t="s">
        <v>203</v>
      </c>
      <c r="F798" s="74" t="s">
        <v>81</v>
      </c>
      <c r="G798" s="74" t="s">
        <v>979</v>
      </c>
      <c r="H798" s="75" t="n">
        <v>20.2</v>
      </c>
      <c r="I798" s="25" t="n">
        <v>21.3</v>
      </c>
      <c r="J798" s="58" t="n">
        <v>5.2</v>
      </c>
      <c r="K798" s="23" t="s">
        <v>2830</v>
      </c>
      <c r="L798" s="24" t="s">
        <v>2042</v>
      </c>
      <c r="M798" s="24" t="s">
        <v>2831</v>
      </c>
      <c r="N798" s="26" t="s">
        <v>1216</v>
      </c>
      <c r="O798" s="24" t="s">
        <v>1216</v>
      </c>
      <c r="P798" s="24" t="s">
        <v>119</v>
      </c>
      <c r="Q798" s="24" t="s">
        <v>1007</v>
      </c>
      <c r="R798" s="73" t="s">
        <v>95</v>
      </c>
      <c r="S798" s="0" t="n">
        <f aca="false">IF(Recherche!$B$4="",0,IF(ISNUMBER(SEARCH(Recherche!$B$4,D798))+ISNUMBER(SEARCH(Recherche!$B$4,K798))&gt;0,1,0))</f>
        <v>0</v>
      </c>
      <c r="T798" s="0" t="str">
        <f aca="false">IF(S798=1,SUM($S$2:S798),"")</f>
        <v/>
      </c>
    </row>
    <row r="799" customFormat="false" ht="23.85" hidden="false" customHeight="false" outlineLevel="0" collapsed="false">
      <c r="A799" s="20" t="s">
        <v>2832</v>
      </c>
      <c r="B799" s="20" t="s">
        <v>67</v>
      </c>
      <c r="C799" s="20" t="s">
        <v>2819</v>
      </c>
      <c r="D799" s="19" t="s">
        <v>726</v>
      </c>
      <c r="E799" s="22" t="s">
        <v>203</v>
      </c>
      <c r="F799" s="20" t="s">
        <v>80</v>
      </c>
      <c r="G799" s="20" t="s">
        <v>939</v>
      </c>
      <c r="H799" s="21" t="n">
        <v>2.64</v>
      </c>
      <c r="I799" s="21"/>
      <c r="J799" s="52"/>
      <c r="K799" s="19" t="s">
        <v>2833</v>
      </c>
      <c r="L799" s="20"/>
      <c r="M799" s="20" t="s">
        <v>2834</v>
      </c>
      <c r="N799" s="22" t="s">
        <v>91</v>
      </c>
      <c r="O799" s="20"/>
      <c r="P799" s="20" t="s">
        <v>303</v>
      </c>
      <c r="Q799" s="20" t="s">
        <v>942</v>
      </c>
      <c r="R799" s="76" t="s">
        <v>95</v>
      </c>
      <c r="S799" s="0" t="n">
        <f aca="false">IF(Recherche!$B$4="",0,IF(ISNUMBER(SEARCH(Recherche!$B$4,D799))+ISNUMBER(SEARCH(Recherche!$B$4,K799))&gt;0,1,0))</f>
        <v>0</v>
      </c>
      <c r="T799" s="0" t="str">
        <f aca="false">IF(S799=1,SUM($S$2:S799),"")</f>
        <v/>
      </c>
    </row>
    <row r="800" customFormat="false" ht="23.85" hidden="false" customHeight="false" outlineLevel="0" collapsed="false">
      <c r="A800" s="24" t="s">
        <v>2832</v>
      </c>
      <c r="B800" s="24" t="s">
        <v>67</v>
      </c>
      <c r="C800" s="24" t="s">
        <v>2819</v>
      </c>
      <c r="D800" s="23" t="s">
        <v>726</v>
      </c>
      <c r="E800" s="26" t="s">
        <v>203</v>
      </c>
      <c r="F800" s="24" t="s">
        <v>76</v>
      </c>
      <c r="G800" s="24" t="s">
        <v>939</v>
      </c>
      <c r="H800" s="25" t="n">
        <v>18.9</v>
      </c>
      <c r="I800" s="25"/>
      <c r="J800" s="58"/>
      <c r="K800" s="23" t="s">
        <v>727</v>
      </c>
      <c r="L800" s="24" t="s">
        <v>2835</v>
      </c>
      <c r="M800" s="24" t="s">
        <v>2836</v>
      </c>
      <c r="N800" s="26" t="s">
        <v>203</v>
      </c>
      <c r="O800" s="24"/>
      <c r="P800" s="24" t="s">
        <v>93</v>
      </c>
      <c r="Q800" s="24" t="s">
        <v>1052</v>
      </c>
      <c r="R800" s="73" t="s">
        <v>95</v>
      </c>
      <c r="S800" s="0" t="n">
        <f aca="false">IF(Recherche!$B$4="",0,IF(ISNUMBER(SEARCH(Recherche!$B$4,D800))+ISNUMBER(SEARCH(Recherche!$B$4,K800))&gt;0,1,0))</f>
        <v>0</v>
      </c>
      <c r="T800" s="0" t="str">
        <f aca="false">IF(S800=1,SUM($S$2:S800),"")</f>
        <v/>
      </c>
    </row>
    <row r="801" customFormat="false" ht="15" hidden="false" customHeight="false" outlineLevel="0" collapsed="false">
      <c r="A801" s="20" t="s">
        <v>2837</v>
      </c>
      <c r="B801" s="20" t="s">
        <v>67</v>
      </c>
      <c r="C801" s="20" t="s">
        <v>2819</v>
      </c>
      <c r="D801" s="19" t="s">
        <v>728</v>
      </c>
      <c r="E801" s="22" t="s">
        <v>91</v>
      </c>
      <c r="F801" s="74" t="s">
        <v>81</v>
      </c>
      <c r="G801" s="74" t="s">
        <v>979</v>
      </c>
      <c r="H801" s="75" t="n">
        <v>0.42</v>
      </c>
      <c r="I801" s="21" t="n">
        <v>0.44</v>
      </c>
      <c r="J801" s="52" t="n">
        <v>4.5</v>
      </c>
      <c r="K801" s="19" t="s">
        <v>729</v>
      </c>
      <c r="L801" s="20" t="s">
        <v>2042</v>
      </c>
      <c r="M801" s="20" t="s">
        <v>2838</v>
      </c>
      <c r="N801" s="22" t="s">
        <v>91</v>
      </c>
      <c r="O801" s="20" t="s">
        <v>2839</v>
      </c>
      <c r="P801" s="20" t="s">
        <v>119</v>
      </c>
      <c r="Q801" s="20" t="s">
        <v>1016</v>
      </c>
      <c r="R801" s="76" t="s">
        <v>95</v>
      </c>
      <c r="S801" s="0" t="n">
        <f aca="false">IF(Recherche!$B$4="",0,IF(ISNUMBER(SEARCH(Recherche!$B$4,D801))+ISNUMBER(SEARCH(Recherche!$B$4,K801))&gt;0,1,0))</f>
        <v>0</v>
      </c>
      <c r="T801" s="0" t="str">
        <f aca="false">IF(S801=1,SUM($S$2:S801),"")</f>
        <v/>
      </c>
    </row>
    <row r="802" customFormat="false" ht="15" hidden="false" customHeight="false" outlineLevel="0" collapsed="false">
      <c r="A802" s="24" t="s">
        <v>2837</v>
      </c>
      <c r="B802" s="24" t="s">
        <v>67</v>
      </c>
      <c r="C802" s="24" t="s">
        <v>2819</v>
      </c>
      <c r="D802" s="23" t="s">
        <v>728</v>
      </c>
      <c r="E802" s="26" t="s">
        <v>91</v>
      </c>
      <c r="F802" s="24" t="s">
        <v>76</v>
      </c>
      <c r="G802" s="24" t="s">
        <v>939</v>
      </c>
      <c r="H802" s="25" t="n">
        <v>14.7</v>
      </c>
      <c r="I802" s="25"/>
      <c r="J802" s="58"/>
      <c r="K802" s="23" t="s">
        <v>2840</v>
      </c>
      <c r="L802" s="24" t="s">
        <v>2039</v>
      </c>
      <c r="M802" s="24" t="s">
        <v>2841</v>
      </c>
      <c r="N802" s="26" t="s">
        <v>91</v>
      </c>
      <c r="O802" s="24"/>
      <c r="P802" s="24" t="s">
        <v>93</v>
      </c>
      <c r="Q802" s="24" t="s">
        <v>963</v>
      </c>
      <c r="R802" s="73" t="s">
        <v>95</v>
      </c>
      <c r="S802" s="0" t="n">
        <f aca="false">IF(Recherche!$B$4="",0,IF(ISNUMBER(SEARCH(Recherche!$B$4,D802))+ISNUMBER(SEARCH(Recherche!$B$4,K802))&gt;0,1,0))</f>
        <v>0</v>
      </c>
      <c r="T802" s="0" t="str">
        <f aca="false">IF(S802=1,SUM($S$2:S802),"")</f>
        <v/>
      </c>
    </row>
    <row r="803" customFormat="false" ht="23.85" hidden="false" customHeight="false" outlineLevel="0" collapsed="false">
      <c r="A803" s="20" t="s">
        <v>2842</v>
      </c>
      <c r="B803" s="20" t="s">
        <v>67</v>
      </c>
      <c r="C803" s="20" t="s">
        <v>2843</v>
      </c>
      <c r="D803" s="19" t="s">
        <v>730</v>
      </c>
      <c r="E803" s="22" t="s">
        <v>203</v>
      </c>
      <c r="F803" s="20" t="s">
        <v>76</v>
      </c>
      <c r="G803" s="20" t="s">
        <v>939</v>
      </c>
      <c r="H803" s="21" t="n">
        <v>3.31</v>
      </c>
      <c r="I803" s="21"/>
      <c r="J803" s="52"/>
      <c r="K803" s="19" t="s">
        <v>731</v>
      </c>
      <c r="L803" s="20" t="s">
        <v>2844</v>
      </c>
      <c r="M803" s="20" t="s">
        <v>2845</v>
      </c>
      <c r="N803" s="22" t="s">
        <v>203</v>
      </c>
      <c r="O803" s="20"/>
      <c r="P803" s="20" t="s">
        <v>93</v>
      </c>
      <c r="Q803" s="20" t="s">
        <v>942</v>
      </c>
      <c r="R803" s="76" t="s">
        <v>95</v>
      </c>
      <c r="S803" s="0" t="n">
        <f aca="false">IF(Recherche!$B$4="",0,IF(ISNUMBER(SEARCH(Recherche!$B$4,D803))+ISNUMBER(SEARCH(Recherche!$B$4,K803))&gt;0,1,0))</f>
        <v>0</v>
      </c>
      <c r="T803" s="0" t="str">
        <f aca="false">IF(S803=1,SUM($S$2:S803),"")</f>
        <v/>
      </c>
    </row>
    <row r="804" customFormat="false" ht="23.85" hidden="false" customHeight="false" outlineLevel="0" collapsed="false">
      <c r="A804" s="24" t="s">
        <v>2842</v>
      </c>
      <c r="B804" s="24" t="s">
        <v>67</v>
      </c>
      <c r="C804" s="24" t="s">
        <v>2843</v>
      </c>
      <c r="D804" s="23" t="s">
        <v>730</v>
      </c>
      <c r="E804" s="26" t="s">
        <v>203</v>
      </c>
      <c r="F804" s="74" t="s">
        <v>81</v>
      </c>
      <c r="G804" s="74" t="s">
        <v>979</v>
      </c>
      <c r="H804" s="75" t="n">
        <v>5.82</v>
      </c>
      <c r="I804" s="25" t="n">
        <v>6.11</v>
      </c>
      <c r="J804" s="58" t="n">
        <v>4.7</v>
      </c>
      <c r="K804" s="23" t="s">
        <v>2846</v>
      </c>
      <c r="L804" s="24" t="s">
        <v>1274</v>
      </c>
      <c r="M804" s="24" t="s">
        <v>2847</v>
      </c>
      <c r="N804" s="26" t="s">
        <v>1216</v>
      </c>
      <c r="O804" s="24" t="s">
        <v>1216</v>
      </c>
      <c r="P804" s="24" t="s">
        <v>119</v>
      </c>
      <c r="Q804" s="24" t="s">
        <v>1007</v>
      </c>
      <c r="R804" s="73" t="s">
        <v>95</v>
      </c>
      <c r="S804" s="0" t="n">
        <f aca="false">IF(Recherche!$B$4="",0,IF(ISNUMBER(SEARCH(Recherche!$B$4,D804))+ISNUMBER(SEARCH(Recherche!$B$4,K804))&gt;0,1,0))</f>
        <v>0</v>
      </c>
      <c r="T804" s="0" t="str">
        <f aca="false">IF(S804=1,SUM($S$2:S804),"")</f>
        <v/>
      </c>
    </row>
    <row r="805" customFormat="false" ht="23.85" hidden="false" customHeight="false" outlineLevel="0" collapsed="false">
      <c r="A805" s="20" t="s">
        <v>2842</v>
      </c>
      <c r="B805" s="20" t="s">
        <v>67</v>
      </c>
      <c r="C805" s="20" t="s">
        <v>2843</v>
      </c>
      <c r="D805" s="19" t="s">
        <v>730</v>
      </c>
      <c r="E805" s="22" t="s">
        <v>203</v>
      </c>
      <c r="F805" s="20" t="s">
        <v>80</v>
      </c>
      <c r="G805" s="20" t="s">
        <v>939</v>
      </c>
      <c r="H805" s="21" t="n">
        <v>12.18</v>
      </c>
      <c r="I805" s="21"/>
      <c r="J805" s="52"/>
      <c r="K805" s="19" t="s">
        <v>2848</v>
      </c>
      <c r="L805" s="20"/>
      <c r="M805" s="20" t="s">
        <v>2849</v>
      </c>
      <c r="N805" s="22" t="s">
        <v>91</v>
      </c>
      <c r="O805" s="20"/>
      <c r="P805" s="20" t="s">
        <v>303</v>
      </c>
      <c r="Q805" s="20" t="s">
        <v>942</v>
      </c>
      <c r="R805" s="76" t="s">
        <v>95</v>
      </c>
      <c r="S805" s="0" t="n">
        <f aca="false">IF(Recherche!$B$4="",0,IF(ISNUMBER(SEARCH(Recherche!$B$4,D805))+ISNUMBER(SEARCH(Recherche!$B$4,K805))&gt;0,1,0))</f>
        <v>0</v>
      </c>
      <c r="T805" s="0" t="str">
        <f aca="false">IF(S805=1,SUM($S$2:S805),"")</f>
        <v/>
      </c>
    </row>
    <row r="806" customFormat="false" ht="23.85" hidden="false" customHeight="false" outlineLevel="0" collapsed="false">
      <c r="A806" s="24" t="s">
        <v>2842</v>
      </c>
      <c r="B806" s="24" t="s">
        <v>67</v>
      </c>
      <c r="C806" s="24" t="s">
        <v>2843</v>
      </c>
      <c r="D806" s="23" t="s">
        <v>730</v>
      </c>
      <c r="E806" s="26" t="s">
        <v>203</v>
      </c>
      <c r="F806" s="74" t="s">
        <v>82</v>
      </c>
      <c r="G806" s="74" t="s">
        <v>943</v>
      </c>
      <c r="H806" s="75" t="n">
        <v>13.21</v>
      </c>
      <c r="I806" s="25"/>
      <c r="J806" s="58"/>
      <c r="K806" s="23" t="s">
        <v>2850</v>
      </c>
      <c r="L806" s="24"/>
      <c r="M806" s="24" t="s">
        <v>2851</v>
      </c>
      <c r="N806" s="26" t="s">
        <v>91</v>
      </c>
      <c r="O806" s="24"/>
      <c r="P806" s="24" t="s">
        <v>290</v>
      </c>
      <c r="Q806" s="24" t="s">
        <v>1380</v>
      </c>
      <c r="R806" s="73" t="s">
        <v>95</v>
      </c>
      <c r="S806" s="0" t="n">
        <f aca="false">IF(Recherche!$B$4="",0,IF(ISNUMBER(SEARCH(Recherche!$B$4,D806))+ISNUMBER(SEARCH(Recherche!$B$4,K806))&gt;0,1,0))</f>
        <v>0</v>
      </c>
      <c r="T806" s="0" t="str">
        <f aca="false">IF(S806=1,SUM($S$2:S806),"")</f>
        <v/>
      </c>
    </row>
    <row r="807" customFormat="false" ht="15" hidden="false" customHeight="false" outlineLevel="0" collapsed="false">
      <c r="A807" s="20" t="s">
        <v>2842</v>
      </c>
      <c r="B807" s="20" t="s">
        <v>67</v>
      </c>
      <c r="C807" s="20" t="s">
        <v>2843</v>
      </c>
      <c r="D807" s="19" t="s">
        <v>730</v>
      </c>
      <c r="E807" s="22" t="s">
        <v>203</v>
      </c>
      <c r="F807" s="74" t="s">
        <v>77</v>
      </c>
      <c r="G807" s="74" t="s">
        <v>979</v>
      </c>
      <c r="H807" s="75" t="n">
        <v>21.31</v>
      </c>
      <c r="I807" s="21" t="n">
        <v>30.02</v>
      </c>
      <c r="J807" s="52" t="n">
        <v>29</v>
      </c>
      <c r="K807" s="19" t="s">
        <v>2852</v>
      </c>
      <c r="L807" s="20" t="s">
        <v>1393</v>
      </c>
      <c r="M807" s="20" t="s">
        <v>2853</v>
      </c>
      <c r="N807" s="22" t="s">
        <v>91</v>
      </c>
      <c r="O807" s="20"/>
      <c r="P807" s="20" t="s">
        <v>114</v>
      </c>
      <c r="Q807" s="20" t="s">
        <v>983</v>
      </c>
      <c r="R807" s="76"/>
      <c r="S807" s="0" t="n">
        <f aca="false">IF(Recherche!$B$4="",0,IF(ISNUMBER(SEARCH(Recherche!$B$4,D807))+ISNUMBER(SEARCH(Recherche!$B$4,K807))&gt;0,1,0))</f>
        <v>0</v>
      </c>
      <c r="T807" s="0" t="str">
        <f aca="false">IF(S807=1,SUM($S$2:S807),"")</f>
        <v/>
      </c>
    </row>
    <row r="808" customFormat="false" ht="15" hidden="false" customHeight="false" outlineLevel="0" collapsed="false">
      <c r="A808" s="24" t="s">
        <v>2854</v>
      </c>
      <c r="B808" s="24" t="s">
        <v>67</v>
      </c>
      <c r="C808" s="24" t="s">
        <v>2843</v>
      </c>
      <c r="D808" s="23" t="s">
        <v>732</v>
      </c>
      <c r="E808" s="26" t="s">
        <v>203</v>
      </c>
      <c r="F808" s="24" t="s">
        <v>76</v>
      </c>
      <c r="G808" s="24" t="s">
        <v>939</v>
      </c>
      <c r="H808" s="25" t="n">
        <v>7.56</v>
      </c>
      <c r="I808" s="25"/>
      <c r="J808" s="58"/>
      <c r="K808" s="23" t="s">
        <v>733</v>
      </c>
      <c r="L808" s="24" t="s">
        <v>1702</v>
      </c>
      <c r="M808" s="24" t="s">
        <v>2855</v>
      </c>
      <c r="N808" s="26" t="s">
        <v>203</v>
      </c>
      <c r="O808" s="24"/>
      <c r="P808" s="24" t="s">
        <v>93</v>
      </c>
      <c r="Q808" s="24" t="s">
        <v>942</v>
      </c>
      <c r="R808" s="73" t="s">
        <v>95</v>
      </c>
      <c r="S808" s="0" t="n">
        <f aca="false">IF(Recherche!$B$4="",0,IF(ISNUMBER(SEARCH(Recherche!$B$4,D808))+ISNUMBER(SEARCH(Recherche!$B$4,K808))&gt;0,1,0))</f>
        <v>0</v>
      </c>
      <c r="T808" s="0" t="str">
        <f aca="false">IF(S808=1,SUM($S$2:S808),"")</f>
        <v/>
      </c>
    </row>
    <row r="809" customFormat="false" ht="15" hidden="false" customHeight="false" outlineLevel="0" collapsed="false">
      <c r="A809" s="20" t="s">
        <v>2854</v>
      </c>
      <c r="B809" s="20" t="s">
        <v>67</v>
      </c>
      <c r="C809" s="20" t="s">
        <v>2843</v>
      </c>
      <c r="D809" s="19" t="s">
        <v>732</v>
      </c>
      <c r="E809" s="22" t="s">
        <v>203</v>
      </c>
      <c r="F809" s="74" t="s">
        <v>81</v>
      </c>
      <c r="G809" s="74" t="s">
        <v>979</v>
      </c>
      <c r="H809" s="75" t="n">
        <v>9.02</v>
      </c>
      <c r="I809" s="21" t="n">
        <v>9.38</v>
      </c>
      <c r="J809" s="52" t="n">
        <v>3.8</v>
      </c>
      <c r="K809" s="19" t="s">
        <v>2856</v>
      </c>
      <c r="L809" s="20" t="s">
        <v>1702</v>
      </c>
      <c r="M809" s="20" t="s">
        <v>2857</v>
      </c>
      <c r="N809" s="22" t="s">
        <v>1700</v>
      </c>
      <c r="O809" s="20" t="s">
        <v>1700</v>
      </c>
      <c r="P809" s="20" t="s">
        <v>119</v>
      </c>
      <c r="Q809" s="20" t="s">
        <v>1007</v>
      </c>
      <c r="R809" s="76" t="s">
        <v>95</v>
      </c>
      <c r="S809" s="0" t="n">
        <f aca="false">IF(Recherche!$B$4="",0,IF(ISNUMBER(SEARCH(Recherche!$B$4,D809))+ISNUMBER(SEARCH(Recherche!$B$4,K809))&gt;0,1,0))</f>
        <v>0</v>
      </c>
      <c r="T809" s="0" t="str">
        <f aca="false">IF(S809=1,SUM($S$2:S809),"")</f>
        <v/>
      </c>
    </row>
    <row r="810" customFormat="false" ht="15" hidden="false" customHeight="false" outlineLevel="0" collapsed="false">
      <c r="A810" s="24" t="s">
        <v>2854</v>
      </c>
      <c r="B810" s="24" t="s">
        <v>67</v>
      </c>
      <c r="C810" s="24" t="s">
        <v>2843</v>
      </c>
      <c r="D810" s="23" t="s">
        <v>732</v>
      </c>
      <c r="E810" s="26" t="s">
        <v>203</v>
      </c>
      <c r="F810" s="74" t="s">
        <v>77</v>
      </c>
      <c r="G810" s="74" t="s">
        <v>979</v>
      </c>
      <c r="H810" s="75" t="n">
        <v>45</v>
      </c>
      <c r="I810" s="25" t="n">
        <v>75</v>
      </c>
      <c r="J810" s="58" t="n">
        <v>40</v>
      </c>
      <c r="K810" s="23" t="s">
        <v>2858</v>
      </c>
      <c r="L810" s="24" t="s">
        <v>2859</v>
      </c>
      <c r="M810" s="24" t="s">
        <v>2860</v>
      </c>
      <c r="N810" s="26" t="s">
        <v>91</v>
      </c>
      <c r="O810" s="24"/>
      <c r="P810" s="24" t="s">
        <v>114</v>
      </c>
      <c r="Q810" s="24" t="s">
        <v>983</v>
      </c>
      <c r="R810" s="73"/>
      <c r="S810" s="0" t="n">
        <f aca="false">IF(Recherche!$B$4="",0,IF(ISNUMBER(SEARCH(Recherche!$B$4,D810))+ISNUMBER(SEARCH(Recherche!$B$4,K810))&gt;0,1,0))</f>
        <v>0</v>
      </c>
      <c r="T810" s="0" t="str">
        <f aca="false">IF(S810=1,SUM($S$2:S810),"")</f>
        <v/>
      </c>
    </row>
    <row r="811" customFormat="false" ht="23.85" hidden="false" customHeight="false" outlineLevel="0" collapsed="false">
      <c r="A811" s="20" t="s">
        <v>2861</v>
      </c>
      <c r="B811" s="20" t="s">
        <v>67</v>
      </c>
      <c r="C811" s="20" t="s">
        <v>2843</v>
      </c>
      <c r="D811" s="19" t="s">
        <v>734</v>
      </c>
      <c r="E811" s="22" t="s">
        <v>91</v>
      </c>
      <c r="F811" s="20" t="s">
        <v>76</v>
      </c>
      <c r="G811" s="20" t="s">
        <v>939</v>
      </c>
      <c r="H811" s="21" t="n">
        <v>67.69</v>
      </c>
      <c r="I811" s="21"/>
      <c r="J811" s="52"/>
      <c r="K811" s="19" t="s">
        <v>735</v>
      </c>
      <c r="L811" s="20" t="s">
        <v>2862</v>
      </c>
      <c r="M811" s="20" t="s">
        <v>2863</v>
      </c>
      <c r="N811" s="22" t="s">
        <v>91</v>
      </c>
      <c r="O811" s="20"/>
      <c r="P811" s="20" t="s">
        <v>93</v>
      </c>
      <c r="Q811" s="20" t="s">
        <v>1052</v>
      </c>
      <c r="R811" s="76" t="s">
        <v>95</v>
      </c>
      <c r="S811" s="0" t="n">
        <f aca="false">IF(Recherche!$B$4="",0,IF(ISNUMBER(SEARCH(Recherche!$B$4,D811))+ISNUMBER(SEARCH(Recherche!$B$4,K811))&gt;0,1,0))</f>
        <v>0</v>
      </c>
      <c r="T811" s="0" t="str">
        <f aca="false">IF(S811=1,SUM($S$2:S811),"")</f>
        <v/>
      </c>
    </row>
    <row r="812" customFormat="false" ht="15" hidden="false" customHeight="false" outlineLevel="0" collapsed="false">
      <c r="A812" s="24" t="s">
        <v>2864</v>
      </c>
      <c r="B812" s="24" t="s">
        <v>67</v>
      </c>
      <c r="C812" s="24" t="s">
        <v>2843</v>
      </c>
      <c r="D812" s="23" t="s">
        <v>736</v>
      </c>
      <c r="E812" s="26" t="s">
        <v>91</v>
      </c>
      <c r="F812" s="24" t="s">
        <v>76</v>
      </c>
      <c r="G812" s="24" t="s">
        <v>939</v>
      </c>
      <c r="H812" s="25" t="n">
        <v>5.3</v>
      </c>
      <c r="I812" s="25"/>
      <c r="J812" s="58"/>
      <c r="K812" s="23" t="s">
        <v>737</v>
      </c>
      <c r="L812" s="24" t="s">
        <v>2865</v>
      </c>
      <c r="M812" s="24" t="s">
        <v>2866</v>
      </c>
      <c r="N812" s="26" t="s">
        <v>91</v>
      </c>
      <c r="O812" s="24"/>
      <c r="P812" s="24" t="s">
        <v>93</v>
      </c>
      <c r="Q812" s="24" t="s">
        <v>942</v>
      </c>
      <c r="R812" s="73" t="s">
        <v>95</v>
      </c>
      <c r="S812" s="0" t="n">
        <f aca="false">IF(Recherche!$B$4="",0,IF(ISNUMBER(SEARCH(Recherche!$B$4,D812))+ISNUMBER(SEARCH(Recherche!$B$4,K812))&gt;0,1,0))</f>
        <v>0</v>
      </c>
      <c r="T812" s="0" t="str">
        <f aca="false">IF(S812=1,SUM($S$2:S812),"")</f>
        <v/>
      </c>
    </row>
    <row r="813" customFormat="false" ht="23.85" hidden="false" customHeight="false" outlineLevel="0" collapsed="false">
      <c r="A813" s="20" t="s">
        <v>2867</v>
      </c>
      <c r="B813" s="20" t="s">
        <v>67</v>
      </c>
      <c r="C813" s="20" t="s">
        <v>2868</v>
      </c>
      <c r="D813" s="19" t="s">
        <v>738</v>
      </c>
      <c r="E813" s="22" t="s">
        <v>91</v>
      </c>
      <c r="F813" s="20" t="s">
        <v>76</v>
      </c>
      <c r="G813" s="20" t="s">
        <v>939</v>
      </c>
      <c r="H813" s="21" t="n">
        <v>29.55</v>
      </c>
      <c r="I813" s="21"/>
      <c r="J813" s="52"/>
      <c r="K813" s="19" t="s">
        <v>739</v>
      </c>
      <c r="L813" s="20" t="s">
        <v>2039</v>
      </c>
      <c r="M813" s="20" t="s">
        <v>2869</v>
      </c>
      <c r="N813" s="22" t="s">
        <v>91</v>
      </c>
      <c r="O813" s="20"/>
      <c r="P813" s="20" t="s">
        <v>93</v>
      </c>
      <c r="Q813" s="20" t="s">
        <v>1052</v>
      </c>
      <c r="R813" s="76" t="s">
        <v>95</v>
      </c>
      <c r="S813" s="0" t="n">
        <f aca="false">IF(Recherche!$B$4="",0,IF(ISNUMBER(SEARCH(Recherche!$B$4,D813))+ISNUMBER(SEARCH(Recherche!$B$4,K813))&gt;0,1,0))</f>
        <v>0</v>
      </c>
      <c r="T813" s="0" t="str">
        <f aca="false">IF(S813=1,SUM($S$2:S813),"")</f>
        <v/>
      </c>
    </row>
    <row r="814" customFormat="false" ht="15" hidden="false" customHeight="false" outlineLevel="0" collapsed="false">
      <c r="A814" s="24" t="s">
        <v>2870</v>
      </c>
      <c r="B814" s="24" t="s">
        <v>67</v>
      </c>
      <c r="C814" s="24" t="s">
        <v>2868</v>
      </c>
      <c r="D814" s="23" t="s">
        <v>740</v>
      </c>
      <c r="E814" s="26" t="s">
        <v>188</v>
      </c>
      <c r="F814" s="24" t="s">
        <v>80</v>
      </c>
      <c r="G814" s="24" t="s">
        <v>939</v>
      </c>
      <c r="H814" s="25" t="n">
        <v>7.8</v>
      </c>
      <c r="I814" s="25"/>
      <c r="J814" s="58"/>
      <c r="K814" s="23" t="s">
        <v>2871</v>
      </c>
      <c r="L814" s="24"/>
      <c r="M814" s="24" t="s">
        <v>2872</v>
      </c>
      <c r="N814" s="26" t="s">
        <v>91</v>
      </c>
      <c r="O814" s="24"/>
      <c r="P814" s="24" t="s">
        <v>303</v>
      </c>
      <c r="Q814" s="24" t="s">
        <v>942</v>
      </c>
      <c r="R814" s="73" t="s">
        <v>95</v>
      </c>
      <c r="S814" s="0" t="n">
        <f aca="false">IF(Recherche!$B$4="",0,IF(ISNUMBER(SEARCH(Recherche!$B$4,D814))+ISNUMBER(SEARCH(Recherche!$B$4,K814))&gt;0,1,0))</f>
        <v>0</v>
      </c>
      <c r="T814" s="0" t="str">
        <f aca="false">IF(S814=1,SUM($S$2:S814),"")</f>
        <v/>
      </c>
    </row>
    <row r="815" customFormat="false" ht="15" hidden="false" customHeight="false" outlineLevel="0" collapsed="false">
      <c r="A815" s="20" t="s">
        <v>2870</v>
      </c>
      <c r="B815" s="20" t="s">
        <v>67</v>
      </c>
      <c r="C815" s="20" t="s">
        <v>2868</v>
      </c>
      <c r="D815" s="19" t="s">
        <v>740</v>
      </c>
      <c r="E815" s="22" t="s">
        <v>188</v>
      </c>
      <c r="F815" s="20" t="s">
        <v>76</v>
      </c>
      <c r="G815" s="20" t="s">
        <v>939</v>
      </c>
      <c r="H815" s="21" t="n">
        <v>7.87</v>
      </c>
      <c r="I815" s="21"/>
      <c r="J815" s="52"/>
      <c r="K815" s="19" t="s">
        <v>741</v>
      </c>
      <c r="L815" s="20" t="s">
        <v>2039</v>
      </c>
      <c r="M815" s="20" t="s">
        <v>2873</v>
      </c>
      <c r="N815" s="22" t="s">
        <v>188</v>
      </c>
      <c r="O815" s="20"/>
      <c r="P815" s="20" t="s">
        <v>93</v>
      </c>
      <c r="Q815" s="20" t="s">
        <v>942</v>
      </c>
      <c r="R815" s="76" t="s">
        <v>95</v>
      </c>
      <c r="S815" s="0" t="n">
        <f aca="false">IF(Recherche!$B$4="",0,IF(ISNUMBER(SEARCH(Recherche!$B$4,D815))+ISNUMBER(SEARCH(Recherche!$B$4,K815))&gt;0,1,0))</f>
        <v>0</v>
      </c>
      <c r="T815" s="0" t="str">
        <f aca="false">IF(S815=1,SUM($S$2:S815),"")</f>
        <v/>
      </c>
    </row>
    <row r="816" customFormat="false" ht="15" hidden="false" customHeight="false" outlineLevel="0" collapsed="false">
      <c r="A816" s="24" t="s">
        <v>2874</v>
      </c>
      <c r="B816" s="24" t="s">
        <v>67</v>
      </c>
      <c r="C816" s="24" t="s">
        <v>2868</v>
      </c>
      <c r="D816" s="23" t="s">
        <v>742</v>
      </c>
      <c r="E816" s="26" t="s">
        <v>188</v>
      </c>
      <c r="F816" s="24" t="s">
        <v>76</v>
      </c>
      <c r="G816" s="24" t="s">
        <v>939</v>
      </c>
      <c r="H816" s="25" t="n">
        <v>2.26</v>
      </c>
      <c r="I816" s="25"/>
      <c r="J816" s="58"/>
      <c r="K816" s="23" t="s">
        <v>743</v>
      </c>
      <c r="L816" s="24"/>
      <c r="M816" s="24" t="s">
        <v>2875</v>
      </c>
      <c r="N816" s="26" t="s">
        <v>188</v>
      </c>
      <c r="O816" s="24"/>
      <c r="P816" s="24" t="s">
        <v>93</v>
      </c>
      <c r="Q816" s="24" t="s">
        <v>942</v>
      </c>
      <c r="R816" s="73" t="s">
        <v>95</v>
      </c>
      <c r="S816" s="0" t="n">
        <f aca="false">IF(Recherche!$B$4="",0,IF(ISNUMBER(SEARCH(Recherche!$B$4,D816))+ISNUMBER(SEARCH(Recherche!$B$4,K816))&gt;0,1,0))</f>
        <v>0</v>
      </c>
      <c r="T816" s="0" t="str">
        <f aca="false">IF(S816=1,SUM($S$2:S816),"")</f>
        <v/>
      </c>
    </row>
    <row r="817" customFormat="false" ht="23.85" hidden="false" customHeight="false" outlineLevel="0" collapsed="false">
      <c r="A817" s="20" t="s">
        <v>2874</v>
      </c>
      <c r="B817" s="20" t="s">
        <v>67</v>
      </c>
      <c r="C817" s="20" t="s">
        <v>2868</v>
      </c>
      <c r="D817" s="19" t="s">
        <v>742</v>
      </c>
      <c r="E817" s="22" t="s">
        <v>188</v>
      </c>
      <c r="F817" s="74" t="s">
        <v>77</v>
      </c>
      <c r="G817" s="74" t="s">
        <v>979</v>
      </c>
      <c r="H817" s="75" t="n">
        <v>5.77</v>
      </c>
      <c r="I817" s="21" t="n">
        <v>5.77</v>
      </c>
      <c r="J817" s="52"/>
      <c r="K817" s="19" t="s">
        <v>2876</v>
      </c>
      <c r="L817" s="20" t="s">
        <v>987</v>
      </c>
      <c r="M817" s="20" t="s">
        <v>2877</v>
      </c>
      <c r="N817" s="22" t="s">
        <v>91</v>
      </c>
      <c r="O817" s="20"/>
      <c r="P817" s="20" t="s">
        <v>114</v>
      </c>
      <c r="Q817" s="20" t="s">
        <v>983</v>
      </c>
      <c r="R817" s="76"/>
      <c r="S817" s="0" t="n">
        <f aca="false">IF(Recherche!$B$4="",0,IF(ISNUMBER(SEARCH(Recherche!$B$4,D817))+ISNUMBER(SEARCH(Recherche!$B$4,K817))&gt;0,1,0))</f>
        <v>0</v>
      </c>
      <c r="T817" s="0" t="str">
        <f aca="false">IF(S817=1,SUM($S$2:S817),"")</f>
        <v/>
      </c>
    </row>
    <row r="818" customFormat="false" ht="23.85" hidden="false" customHeight="false" outlineLevel="0" collapsed="false">
      <c r="A818" s="24" t="s">
        <v>2874</v>
      </c>
      <c r="B818" s="24" t="s">
        <v>67</v>
      </c>
      <c r="C818" s="24" t="s">
        <v>2868</v>
      </c>
      <c r="D818" s="23" t="s">
        <v>742</v>
      </c>
      <c r="E818" s="26" t="s">
        <v>188</v>
      </c>
      <c r="F818" s="24" t="s">
        <v>80</v>
      </c>
      <c r="G818" s="24" t="s">
        <v>939</v>
      </c>
      <c r="H818" s="25" t="n">
        <v>6.2</v>
      </c>
      <c r="I818" s="25"/>
      <c r="J818" s="58"/>
      <c r="K818" s="23" t="s">
        <v>2878</v>
      </c>
      <c r="L818" s="24"/>
      <c r="M818" s="24" t="s">
        <v>2879</v>
      </c>
      <c r="N818" s="26" t="s">
        <v>91</v>
      </c>
      <c r="O818" s="24"/>
      <c r="P818" s="24" t="s">
        <v>303</v>
      </c>
      <c r="Q818" s="24" t="s">
        <v>942</v>
      </c>
      <c r="R818" s="73" t="s">
        <v>95</v>
      </c>
      <c r="S818" s="0" t="n">
        <f aca="false">IF(Recherche!$B$4="",0,IF(ISNUMBER(SEARCH(Recherche!$B$4,D818))+ISNUMBER(SEARCH(Recherche!$B$4,K818))&gt;0,1,0))</f>
        <v>0</v>
      </c>
      <c r="T818" s="0" t="str">
        <f aca="false">IF(S818=1,SUM($S$2:S818),"")</f>
        <v/>
      </c>
    </row>
    <row r="819" customFormat="false" ht="23.85" hidden="false" customHeight="false" outlineLevel="0" collapsed="false">
      <c r="A819" s="20" t="s">
        <v>2874</v>
      </c>
      <c r="B819" s="20" t="s">
        <v>67</v>
      </c>
      <c r="C819" s="20" t="s">
        <v>2868</v>
      </c>
      <c r="D819" s="19" t="s">
        <v>742</v>
      </c>
      <c r="E819" s="22" t="s">
        <v>188</v>
      </c>
      <c r="F819" s="74" t="s">
        <v>81</v>
      </c>
      <c r="G819" s="74" t="s">
        <v>979</v>
      </c>
      <c r="H819" s="75" t="n">
        <v>11.7</v>
      </c>
      <c r="I819" s="21" t="n">
        <v>13</v>
      </c>
      <c r="J819" s="52" t="n">
        <v>10</v>
      </c>
      <c r="K819" s="19" t="s">
        <v>2880</v>
      </c>
      <c r="L819" s="20" t="s">
        <v>2881</v>
      </c>
      <c r="M819" s="20" t="s">
        <v>2882</v>
      </c>
      <c r="N819" s="22" t="s">
        <v>91</v>
      </c>
      <c r="O819" s="20" t="s">
        <v>949</v>
      </c>
      <c r="P819" s="20" t="s">
        <v>169</v>
      </c>
      <c r="Q819" s="20" t="s">
        <v>1007</v>
      </c>
      <c r="R819" s="76" t="s">
        <v>95</v>
      </c>
      <c r="S819" s="0" t="n">
        <f aca="false">IF(Recherche!$B$4="",0,IF(ISNUMBER(SEARCH(Recherche!$B$4,D819))+ISNUMBER(SEARCH(Recherche!$B$4,K819))&gt;0,1,0))</f>
        <v>0</v>
      </c>
      <c r="T819" s="0" t="str">
        <f aca="false">IF(S819=1,SUM($S$2:S819),"")</f>
        <v/>
      </c>
    </row>
    <row r="820" customFormat="false" ht="23.85" hidden="false" customHeight="false" outlineLevel="0" collapsed="false">
      <c r="A820" s="24" t="s">
        <v>2883</v>
      </c>
      <c r="B820" s="24" t="s">
        <v>67</v>
      </c>
      <c r="C820" s="24" t="s">
        <v>2884</v>
      </c>
      <c r="D820" s="23" t="s">
        <v>744</v>
      </c>
      <c r="E820" s="26" t="s">
        <v>91</v>
      </c>
      <c r="F820" s="24" t="s">
        <v>80</v>
      </c>
      <c r="G820" s="24" t="s">
        <v>939</v>
      </c>
      <c r="H820" s="25" t="n">
        <v>0.89</v>
      </c>
      <c r="I820" s="25"/>
      <c r="J820" s="58"/>
      <c r="K820" s="23" t="s">
        <v>745</v>
      </c>
      <c r="L820" s="24"/>
      <c r="M820" s="24" t="s">
        <v>2885</v>
      </c>
      <c r="N820" s="26" t="s">
        <v>91</v>
      </c>
      <c r="O820" s="24"/>
      <c r="P820" s="24" t="s">
        <v>303</v>
      </c>
      <c r="Q820" s="24" t="s">
        <v>942</v>
      </c>
      <c r="R820" s="73" t="s">
        <v>95</v>
      </c>
      <c r="S820" s="0" t="n">
        <f aca="false">IF(Recherche!$B$4="",0,IF(ISNUMBER(SEARCH(Recherche!$B$4,D820))+ISNUMBER(SEARCH(Recherche!$B$4,K820))&gt;0,1,0))</f>
        <v>0</v>
      </c>
      <c r="T820" s="0" t="str">
        <f aca="false">IF(S820=1,SUM($S$2:S820),"")</f>
        <v/>
      </c>
    </row>
    <row r="821" customFormat="false" ht="15" hidden="false" customHeight="false" outlineLevel="0" collapsed="false">
      <c r="A821" s="20" t="s">
        <v>2883</v>
      </c>
      <c r="B821" s="20" t="s">
        <v>67</v>
      </c>
      <c r="C821" s="20" t="s">
        <v>2884</v>
      </c>
      <c r="D821" s="19" t="s">
        <v>744</v>
      </c>
      <c r="E821" s="22" t="s">
        <v>91</v>
      </c>
      <c r="F821" s="74" t="s">
        <v>81</v>
      </c>
      <c r="G821" s="74" t="s">
        <v>979</v>
      </c>
      <c r="H821" s="75" t="n">
        <v>1.81</v>
      </c>
      <c r="I821" s="21" t="n">
        <v>1.89</v>
      </c>
      <c r="J821" s="52" t="n">
        <v>4.2</v>
      </c>
      <c r="K821" s="19" t="s">
        <v>2886</v>
      </c>
      <c r="L821" s="20" t="s">
        <v>2887</v>
      </c>
      <c r="M821" s="20" t="s">
        <v>2888</v>
      </c>
      <c r="N821" s="22" t="s">
        <v>91</v>
      </c>
      <c r="O821" s="20" t="s">
        <v>949</v>
      </c>
      <c r="P821" s="20" t="s">
        <v>119</v>
      </c>
      <c r="Q821" s="20" t="s">
        <v>1016</v>
      </c>
      <c r="R821" s="76" t="s">
        <v>95</v>
      </c>
      <c r="S821" s="0" t="n">
        <f aca="false">IF(Recherche!$B$4="",0,IF(ISNUMBER(SEARCH(Recherche!$B$4,D821))+ISNUMBER(SEARCH(Recherche!$B$4,K821))&gt;0,1,0))</f>
        <v>0</v>
      </c>
      <c r="T821" s="0" t="str">
        <f aca="false">IF(S821=1,SUM($S$2:S821),"")</f>
        <v/>
      </c>
    </row>
    <row r="822" customFormat="false" ht="15" hidden="false" customHeight="false" outlineLevel="0" collapsed="false">
      <c r="A822" s="24" t="s">
        <v>2883</v>
      </c>
      <c r="B822" s="24" t="s">
        <v>67</v>
      </c>
      <c r="C822" s="24" t="s">
        <v>2884</v>
      </c>
      <c r="D822" s="23" t="s">
        <v>744</v>
      </c>
      <c r="E822" s="26" t="s">
        <v>91</v>
      </c>
      <c r="F822" s="24" t="s">
        <v>76</v>
      </c>
      <c r="G822" s="24" t="s">
        <v>939</v>
      </c>
      <c r="H822" s="25" t="n">
        <v>14</v>
      </c>
      <c r="I822" s="25"/>
      <c r="J822" s="58"/>
      <c r="K822" s="23" t="s">
        <v>2889</v>
      </c>
      <c r="L822" s="24" t="s">
        <v>1211</v>
      </c>
      <c r="M822" s="24" t="s">
        <v>2890</v>
      </c>
      <c r="N822" s="26" t="s">
        <v>91</v>
      </c>
      <c r="O822" s="24"/>
      <c r="P822" s="24" t="s">
        <v>93</v>
      </c>
      <c r="Q822" s="24" t="s">
        <v>1052</v>
      </c>
      <c r="R822" s="73" t="s">
        <v>95</v>
      </c>
      <c r="S822" s="0" t="n">
        <f aca="false">IF(Recherche!$B$4="",0,IF(ISNUMBER(SEARCH(Recherche!$B$4,D822))+ISNUMBER(SEARCH(Recherche!$B$4,K822))&gt;0,1,0))</f>
        <v>0</v>
      </c>
      <c r="T822" s="0" t="str">
        <f aca="false">IF(S822=1,SUM($S$2:S822),"")</f>
        <v/>
      </c>
    </row>
    <row r="823" customFormat="false" ht="15" hidden="false" customHeight="false" outlineLevel="0" collapsed="false">
      <c r="A823" s="20" t="s">
        <v>2891</v>
      </c>
      <c r="B823" s="20" t="s">
        <v>67</v>
      </c>
      <c r="C823" s="20" t="s">
        <v>2884</v>
      </c>
      <c r="D823" s="19" t="s">
        <v>746</v>
      </c>
      <c r="E823" s="22" t="s">
        <v>91</v>
      </c>
      <c r="F823" s="20" t="s">
        <v>76</v>
      </c>
      <c r="G823" s="20" t="s">
        <v>939</v>
      </c>
      <c r="H823" s="21" t="n">
        <v>31.44</v>
      </c>
      <c r="I823" s="21"/>
      <c r="J823" s="52"/>
      <c r="K823" s="19" t="s">
        <v>747</v>
      </c>
      <c r="L823" s="20" t="s">
        <v>2892</v>
      </c>
      <c r="M823" s="20" t="s">
        <v>2893</v>
      </c>
      <c r="N823" s="22" t="s">
        <v>91</v>
      </c>
      <c r="O823" s="20"/>
      <c r="P823" s="20" t="s">
        <v>93</v>
      </c>
      <c r="Q823" s="20" t="s">
        <v>1052</v>
      </c>
      <c r="R823" s="76" t="s">
        <v>95</v>
      </c>
      <c r="S823" s="0" t="n">
        <f aca="false">IF(Recherche!$B$4="",0,IF(ISNUMBER(SEARCH(Recherche!$B$4,D823))+ISNUMBER(SEARCH(Recherche!$B$4,K823))&gt;0,1,0))</f>
        <v>0</v>
      </c>
      <c r="T823" s="0" t="str">
        <f aca="false">IF(S823=1,SUM($S$2:S823),"")</f>
        <v/>
      </c>
    </row>
    <row r="824" customFormat="false" ht="15" hidden="false" customHeight="false" outlineLevel="0" collapsed="false">
      <c r="A824" s="24" t="s">
        <v>2894</v>
      </c>
      <c r="B824" s="24" t="s">
        <v>67</v>
      </c>
      <c r="C824" s="24" t="s">
        <v>2884</v>
      </c>
      <c r="D824" s="23" t="s">
        <v>748</v>
      </c>
      <c r="E824" s="26" t="s">
        <v>137</v>
      </c>
      <c r="F824" s="74" t="s">
        <v>81</v>
      </c>
      <c r="G824" s="74" t="s">
        <v>979</v>
      </c>
      <c r="H824" s="75" t="n">
        <v>2.33</v>
      </c>
      <c r="I824" s="25" t="n">
        <v>2.56</v>
      </c>
      <c r="J824" s="58" t="n">
        <v>9</v>
      </c>
      <c r="K824" s="23" t="s">
        <v>749</v>
      </c>
      <c r="L824" s="24" t="s">
        <v>2327</v>
      </c>
      <c r="M824" s="24" t="s">
        <v>2895</v>
      </c>
      <c r="N824" s="26" t="s">
        <v>1524</v>
      </c>
      <c r="O824" s="24" t="s">
        <v>1056</v>
      </c>
      <c r="P824" s="24" t="s">
        <v>169</v>
      </c>
      <c r="Q824" s="24" t="s">
        <v>1016</v>
      </c>
      <c r="R824" s="73" t="s">
        <v>95</v>
      </c>
      <c r="S824" s="0" t="n">
        <f aca="false">IF(Recherche!$B$4="",0,IF(ISNUMBER(SEARCH(Recherche!$B$4,D824))+ISNUMBER(SEARCH(Recherche!$B$4,K824))&gt;0,1,0))</f>
        <v>0</v>
      </c>
      <c r="T824" s="0" t="str">
        <f aca="false">IF(S824=1,SUM($S$2:S824),"")</f>
        <v/>
      </c>
    </row>
    <row r="825" customFormat="false" ht="23.85" hidden="false" customHeight="false" outlineLevel="0" collapsed="false">
      <c r="A825" s="20" t="s">
        <v>2894</v>
      </c>
      <c r="B825" s="20" t="s">
        <v>67</v>
      </c>
      <c r="C825" s="20" t="s">
        <v>2884</v>
      </c>
      <c r="D825" s="19" t="s">
        <v>748</v>
      </c>
      <c r="E825" s="22" t="s">
        <v>137</v>
      </c>
      <c r="F825" s="74" t="s">
        <v>82</v>
      </c>
      <c r="G825" s="74" t="s">
        <v>943</v>
      </c>
      <c r="H825" s="75" t="n">
        <v>38.27</v>
      </c>
      <c r="I825" s="21"/>
      <c r="J825" s="52"/>
      <c r="K825" s="19" t="s">
        <v>2896</v>
      </c>
      <c r="L825" s="20"/>
      <c r="M825" s="20" t="s">
        <v>2897</v>
      </c>
      <c r="N825" s="22" t="s">
        <v>91</v>
      </c>
      <c r="O825" s="20"/>
      <c r="P825" s="20" t="s">
        <v>290</v>
      </c>
      <c r="Q825" s="20" t="s">
        <v>1016</v>
      </c>
      <c r="R825" s="76" t="s">
        <v>95</v>
      </c>
      <c r="S825" s="0" t="n">
        <f aca="false">IF(Recherche!$B$4="",0,IF(ISNUMBER(SEARCH(Recherche!$B$4,D825))+ISNUMBER(SEARCH(Recherche!$B$4,K825))&gt;0,1,0))</f>
        <v>0</v>
      </c>
      <c r="T825" s="0" t="str">
        <f aca="false">IF(S825=1,SUM($S$2:S825),"")</f>
        <v/>
      </c>
    </row>
    <row r="826" customFormat="false" ht="23.85" hidden="false" customHeight="false" outlineLevel="0" collapsed="false">
      <c r="A826" s="24" t="s">
        <v>2894</v>
      </c>
      <c r="B826" s="24" t="s">
        <v>67</v>
      </c>
      <c r="C826" s="24" t="s">
        <v>2884</v>
      </c>
      <c r="D826" s="23" t="s">
        <v>748</v>
      </c>
      <c r="E826" s="26" t="s">
        <v>137</v>
      </c>
      <c r="F826" s="24" t="s">
        <v>80</v>
      </c>
      <c r="G826" s="24" t="s">
        <v>939</v>
      </c>
      <c r="H826" s="25" t="n">
        <v>87.98</v>
      </c>
      <c r="I826" s="25"/>
      <c r="J826" s="58"/>
      <c r="K826" s="23" t="s">
        <v>2898</v>
      </c>
      <c r="L826" s="24"/>
      <c r="M826" s="24" t="s">
        <v>2899</v>
      </c>
      <c r="N826" s="26" t="s">
        <v>91</v>
      </c>
      <c r="O826" s="24"/>
      <c r="P826" s="24" t="s">
        <v>303</v>
      </c>
      <c r="Q826" s="24" t="s">
        <v>963</v>
      </c>
      <c r="R826" s="73" t="s">
        <v>95</v>
      </c>
      <c r="S826" s="0" t="n">
        <f aca="false">IF(Recherche!$B$4="",0,IF(ISNUMBER(SEARCH(Recherche!$B$4,D826))+ISNUMBER(SEARCH(Recherche!$B$4,K826))&gt;0,1,0))</f>
        <v>0</v>
      </c>
      <c r="T826" s="0" t="str">
        <f aca="false">IF(S826=1,SUM($S$2:S826),"")</f>
        <v/>
      </c>
    </row>
    <row r="827" customFormat="false" ht="23.85" hidden="false" customHeight="false" outlineLevel="0" collapsed="false">
      <c r="A827" s="20" t="s">
        <v>2894</v>
      </c>
      <c r="B827" s="20" t="s">
        <v>67</v>
      </c>
      <c r="C827" s="20" t="s">
        <v>2884</v>
      </c>
      <c r="D827" s="19" t="s">
        <v>748</v>
      </c>
      <c r="E827" s="22" t="s">
        <v>137</v>
      </c>
      <c r="F827" s="20" t="s">
        <v>76</v>
      </c>
      <c r="G827" s="20" t="s">
        <v>939</v>
      </c>
      <c r="H827" s="21" t="n">
        <v>262.5</v>
      </c>
      <c r="I827" s="21"/>
      <c r="J827" s="52"/>
      <c r="K827" s="19" t="s">
        <v>2900</v>
      </c>
      <c r="L827" s="20" t="s">
        <v>2901</v>
      </c>
      <c r="M827" s="20" t="s">
        <v>2902</v>
      </c>
      <c r="N827" s="22" t="s">
        <v>137</v>
      </c>
      <c r="O827" s="20"/>
      <c r="P827" s="20" t="s">
        <v>93</v>
      </c>
      <c r="Q827" s="20" t="s">
        <v>963</v>
      </c>
      <c r="R827" s="76" t="s">
        <v>95</v>
      </c>
      <c r="S827" s="0" t="n">
        <f aca="false">IF(Recherche!$B$4="",0,IF(ISNUMBER(SEARCH(Recherche!$B$4,D827))+ISNUMBER(SEARCH(Recherche!$B$4,K827))&gt;0,1,0))</f>
        <v>0</v>
      </c>
      <c r="T827" s="0" t="str">
        <f aca="false">IF(S827=1,SUM($S$2:S827),"")</f>
        <v/>
      </c>
    </row>
    <row r="828" customFormat="false" ht="15" hidden="false" customHeight="false" outlineLevel="0" collapsed="false">
      <c r="A828" s="24" t="s">
        <v>2903</v>
      </c>
      <c r="B828" s="24" t="s">
        <v>67</v>
      </c>
      <c r="C828" s="24" t="s">
        <v>2904</v>
      </c>
      <c r="D828" s="23" t="s">
        <v>750</v>
      </c>
      <c r="E828" s="26" t="s">
        <v>519</v>
      </c>
      <c r="F828" s="74" t="s">
        <v>81</v>
      </c>
      <c r="G828" s="74" t="s">
        <v>979</v>
      </c>
      <c r="H828" s="75" t="n">
        <v>3.23</v>
      </c>
      <c r="I828" s="25" t="n">
        <v>3.4</v>
      </c>
      <c r="J828" s="58" t="n">
        <v>5</v>
      </c>
      <c r="K828" s="23" t="s">
        <v>2905</v>
      </c>
      <c r="L828" s="24" t="s">
        <v>1274</v>
      </c>
      <c r="M828" s="24" t="s">
        <v>2906</v>
      </c>
      <c r="N828" s="26" t="s">
        <v>91</v>
      </c>
      <c r="O828" s="24" t="s">
        <v>949</v>
      </c>
      <c r="P828" s="24" t="s">
        <v>119</v>
      </c>
      <c r="Q828" s="24" t="s">
        <v>1007</v>
      </c>
      <c r="R828" s="73" t="s">
        <v>95</v>
      </c>
      <c r="S828" s="0" t="n">
        <f aca="false">IF(Recherche!$B$4="",0,IF(ISNUMBER(SEARCH(Recherche!$B$4,D828))+ISNUMBER(SEARCH(Recherche!$B$4,K828))&gt;0,1,0))</f>
        <v>0</v>
      </c>
      <c r="T828" s="0" t="str">
        <f aca="false">IF(S828=1,SUM($S$2:S828),"")</f>
        <v/>
      </c>
    </row>
    <row r="829" customFormat="false" ht="23.85" hidden="false" customHeight="false" outlineLevel="0" collapsed="false">
      <c r="A829" s="20" t="s">
        <v>2903</v>
      </c>
      <c r="B829" s="20" t="s">
        <v>67</v>
      </c>
      <c r="C829" s="20" t="s">
        <v>2904</v>
      </c>
      <c r="D829" s="19" t="s">
        <v>750</v>
      </c>
      <c r="E829" s="22" t="s">
        <v>519</v>
      </c>
      <c r="F829" s="20" t="s">
        <v>76</v>
      </c>
      <c r="G829" s="20" t="s">
        <v>939</v>
      </c>
      <c r="H829" s="21" t="n">
        <v>3.45</v>
      </c>
      <c r="I829" s="21"/>
      <c r="J829" s="52"/>
      <c r="K829" s="19" t="s">
        <v>751</v>
      </c>
      <c r="L829" s="20" t="s">
        <v>2256</v>
      </c>
      <c r="M829" s="20" t="s">
        <v>2907</v>
      </c>
      <c r="N829" s="22" t="s">
        <v>519</v>
      </c>
      <c r="O829" s="20"/>
      <c r="P829" s="20" t="s">
        <v>93</v>
      </c>
      <c r="Q829" s="20" t="s">
        <v>942</v>
      </c>
      <c r="R829" s="76" t="s">
        <v>95</v>
      </c>
      <c r="S829" s="0" t="n">
        <f aca="false">IF(Recherche!$B$4="",0,IF(ISNUMBER(SEARCH(Recherche!$B$4,D829))+ISNUMBER(SEARCH(Recherche!$B$4,K829))&gt;0,1,0))</f>
        <v>0</v>
      </c>
      <c r="T829" s="0" t="str">
        <f aca="false">IF(S829=1,SUM($S$2:S829),"")</f>
        <v/>
      </c>
    </row>
    <row r="830" customFormat="false" ht="23.85" hidden="false" customHeight="false" outlineLevel="0" collapsed="false">
      <c r="A830" s="24" t="s">
        <v>2903</v>
      </c>
      <c r="B830" s="24" t="s">
        <v>67</v>
      </c>
      <c r="C830" s="24" t="s">
        <v>2904</v>
      </c>
      <c r="D830" s="23" t="s">
        <v>750</v>
      </c>
      <c r="E830" s="26" t="s">
        <v>519</v>
      </c>
      <c r="F830" s="24" t="s">
        <v>80</v>
      </c>
      <c r="G830" s="24" t="s">
        <v>939</v>
      </c>
      <c r="H830" s="25" t="n">
        <v>3.49</v>
      </c>
      <c r="I830" s="25"/>
      <c r="J830" s="58"/>
      <c r="K830" s="23" t="s">
        <v>2908</v>
      </c>
      <c r="L830" s="24"/>
      <c r="M830" s="24" t="s">
        <v>2909</v>
      </c>
      <c r="N830" s="26" t="s">
        <v>91</v>
      </c>
      <c r="O830" s="24"/>
      <c r="P830" s="24" t="s">
        <v>303</v>
      </c>
      <c r="Q830" s="24" t="s">
        <v>942</v>
      </c>
      <c r="R830" s="73" t="s">
        <v>95</v>
      </c>
      <c r="S830" s="0" t="n">
        <f aca="false">IF(Recherche!$B$4="",0,IF(ISNUMBER(SEARCH(Recherche!$B$4,D830))+ISNUMBER(SEARCH(Recherche!$B$4,K830))&gt;0,1,0))</f>
        <v>0</v>
      </c>
      <c r="T830" s="0" t="str">
        <f aca="false">IF(S830=1,SUM($S$2:S830),"")</f>
        <v/>
      </c>
    </row>
    <row r="831" customFormat="false" ht="15" hidden="false" customHeight="false" outlineLevel="0" collapsed="false">
      <c r="A831" s="20" t="s">
        <v>2903</v>
      </c>
      <c r="B831" s="20" t="s">
        <v>67</v>
      </c>
      <c r="C831" s="20" t="s">
        <v>2904</v>
      </c>
      <c r="D831" s="19" t="s">
        <v>750</v>
      </c>
      <c r="E831" s="22" t="s">
        <v>519</v>
      </c>
      <c r="F831" s="74" t="s">
        <v>77</v>
      </c>
      <c r="G831" s="74" t="s">
        <v>979</v>
      </c>
      <c r="H831" s="75" t="n">
        <v>4.97</v>
      </c>
      <c r="I831" s="21" t="n">
        <v>4.97</v>
      </c>
      <c r="J831" s="52"/>
      <c r="K831" s="19" t="s">
        <v>2910</v>
      </c>
      <c r="L831" s="20" t="s">
        <v>1588</v>
      </c>
      <c r="M831" s="20" t="s">
        <v>2911</v>
      </c>
      <c r="N831" s="22" t="s">
        <v>91</v>
      </c>
      <c r="O831" s="20"/>
      <c r="P831" s="20" t="s">
        <v>114</v>
      </c>
      <c r="Q831" s="20" t="s">
        <v>983</v>
      </c>
      <c r="R831" s="76"/>
      <c r="S831" s="0" t="n">
        <f aca="false">IF(Recherche!$B$4="",0,IF(ISNUMBER(SEARCH(Recherche!$B$4,D831))+ISNUMBER(SEARCH(Recherche!$B$4,K831))&gt;0,1,0))</f>
        <v>0</v>
      </c>
      <c r="T831" s="0" t="str">
        <f aca="false">IF(S831=1,SUM($S$2:S831),"")</f>
        <v/>
      </c>
    </row>
    <row r="832" customFormat="false" ht="15" hidden="false" customHeight="false" outlineLevel="0" collapsed="false">
      <c r="A832" s="24" t="s">
        <v>2903</v>
      </c>
      <c r="B832" s="24" t="s">
        <v>67</v>
      </c>
      <c r="C832" s="24" t="s">
        <v>2904</v>
      </c>
      <c r="D832" s="23" t="s">
        <v>750</v>
      </c>
      <c r="E832" s="26" t="s">
        <v>519</v>
      </c>
      <c r="F832" s="74" t="s">
        <v>82</v>
      </c>
      <c r="G832" s="74" t="s">
        <v>943</v>
      </c>
      <c r="H832" s="75" t="n">
        <v>7.88</v>
      </c>
      <c r="I832" s="25"/>
      <c r="J832" s="58"/>
      <c r="K832" s="23" t="s">
        <v>2912</v>
      </c>
      <c r="L832" s="24"/>
      <c r="M832" s="24" t="s">
        <v>2913</v>
      </c>
      <c r="N832" s="26" t="s">
        <v>91</v>
      </c>
      <c r="O832" s="24"/>
      <c r="P832" s="24" t="s">
        <v>290</v>
      </c>
      <c r="Q832" s="24" t="s">
        <v>1380</v>
      </c>
      <c r="R832" s="73" t="s">
        <v>95</v>
      </c>
      <c r="S832" s="0" t="n">
        <f aca="false">IF(Recherche!$B$4="",0,IF(ISNUMBER(SEARCH(Recherche!$B$4,D832))+ISNUMBER(SEARCH(Recherche!$B$4,K832))&gt;0,1,0))</f>
        <v>0</v>
      </c>
      <c r="T832" s="0" t="str">
        <f aca="false">IF(S832=1,SUM($S$2:S832),"")</f>
        <v/>
      </c>
    </row>
    <row r="833" customFormat="false" ht="15" hidden="false" customHeight="false" outlineLevel="0" collapsed="false">
      <c r="A833" s="20" t="s">
        <v>2914</v>
      </c>
      <c r="B833" s="20" t="s">
        <v>67</v>
      </c>
      <c r="C833" s="20" t="s">
        <v>2904</v>
      </c>
      <c r="D833" s="19" t="s">
        <v>752</v>
      </c>
      <c r="E833" s="22" t="s">
        <v>519</v>
      </c>
      <c r="F833" s="20" t="s">
        <v>76</v>
      </c>
      <c r="G833" s="20" t="s">
        <v>939</v>
      </c>
      <c r="H833" s="21" t="n">
        <v>3.98</v>
      </c>
      <c r="I833" s="21"/>
      <c r="J833" s="52"/>
      <c r="K833" s="19" t="s">
        <v>753</v>
      </c>
      <c r="L833" s="20" t="s">
        <v>1293</v>
      </c>
      <c r="M833" s="20" t="s">
        <v>2915</v>
      </c>
      <c r="N833" s="22" t="s">
        <v>519</v>
      </c>
      <c r="O833" s="20"/>
      <c r="P833" s="20" t="s">
        <v>93</v>
      </c>
      <c r="Q833" s="20" t="s">
        <v>1085</v>
      </c>
      <c r="R833" s="76" t="s">
        <v>95</v>
      </c>
      <c r="S833" s="0" t="n">
        <f aca="false">IF(Recherche!$B$4="",0,IF(ISNUMBER(SEARCH(Recherche!$B$4,D833))+ISNUMBER(SEARCH(Recherche!$B$4,K833))&gt;0,1,0))</f>
        <v>0</v>
      </c>
      <c r="T833" s="0" t="str">
        <f aca="false">IF(S833=1,SUM($S$2:S833),"")</f>
        <v/>
      </c>
    </row>
    <row r="834" customFormat="false" ht="15" hidden="false" customHeight="false" outlineLevel="0" collapsed="false">
      <c r="A834" s="24" t="s">
        <v>2914</v>
      </c>
      <c r="B834" s="24" t="s">
        <v>67</v>
      </c>
      <c r="C834" s="24" t="s">
        <v>2904</v>
      </c>
      <c r="D834" s="23" t="s">
        <v>752</v>
      </c>
      <c r="E834" s="26" t="s">
        <v>519</v>
      </c>
      <c r="F834" s="74" t="s">
        <v>79</v>
      </c>
      <c r="G834" s="74" t="s">
        <v>943</v>
      </c>
      <c r="H834" s="75" t="n">
        <v>6.1</v>
      </c>
      <c r="I834" s="25"/>
      <c r="J834" s="58"/>
      <c r="K834" s="23" t="s">
        <v>2916</v>
      </c>
      <c r="L834" s="24"/>
      <c r="M834" s="24" t="s">
        <v>2917</v>
      </c>
      <c r="N834" s="26" t="s">
        <v>91</v>
      </c>
      <c r="O834" s="24"/>
      <c r="P834" s="24" t="s">
        <v>313</v>
      </c>
      <c r="Q834" s="24" t="s">
        <v>1387</v>
      </c>
      <c r="R834" s="73" t="s">
        <v>95</v>
      </c>
      <c r="S834" s="0" t="n">
        <f aca="false">IF(Recherche!$B$4="",0,IF(ISNUMBER(SEARCH(Recherche!$B$4,D834))+ISNUMBER(SEARCH(Recherche!$B$4,K834))&gt;0,1,0))</f>
        <v>0</v>
      </c>
      <c r="T834" s="0" t="str">
        <f aca="false">IF(S834=1,SUM($S$2:S834),"")</f>
        <v/>
      </c>
    </row>
    <row r="835" customFormat="false" ht="15" hidden="false" customHeight="false" outlineLevel="0" collapsed="false">
      <c r="A835" s="20" t="s">
        <v>2914</v>
      </c>
      <c r="B835" s="20" t="s">
        <v>67</v>
      </c>
      <c r="C835" s="20" t="s">
        <v>2904</v>
      </c>
      <c r="D835" s="19" t="s">
        <v>752</v>
      </c>
      <c r="E835" s="22" t="s">
        <v>519</v>
      </c>
      <c r="F835" s="74" t="s">
        <v>81</v>
      </c>
      <c r="G835" s="74" t="s">
        <v>979</v>
      </c>
      <c r="H835" s="75" t="n">
        <v>6.54</v>
      </c>
      <c r="I835" s="21" t="n">
        <v>6.88</v>
      </c>
      <c r="J835" s="52" t="n">
        <v>4.9</v>
      </c>
      <c r="K835" s="19" t="s">
        <v>2918</v>
      </c>
      <c r="L835" s="20" t="s">
        <v>2105</v>
      </c>
      <c r="M835" s="20" t="s">
        <v>2919</v>
      </c>
      <c r="N835" s="22" t="s">
        <v>91</v>
      </c>
      <c r="O835" s="20" t="s">
        <v>949</v>
      </c>
      <c r="P835" s="20" t="s">
        <v>119</v>
      </c>
      <c r="Q835" s="20" t="s">
        <v>1007</v>
      </c>
      <c r="R835" s="76" t="s">
        <v>95</v>
      </c>
      <c r="S835" s="0" t="n">
        <f aca="false">IF(Recherche!$B$4="",0,IF(ISNUMBER(SEARCH(Recherche!$B$4,D835))+ISNUMBER(SEARCH(Recherche!$B$4,K835))&gt;0,1,0))</f>
        <v>0</v>
      </c>
      <c r="T835" s="0" t="str">
        <f aca="false">IF(S835=1,SUM($S$2:S835),"")</f>
        <v/>
      </c>
    </row>
    <row r="836" customFormat="false" ht="15" hidden="false" customHeight="false" outlineLevel="0" collapsed="false">
      <c r="A836" s="24" t="s">
        <v>2914</v>
      </c>
      <c r="B836" s="24" t="s">
        <v>67</v>
      </c>
      <c r="C836" s="24" t="s">
        <v>2904</v>
      </c>
      <c r="D836" s="23" t="s">
        <v>752</v>
      </c>
      <c r="E836" s="26" t="s">
        <v>519</v>
      </c>
      <c r="F836" s="74" t="s">
        <v>82</v>
      </c>
      <c r="G836" s="74" t="s">
        <v>943</v>
      </c>
      <c r="H836" s="75" t="n">
        <v>6.77</v>
      </c>
      <c r="I836" s="25"/>
      <c r="J836" s="58"/>
      <c r="K836" s="23" t="s">
        <v>2920</v>
      </c>
      <c r="L836" s="24"/>
      <c r="M836" s="24" t="s">
        <v>2921</v>
      </c>
      <c r="N836" s="26" t="s">
        <v>91</v>
      </c>
      <c r="O836" s="24"/>
      <c r="P836" s="24" t="s">
        <v>290</v>
      </c>
      <c r="Q836" s="24" t="s">
        <v>1380</v>
      </c>
      <c r="R836" s="73" t="s">
        <v>95</v>
      </c>
      <c r="S836" s="0" t="n">
        <f aca="false">IF(Recherche!$B$4="",0,IF(ISNUMBER(SEARCH(Recherche!$B$4,D836))+ISNUMBER(SEARCH(Recherche!$B$4,K836))&gt;0,1,0))</f>
        <v>0</v>
      </c>
      <c r="T836" s="0" t="str">
        <f aca="false">IF(S836=1,SUM($S$2:S836),"")</f>
        <v/>
      </c>
    </row>
    <row r="837" customFormat="false" ht="23.85" hidden="false" customHeight="false" outlineLevel="0" collapsed="false">
      <c r="A837" s="20" t="s">
        <v>2914</v>
      </c>
      <c r="B837" s="20" t="s">
        <v>67</v>
      </c>
      <c r="C837" s="20" t="s">
        <v>2904</v>
      </c>
      <c r="D837" s="19" t="s">
        <v>752</v>
      </c>
      <c r="E837" s="22" t="s">
        <v>519</v>
      </c>
      <c r="F837" s="20" t="s">
        <v>80</v>
      </c>
      <c r="G837" s="20" t="s">
        <v>939</v>
      </c>
      <c r="H837" s="21" t="n">
        <v>6.84</v>
      </c>
      <c r="I837" s="21"/>
      <c r="J837" s="52"/>
      <c r="K837" s="19" t="s">
        <v>2922</v>
      </c>
      <c r="L837" s="20"/>
      <c r="M837" s="20" t="s">
        <v>2923</v>
      </c>
      <c r="N837" s="22" t="s">
        <v>91</v>
      </c>
      <c r="O837" s="20"/>
      <c r="P837" s="20" t="s">
        <v>303</v>
      </c>
      <c r="Q837" s="20" t="s">
        <v>942</v>
      </c>
      <c r="R837" s="76" t="s">
        <v>95</v>
      </c>
      <c r="S837" s="0" t="n">
        <f aca="false">IF(Recherche!$B$4="",0,IF(ISNUMBER(SEARCH(Recherche!$B$4,D837))+ISNUMBER(SEARCH(Recherche!$B$4,K837))&gt;0,1,0))</f>
        <v>0</v>
      </c>
      <c r="T837" s="0" t="str">
        <f aca="false">IF(S837=1,SUM($S$2:S837),"")</f>
        <v/>
      </c>
    </row>
    <row r="838" customFormat="false" ht="23.85" hidden="false" customHeight="false" outlineLevel="0" collapsed="false">
      <c r="A838" s="24" t="s">
        <v>2924</v>
      </c>
      <c r="B838" s="24" t="s">
        <v>67</v>
      </c>
      <c r="C838" s="24" t="s">
        <v>2904</v>
      </c>
      <c r="D838" s="23" t="s">
        <v>754</v>
      </c>
      <c r="E838" s="26" t="s">
        <v>519</v>
      </c>
      <c r="F838" s="24" t="s">
        <v>80</v>
      </c>
      <c r="G838" s="24" t="s">
        <v>939</v>
      </c>
      <c r="H838" s="25" t="n">
        <v>6.78</v>
      </c>
      <c r="I838" s="25"/>
      <c r="J838" s="58"/>
      <c r="K838" s="23" t="s">
        <v>2925</v>
      </c>
      <c r="L838" s="24"/>
      <c r="M838" s="24" t="s">
        <v>2926</v>
      </c>
      <c r="N838" s="26" t="s">
        <v>91</v>
      </c>
      <c r="O838" s="24"/>
      <c r="P838" s="24" t="s">
        <v>303</v>
      </c>
      <c r="Q838" s="24" t="s">
        <v>942</v>
      </c>
      <c r="R838" s="73" t="s">
        <v>95</v>
      </c>
      <c r="S838" s="0" t="n">
        <f aca="false">IF(Recherche!$B$4="",0,IF(ISNUMBER(SEARCH(Recherche!$B$4,D838))+ISNUMBER(SEARCH(Recherche!$B$4,K838))&gt;0,1,0))</f>
        <v>0</v>
      </c>
      <c r="T838" s="0" t="str">
        <f aca="false">IF(S838=1,SUM($S$2:S838),"")</f>
        <v/>
      </c>
    </row>
    <row r="839" customFormat="false" ht="23.85" hidden="false" customHeight="false" outlineLevel="0" collapsed="false">
      <c r="A839" s="20" t="s">
        <v>2924</v>
      </c>
      <c r="B839" s="20" t="s">
        <v>67</v>
      </c>
      <c r="C839" s="20" t="s">
        <v>2904</v>
      </c>
      <c r="D839" s="19" t="s">
        <v>754</v>
      </c>
      <c r="E839" s="22" t="s">
        <v>519</v>
      </c>
      <c r="F839" s="74" t="s">
        <v>81</v>
      </c>
      <c r="G839" s="74" t="s">
        <v>979</v>
      </c>
      <c r="H839" s="75" t="n">
        <v>7.05</v>
      </c>
      <c r="I839" s="21" t="n">
        <v>7.42</v>
      </c>
      <c r="J839" s="52" t="n">
        <v>5</v>
      </c>
      <c r="K839" s="19" t="s">
        <v>2927</v>
      </c>
      <c r="L839" s="20" t="s">
        <v>2256</v>
      </c>
      <c r="M839" s="20" t="s">
        <v>2928</v>
      </c>
      <c r="N839" s="22" t="s">
        <v>91</v>
      </c>
      <c r="O839" s="20" t="s">
        <v>949</v>
      </c>
      <c r="P839" s="20" t="s">
        <v>169</v>
      </c>
      <c r="Q839" s="20" t="s">
        <v>1007</v>
      </c>
      <c r="R839" s="76" t="s">
        <v>95</v>
      </c>
      <c r="S839" s="0" t="n">
        <f aca="false">IF(Recherche!$B$4="",0,IF(ISNUMBER(SEARCH(Recherche!$B$4,D839))+ISNUMBER(SEARCH(Recherche!$B$4,K839))&gt;0,1,0))</f>
        <v>0</v>
      </c>
      <c r="T839" s="0" t="str">
        <f aca="false">IF(S839=1,SUM($S$2:S839),"")</f>
        <v/>
      </c>
    </row>
    <row r="840" customFormat="false" ht="15" hidden="false" customHeight="false" outlineLevel="0" collapsed="false">
      <c r="A840" s="24" t="s">
        <v>2924</v>
      </c>
      <c r="B840" s="24" t="s">
        <v>67</v>
      </c>
      <c r="C840" s="24" t="s">
        <v>2904</v>
      </c>
      <c r="D840" s="23" t="s">
        <v>754</v>
      </c>
      <c r="E840" s="26" t="s">
        <v>519</v>
      </c>
      <c r="F840" s="74" t="s">
        <v>82</v>
      </c>
      <c r="G840" s="74" t="s">
        <v>943</v>
      </c>
      <c r="H840" s="75" t="n">
        <v>8.8</v>
      </c>
      <c r="I840" s="25"/>
      <c r="J840" s="58"/>
      <c r="K840" s="23" t="s">
        <v>2929</v>
      </c>
      <c r="L840" s="24"/>
      <c r="M840" s="24" t="s">
        <v>2930</v>
      </c>
      <c r="N840" s="26" t="s">
        <v>91</v>
      </c>
      <c r="O840" s="24"/>
      <c r="P840" s="24" t="s">
        <v>290</v>
      </c>
      <c r="Q840" s="24" t="s">
        <v>1380</v>
      </c>
      <c r="R840" s="73" t="s">
        <v>95</v>
      </c>
      <c r="S840" s="0" t="n">
        <f aca="false">IF(Recherche!$B$4="",0,IF(ISNUMBER(SEARCH(Recherche!$B$4,D840))+ISNUMBER(SEARCH(Recherche!$B$4,K840))&gt;0,1,0))</f>
        <v>0</v>
      </c>
      <c r="T840" s="0" t="str">
        <f aca="false">IF(S840=1,SUM($S$2:S840),"")</f>
        <v/>
      </c>
    </row>
    <row r="841" customFormat="false" ht="23.85" hidden="false" customHeight="false" outlineLevel="0" collapsed="false">
      <c r="A841" s="20" t="s">
        <v>2924</v>
      </c>
      <c r="B841" s="20" t="s">
        <v>67</v>
      </c>
      <c r="C841" s="20" t="s">
        <v>2904</v>
      </c>
      <c r="D841" s="19" t="s">
        <v>754</v>
      </c>
      <c r="E841" s="22" t="s">
        <v>519</v>
      </c>
      <c r="F841" s="20" t="s">
        <v>76</v>
      </c>
      <c r="G841" s="20" t="s">
        <v>939</v>
      </c>
      <c r="H841" s="21" t="n">
        <v>11.9</v>
      </c>
      <c r="I841" s="21"/>
      <c r="J841" s="52"/>
      <c r="K841" s="19" t="s">
        <v>755</v>
      </c>
      <c r="L841" s="20" t="s">
        <v>2107</v>
      </c>
      <c r="M841" s="20" t="s">
        <v>2931</v>
      </c>
      <c r="N841" s="22" t="s">
        <v>519</v>
      </c>
      <c r="O841" s="20"/>
      <c r="P841" s="20" t="s">
        <v>93</v>
      </c>
      <c r="Q841" s="20" t="s">
        <v>942</v>
      </c>
      <c r="R841" s="76" t="s">
        <v>95</v>
      </c>
      <c r="S841" s="0" t="n">
        <f aca="false">IF(Recherche!$B$4="",0,IF(ISNUMBER(SEARCH(Recherche!$B$4,D841))+ISNUMBER(SEARCH(Recherche!$B$4,K841))&gt;0,1,0))</f>
        <v>0</v>
      </c>
      <c r="T841" s="0" t="str">
        <f aca="false">IF(S841=1,SUM($S$2:S841),"")</f>
        <v/>
      </c>
    </row>
    <row r="842" customFormat="false" ht="23.85" hidden="false" customHeight="false" outlineLevel="0" collapsed="false">
      <c r="A842" s="24" t="s">
        <v>2932</v>
      </c>
      <c r="B842" s="24" t="s">
        <v>67</v>
      </c>
      <c r="C842" s="24" t="s">
        <v>2904</v>
      </c>
      <c r="D842" s="23" t="s">
        <v>756</v>
      </c>
      <c r="E842" s="26" t="s">
        <v>757</v>
      </c>
      <c r="F842" s="74" t="s">
        <v>81</v>
      </c>
      <c r="G842" s="74" t="s">
        <v>979</v>
      </c>
      <c r="H842" s="75" t="n">
        <v>6.5</v>
      </c>
      <c r="I842" s="25" t="n">
        <v>11.25</v>
      </c>
      <c r="J842" s="58" t="n">
        <v>42.2</v>
      </c>
      <c r="K842" s="23" t="s">
        <v>2933</v>
      </c>
      <c r="L842" s="24" t="s">
        <v>2105</v>
      </c>
      <c r="M842" s="24" t="s">
        <v>2934</v>
      </c>
      <c r="N842" s="26" t="s">
        <v>91</v>
      </c>
      <c r="O842" s="24" t="s">
        <v>949</v>
      </c>
      <c r="P842" s="24" t="s">
        <v>119</v>
      </c>
      <c r="Q842" s="24" t="s">
        <v>1007</v>
      </c>
      <c r="R842" s="73" t="s">
        <v>95</v>
      </c>
      <c r="S842" s="0" t="n">
        <f aca="false">IF(Recherche!$B$4="",0,IF(ISNUMBER(SEARCH(Recherche!$B$4,D842))+ISNUMBER(SEARCH(Recherche!$B$4,K842))&gt;0,1,0))</f>
        <v>0</v>
      </c>
      <c r="T842" s="0" t="str">
        <f aca="false">IF(S842=1,SUM($S$2:S842),"")</f>
        <v/>
      </c>
    </row>
    <row r="843" customFormat="false" ht="15" hidden="false" customHeight="false" outlineLevel="0" collapsed="false">
      <c r="A843" s="20" t="s">
        <v>2932</v>
      </c>
      <c r="B843" s="20" t="s">
        <v>67</v>
      </c>
      <c r="C843" s="20" t="s">
        <v>2904</v>
      </c>
      <c r="D843" s="19" t="s">
        <v>756</v>
      </c>
      <c r="E843" s="22" t="s">
        <v>757</v>
      </c>
      <c r="F843" s="20" t="s">
        <v>76</v>
      </c>
      <c r="G843" s="20" t="s">
        <v>939</v>
      </c>
      <c r="H843" s="21" t="n">
        <v>6.5</v>
      </c>
      <c r="I843" s="21"/>
      <c r="J843" s="52"/>
      <c r="K843" s="19" t="s">
        <v>758</v>
      </c>
      <c r="L843" s="20" t="s">
        <v>2039</v>
      </c>
      <c r="M843" s="20" t="s">
        <v>2935</v>
      </c>
      <c r="N843" s="22" t="s">
        <v>757</v>
      </c>
      <c r="O843" s="20"/>
      <c r="P843" s="20" t="s">
        <v>93</v>
      </c>
      <c r="Q843" s="20" t="s">
        <v>1085</v>
      </c>
      <c r="R843" s="76" t="s">
        <v>95</v>
      </c>
      <c r="S843" s="0" t="n">
        <f aca="false">IF(Recherche!$B$4="",0,IF(ISNUMBER(SEARCH(Recherche!$B$4,D843))+ISNUMBER(SEARCH(Recherche!$B$4,K843))&gt;0,1,0))</f>
        <v>0</v>
      </c>
      <c r="T843" s="0" t="str">
        <f aca="false">IF(S843=1,SUM($S$2:S843),"")</f>
        <v/>
      </c>
    </row>
    <row r="844" customFormat="false" ht="15" hidden="false" customHeight="false" outlineLevel="0" collapsed="false">
      <c r="A844" s="24" t="s">
        <v>2932</v>
      </c>
      <c r="B844" s="24" t="s">
        <v>67</v>
      </c>
      <c r="C844" s="24" t="s">
        <v>2904</v>
      </c>
      <c r="D844" s="23" t="s">
        <v>756</v>
      </c>
      <c r="E844" s="26" t="s">
        <v>757</v>
      </c>
      <c r="F844" s="74" t="s">
        <v>82</v>
      </c>
      <c r="G844" s="74" t="s">
        <v>943</v>
      </c>
      <c r="H844" s="75" t="n">
        <v>8.36</v>
      </c>
      <c r="I844" s="25"/>
      <c r="J844" s="58"/>
      <c r="K844" s="23" t="s">
        <v>2936</v>
      </c>
      <c r="L844" s="24"/>
      <c r="M844" s="24" t="s">
        <v>2937</v>
      </c>
      <c r="N844" s="26" t="s">
        <v>91</v>
      </c>
      <c r="O844" s="24"/>
      <c r="P844" s="24" t="s">
        <v>290</v>
      </c>
      <c r="Q844" s="24" t="s">
        <v>1380</v>
      </c>
      <c r="R844" s="73" t="s">
        <v>95</v>
      </c>
      <c r="S844" s="0" t="n">
        <f aca="false">IF(Recherche!$B$4="",0,IF(ISNUMBER(SEARCH(Recherche!$B$4,D844))+ISNUMBER(SEARCH(Recherche!$B$4,K844))&gt;0,1,0))</f>
        <v>0</v>
      </c>
      <c r="T844" s="0" t="str">
        <f aca="false">IF(S844=1,SUM($S$2:S844),"")</f>
        <v/>
      </c>
    </row>
    <row r="845" customFormat="false" ht="23.85" hidden="false" customHeight="false" outlineLevel="0" collapsed="false">
      <c r="A845" s="20" t="s">
        <v>2932</v>
      </c>
      <c r="B845" s="20" t="s">
        <v>67</v>
      </c>
      <c r="C845" s="20" t="s">
        <v>2904</v>
      </c>
      <c r="D845" s="19" t="s">
        <v>756</v>
      </c>
      <c r="E845" s="22" t="s">
        <v>757</v>
      </c>
      <c r="F845" s="20" t="s">
        <v>80</v>
      </c>
      <c r="G845" s="20" t="s">
        <v>939</v>
      </c>
      <c r="H845" s="21" t="n">
        <v>13.21</v>
      </c>
      <c r="I845" s="21"/>
      <c r="J845" s="52"/>
      <c r="K845" s="19" t="s">
        <v>2938</v>
      </c>
      <c r="L845" s="20"/>
      <c r="M845" s="20" t="s">
        <v>2939</v>
      </c>
      <c r="N845" s="22" t="s">
        <v>91</v>
      </c>
      <c r="O845" s="20"/>
      <c r="P845" s="20" t="s">
        <v>303</v>
      </c>
      <c r="Q845" s="20" t="s">
        <v>942</v>
      </c>
      <c r="R845" s="76" t="s">
        <v>95</v>
      </c>
      <c r="S845" s="0" t="n">
        <f aca="false">IF(Recherche!$B$4="",0,IF(ISNUMBER(SEARCH(Recherche!$B$4,D845))+ISNUMBER(SEARCH(Recherche!$B$4,K845))&gt;0,1,0))</f>
        <v>0</v>
      </c>
      <c r="T845" s="0" t="str">
        <f aca="false">IF(S845=1,SUM($S$2:S845),"")</f>
        <v/>
      </c>
    </row>
    <row r="846" customFormat="false" ht="15" hidden="false" customHeight="false" outlineLevel="0" collapsed="false">
      <c r="A846" s="24" t="s">
        <v>2940</v>
      </c>
      <c r="B846" s="24" t="s">
        <v>67</v>
      </c>
      <c r="C846" s="24" t="s">
        <v>2904</v>
      </c>
      <c r="D846" s="23" t="s">
        <v>759</v>
      </c>
      <c r="E846" s="26" t="s">
        <v>344</v>
      </c>
      <c r="F846" s="24" t="s">
        <v>76</v>
      </c>
      <c r="G846" s="24" t="s">
        <v>939</v>
      </c>
      <c r="H846" s="25" t="n">
        <v>70.24</v>
      </c>
      <c r="I846" s="25"/>
      <c r="J846" s="58"/>
      <c r="K846" s="23" t="s">
        <v>760</v>
      </c>
      <c r="L846" s="24" t="s">
        <v>2941</v>
      </c>
      <c r="M846" s="24" t="s">
        <v>2942</v>
      </c>
      <c r="N846" s="26" t="s">
        <v>344</v>
      </c>
      <c r="O846" s="24"/>
      <c r="P846" s="24" t="s">
        <v>93</v>
      </c>
      <c r="Q846" s="24" t="s">
        <v>1052</v>
      </c>
      <c r="R846" s="73" t="s">
        <v>95</v>
      </c>
      <c r="S846" s="0" t="n">
        <f aca="false">IF(Recherche!$B$4="",0,IF(ISNUMBER(SEARCH(Recherche!$B$4,D846))+ISNUMBER(SEARCH(Recherche!$B$4,K846))&gt;0,1,0))</f>
        <v>0</v>
      </c>
      <c r="T846" s="0" t="str">
        <f aca="false">IF(S846=1,SUM($S$2:S846),"")</f>
        <v/>
      </c>
    </row>
    <row r="847" customFormat="false" ht="15" hidden="false" customHeight="false" outlineLevel="0" collapsed="false">
      <c r="A847" s="20" t="s">
        <v>2943</v>
      </c>
      <c r="B847" s="20" t="s">
        <v>68</v>
      </c>
      <c r="C847" s="20" t="s">
        <v>2944</v>
      </c>
      <c r="D847" s="19" t="s">
        <v>761</v>
      </c>
      <c r="E847" s="22" t="s">
        <v>91</v>
      </c>
      <c r="F847" s="74" t="s">
        <v>81</v>
      </c>
      <c r="G847" s="74" t="s">
        <v>979</v>
      </c>
      <c r="H847" s="75" t="n">
        <v>5.23</v>
      </c>
      <c r="I847" s="21" t="n">
        <v>5.5</v>
      </c>
      <c r="J847" s="52" t="n">
        <v>4.9</v>
      </c>
      <c r="K847" s="19" t="s">
        <v>762</v>
      </c>
      <c r="L847" s="20" t="s">
        <v>2544</v>
      </c>
      <c r="M847" s="20" t="s">
        <v>2945</v>
      </c>
      <c r="N847" s="22" t="s">
        <v>91</v>
      </c>
      <c r="O847" s="20" t="s">
        <v>949</v>
      </c>
      <c r="P847" s="20" t="s">
        <v>119</v>
      </c>
      <c r="Q847" s="20" t="s">
        <v>1007</v>
      </c>
      <c r="R847" s="76" t="s">
        <v>95</v>
      </c>
      <c r="S847" s="0" t="n">
        <f aca="false">IF(Recherche!$B$4="",0,IF(ISNUMBER(SEARCH(Recherche!$B$4,D847))+ISNUMBER(SEARCH(Recherche!$B$4,K847))&gt;0,1,0))</f>
        <v>0</v>
      </c>
      <c r="T847" s="0" t="str">
        <f aca="false">IF(S847=1,SUM($S$2:S847),"")</f>
        <v/>
      </c>
    </row>
    <row r="848" customFormat="false" ht="23.85" hidden="false" customHeight="false" outlineLevel="0" collapsed="false">
      <c r="A848" s="24" t="s">
        <v>2943</v>
      </c>
      <c r="B848" s="24" t="s">
        <v>68</v>
      </c>
      <c r="C848" s="24" t="s">
        <v>2944</v>
      </c>
      <c r="D848" s="23" t="s">
        <v>761</v>
      </c>
      <c r="E848" s="26" t="s">
        <v>91</v>
      </c>
      <c r="F848" s="24" t="s">
        <v>80</v>
      </c>
      <c r="G848" s="24" t="s">
        <v>939</v>
      </c>
      <c r="H848" s="25" t="n">
        <v>6.13</v>
      </c>
      <c r="I848" s="25"/>
      <c r="J848" s="58"/>
      <c r="K848" s="23" t="s">
        <v>2946</v>
      </c>
      <c r="L848" s="24"/>
      <c r="M848" s="24" t="s">
        <v>2947</v>
      </c>
      <c r="N848" s="26" t="s">
        <v>91</v>
      </c>
      <c r="O848" s="24"/>
      <c r="P848" s="24" t="s">
        <v>303</v>
      </c>
      <c r="Q848" s="24" t="s">
        <v>963</v>
      </c>
      <c r="R848" s="73" t="s">
        <v>95</v>
      </c>
      <c r="S848" s="0" t="n">
        <f aca="false">IF(Recherche!$B$4="",0,IF(ISNUMBER(SEARCH(Recherche!$B$4,D848))+ISNUMBER(SEARCH(Recherche!$B$4,K848))&gt;0,1,0))</f>
        <v>0</v>
      </c>
      <c r="T848" s="0" t="str">
        <f aca="false">IF(S848=1,SUM($S$2:S848),"")</f>
        <v/>
      </c>
    </row>
    <row r="849" customFormat="false" ht="23.85" hidden="false" customHeight="false" outlineLevel="0" collapsed="false">
      <c r="A849" s="20" t="s">
        <v>2943</v>
      </c>
      <c r="B849" s="20" t="s">
        <v>68</v>
      </c>
      <c r="C849" s="20" t="s">
        <v>2944</v>
      </c>
      <c r="D849" s="19" t="s">
        <v>761</v>
      </c>
      <c r="E849" s="22" t="s">
        <v>91</v>
      </c>
      <c r="F849" s="20" t="s">
        <v>76</v>
      </c>
      <c r="G849" s="20" t="s">
        <v>939</v>
      </c>
      <c r="H849" s="21" t="n">
        <v>12.12</v>
      </c>
      <c r="I849" s="21"/>
      <c r="J849" s="52"/>
      <c r="K849" s="19" t="s">
        <v>2948</v>
      </c>
      <c r="L849" s="20" t="s">
        <v>2949</v>
      </c>
      <c r="M849" s="20" t="s">
        <v>2950</v>
      </c>
      <c r="N849" s="22" t="s">
        <v>91</v>
      </c>
      <c r="O849" s="20"/>
      <c r="P849" s="20" t="s">
        <v>93</v>
      </c>
      <c r="Q849" s="20" t="s">
        <v>942</v>
      </c>
      <c r="R849" s="76" t="s">
        <v>95</v>
      </c>
      <c r="S849" s="0" t="n">
        <f aca="false">IF(Recherche!$B$4="",0,IF(ISNUMBER(SEARCH(Recherche!$B$4,D849))+ISNUMBER(SEARCH(Recherche!$B$4,K849))&gt;0,1,0))</f>
        <v>0</v>
      </c>
      <c r="T849" s="0" t="str">
        <f aca="false">IF(S849=1,SUM($S$2:S849),"")</f>
        <v/>
      </c>
    </row>
    <row r="850" customFormat="false" ht="15" hidden="false" customHeight="false" outlineLevel="0" collapsed="false">
      <c r="A850" s="24" t="s">
        <v>2943</v>
      </c>
      <c r="B850" s="24" t="s">
        <v>68</v>
      </c>
      <c r="C850" s="24" t="s">
        <v>2944</v>
      </c>
      <c r="D850" s="23" t="s">
        <v>761</v>
      </c>
      <c r="E850" s="26" t="s">
        <v>91</v>
      </c>
      <c r="F850" s="74" t="s">
        <v>82</v>
      </c>
      <c r="G850" s="74" t="s">
        <v>943</v>
      </c>
      <c r="H850" s="75" t="n">
        <v>15.59</v>
      </c>
      <c r="I850" s="25"/>
      <c r="J850" s="58"/>
      <c r="K850" s="23" t="s">
        <v>2951</v>
      </c>
      <c r="L850" s="24"/>
      <c r="M850" s="24" t="s">
        <v>2952</v>
      </c>
      <c r="N850" s="26" t="s">
        <v>91</v>
      </c>
      <c r="O850" s="24"/>
      <c r="P850" s="24" t="s">
        <v>290</v>
      </c>
      <c r="Q850" s="24" t="s">
        <v>1016</v>
      </c>
      <c r="R850" s="73" t="s">
        <v>95</v>
      </c>
      <c r="S850" s="0" t="n">
        <f aca="false">IF(Recherche!$B$4="",0,IF(ISNUMBER(SEARCH(Recherche!$B$4,D850))+ISNUMBER(SEARCH(Recherche!$B$4,K850))&gt;0,1,0))</f>
        <v>0</v>
      </c>
      <c r="T850" s="0" t="str">
        <f aca="false">IF(S850=1,SUM($S$2:S850),"")</f>
        <v/>
      </c>
    </row>
    <row r="851" customFormat="false" ht="15" hidden="false" customHeight="false" outlineLevel="0" collapsed="false">
      <c r="A851" s="20" t="s">
        <v>2953</v>
      </c>
      <c r="B851" s="20" t="s">
        <v>68</v>
      </c>
      <c r="C851" s="20" t="s">
        <v>2944</v>
      </c>
      <c r="D851" s="19" t="s">
        <v>763</v>
      </c>
      <c r="E851" s="22" t="s">
        <v>672</v>
      </c>
      <c r="F851" s="74" t="s">
        <v>81</v>
      </c>
      <c r="G851" s="74" t="s">
        <v>979</v>
      </c>
      <c r="H851" s="75" t="n">
        <v>23.98</v>
      </c>
      <c r="I851" s="21" t="n">
        <v>25.19</v>
      </c>
      <c r="J851" s="52" t="n">
        <v>4.8</v>
      </c>
      <c r="K851" s="19" t="s">
        <v>764</v>
      </c>
      <c r="L851" s="20" t="s">
        <v>2954</v>
      </c>
      <c r="M851" s="20" t="s">
        <v>2955</v>
      </c>
      <c r="N851" s="22" t="s">
        <v>91</v>
      </c>
      <c r="O851" s="20" t="s">
        <v>949</v>
      </c>
      <c r="P851" s="20" t="s">
        <v>119</v>
      </c>
      <c r="Q851" s="20" t="s">
        <v>1007</v>
      </c>
      <c r="R851" s="76" t="s">
        <v>95</v>
      </c>
      <c r="S851" s="0" t="n">
        <f aca="false">IF(Recherche!$B$4="",0,IF(ISNUMBER(SEARCH(Recherche!$B$4,D851))+ISNUMBER(SEARCH(Recherche!$B$4,K851))&gt;0,1,0))</f>
        <v>0</v>
      </c>
      <c r="T851" s="0" t="str">
        <f aca="false">IF(S851=1,SUM($S$2:S851),"")</f>
        <v/>
      </c>
    </row>
    <row r="852" customFormat="false" ht="15" hidden="false" customHeight="false" outlineLevel="0" collapsed="false">
      <c r="A852" s="24" t="s">
        <v>2953</v>
      </c>
      <c r="B852" s="24" t="s">
        <v>68</v>
      </c>
      <c r="C852" s="24" t="s">
        <v>2944</v>
      </c>
      <c r="D852" s="23" t="s">
        <v>763</v>
      </c>
      <c r="E852" s="26" t="s">
        <v>672</v>
      </c>
      <c r="F852" s="24" t="s">
        <v>76</v>
      </c>
      <c r="G852" s="24" t="s">
        <v>939</v>
      </c>
      <c r="H852" s="25" t="n">
        <v>49</v>
      </c>
      <c r="I852" s="25"/>
      <c r="J852" s="58"/>
      <c r="K852" s="23" t="s">
        <v>2956</v>
      </c>
      <c r="L852" s="24" t="s">
        <v>2957</v>
      </c>
      <c r="M852" s="24" t="s">
        <v>2958</v>
      </c>
      <c r="N852" s="26" t="s">
        <v>91</v>
      </c>
      <c r="O852" s="24"/>
      <c r="P852" s="24" t="s">
        <v>93</v>
      </c>
      <c r="Q852" s="24" t="s">
        <v>942</v>
      </c>
      <c r="R852" s="73" t="s">
        <v>95</v>
      </c>
      <c r="S852" s="0" t="n">
        <f aca="false">IF(Recherche!$B$4="",0,IF(ISNUMBER(SEARCH(Recherche!$B$4,D852))+ISNUMBER(SEARCH(Recherche!$B$4,K852))&gt;0,1,0))</f>
        <v>0</v>
      </c>
      <c r="T852" s="0" t="str">
        <f aca="false">IF(S852=1,SUM($S$2:S852),"")</f>
        <v/>
      </c>
    </row>
    <row r="853" customFormat="false" ht="23.85" hidden="false" customHeight="false" outlineLevel="0" collapsed="false">
      <c r="A853" s="20" t="s">
        <v>2953</v>
      </c>
      <c r="B853" s="20" t="s">
        <v>68</v>
      </c>
      <c r="C853" s="20" t="s">
        <v>2944</v>
      </c>
      <c r="D853" s="19" t="s">
        <v>763</v>
      </c>
      <c r="E853" s="22" t="s">
        <v>672</v>
      </c>
      <c r="F853" s="20" t="s">
        <v>80</v>
      </c>
      <c r="G853" s="20" t="s">
        <v>939</v>
      </c>
      <c r="H853" s="21" t="n">
        <v>84.95</v>
      </c>
      <c r="I853" s="21"/>
      <c r="J853" s="52"/>
      <c r="K853" s="19" t="s">
        <v>2959</v>
      </c>
      <c r="L853" s="20"/>
      <c r="M853" s="20" t="s">
        <v>2960</v>
      </c>
      <c r="N853" s="22" t="s">
        <v>91</v>
      </c>
      <c r="O853" s="20"/>
      <c r="P853" s="20" t="s">
        <v>303</v>
      </c>
      <c r="Q853" s="20" t="s">
        <v>942</v>
      </c>
      <c r="R853" s="76" t="s">
        <v>95</v>
      </c>
      <c r="S853" s="0" t="n">
        <f aca="false">IF(Recherche!$B$4="",0,IF(ISNUMBER(SEARCH(Recherche!$B$4,D853))+ISNUMBER(SEARCH(Recherche!$B$4,K853))&gt;0,1,0))</f>
        <v>0</v>
      </c>
      <c r="T853" s="0" t="str">
        <f aca="false">IF(S853=1,SUM($S$2:S853),"")</f>
        <v/>
      </c>
    </row>
    <row r="854" customFormat="false" ht="15" hidden="false" customHeight="false" outlineLevel="0" collapsed="false">
      <c r="A854" s="24" t="s">
        <v>2953</v>
      </c>
      <c r="B854" s="24" t="s">
        <v>68</v>
      </c>
      <c r="C854" s="24" t="s">
        <v>2944</v>
      </c>
      <c r="D854" s="23" t="s">
        <v>763</v>
      </c>
      <c r="E854" s="26" t="s">
        <v>672</v>
      </c>
      <c r="F854" s="74" t="s">
        <v>77</v>
      </c>
      <c r="G854" s="74" t="s">
        <v>979</v>
      </c>
      <c r="H854" s="75" t="n">
        <v>100.17</v>
      </c>
      <c r="I854" s="25" t="n">
        <v>154.1</v>
      </c>
      <c r="J854" s="58" t="n">
        <v>35</v>
      </c>
      <c r="K854" s="23" t="s">
        <v>2961</v>
      </c>
      <c r="L854" s="24" t="s">
        <v>2962</v>
      </c>
      <c r="M854" s="24" t="s">
        <v>2963</v>
      </c>
      <c r="N854" s="26" t="s">
        <v>91</v>
      </c>
      <c r="O854" s="24"/>
      <c r="P854" s="24" t="s">
        <v>114</v>
      </c>
      <c r="Q854" s="24" t="s">
        <v>983</v>
      </c>
      <c r="R854" s="73"/>
      <c r="S854" s="0" t="n">
        <f aca="false">IF(Recherche!$B$4="",0,IF(ISNUMBER(SEARCH(Recherche!$B$4,D854))+ISNUMBER(SEARCH(Recherche!$B$4,K854))&gt;0,1,0))</f>
        <v>0</v>
      </c>
      <c r="T854" s="0" t="str">
        <f aca="false">IF(S854=1,SUM($S$2:S854),"")</f>
        <v/>
      </c>
    </row>
    <row r="855" customFormat="false" ht="23.85" hidden="false" customHeight="false" outlineLevel="0" collapsed="false">
      <c r="A855" s="20" t="s">
        <v>2964</v>
      </c>
      <c r="B855" s="20" t="s">
        <v>68</v>
      </c>
      <c r="C855" s="20" t="s">
        <v>2944</v>
      </c>
      <c r="D855" s="19" t="s">
        <v>765</v>
      </c>
      <c r="E855" s="22" t="s">
        <v>672</v>
      </c>
      <c r="F855" s="74" t="s">
        <v>81</v>
      </c>
      <c r="G855" s="74" t="s">
        <v>979</v>
      </c>
      <c r="H855" s="75" t="n">
        <v>1.72</v>
      </c>
      <c r="I855" s="21" t="n">
        <v>1.81</v>
      </c>
      <c r="J855" s="52" t="n">
        <v>5</v>
      </c>
      <c r="K855" s="19" t="s">
        <v>766</v>
      </c>
      <c r="L855" s="20" t="s">
        <v>1274</v>
      </c>
      <c r="M855" s="20" t="s">
        <v>2965</v>
      </c>
      <c r="N855" s="22" t="s">
        <v>91</v>
      </c>
      <c r="O855" s="20" t="s">
        <v>949</v>
      </c>
      <c r="P855" s="20" t="s">
        <v>119</v>
      </c>
      <c r="Q855" s="20" t="s">
        <v>1007</v>
      </c>
      <c r="R855" s="76" t="s">
        <v>95</v>
      </c>
      <c r="S855" s="0" t="n">
        <f aca="false">IF(Recherche!$B$4="",0,IF(ISNUMBER(SEARCH(Recherche!$B$4,D855))+ISNUMBER(SEARCH(Recherche!$B$4,K855))&gt;0,1,0))</f>
        <v>0</v>
      </c>
      <c r="T855" s="0" t="str">
        <f aca="false">IF(S855=1,SUM($S$2:S855),"")</f>
        <v/>
      </c>
    </row>
    <row r="856" customFormat="false" ht="23.85" hidden="false" customHeight="false" outlineLevel="0" collapsed="false">
      <c r="A856" s="24" t="s">
        <v>2964</v>
      </c>
      <c r="B856" s="24" t="s">
        <v>68</v>
      </c>
      <c r="C856" s="24" t="s">
        <v>2944</v>
      </c>
      <c r="D856" s="23" t="s">
        <v>765</v>
      </c>
      <c r="E856" s="26" t="s">
        <v>672</v>
      </c>
      <c r="F856" s="24" t="s">
        <v>76</v>
      </c>
      <c r="G856" s="24" t="s">
        <v>939</v>
      </c>
      <c r="H856" s="25" t="n">
        <v>2.05</v>
      </c>
      <c r="I856" s="25"/>
      <c r="J856" s="58"/>
      <c r="K856" s="23" t="s">
        <v>2966</v>
      </c>
      <c r="L856" s="24" t="s">
        <v>2967</v>
      </c>
      <c r="M856" s="24" t="s">
        <v>2968</v>
      </c>
      <c r="N856" s="26" t="s">
        <v>91</v>
      </c>
      <c r="O856" s="24"/>
      <c r="P856" s="24" t="s">
        <v>93</v>
      </c>
      <c r="Q856" s="24" t="s">
        <v>942</v>
      </c>
      <c r="R856" s="73" t="s">
        <v>95</v>
      </c>
      <c r="S856" s="0" t="n">
        <f aca="false">IF(Recherche!$B$4="",0,IF(ISNUMBER(SEARCH(Recherche!$B$4,D856))+ISNUMBER(SEARCH(Recherche!$B$4,K856))&gt;0,1,0))</f>
        <v>0</v>
      </c>
      <c r="T856" s="0" t="str">
        <f aca="false">IF(S856=1,SUM($S$2:S856),"")</f>
        <v/>
      </c>
    </row>
    <row r="857" customFormat="false" ht="15" hidden="false" customHeight="false" outlineLevel="0" collapsed="false">
      <c r="A857" s="20" t="s">
        <v>2964</v>
      </c>
      <c r="B857" s="20" t="s">
        <v>68</v>
      </c>
      <c r="C857" s="20" t="s">
        <v>2944</v>
      </c>
      <c r="D857" s="19" t="s">
        <v>765</v>
      </c>
      <c r="E857" s="22" t="s">
        <v>672</v>
      </c>
      <c r="F857" s="74" t="s">
        <v>82</v>
      </c>
      <c r="G857" s="74" t="s">
        <v>943</v>
      </c>
      <c r="H857" s="75" t="n">
        <v>2.73</v>
      </c>
      <c r="I857" s="21"/>
      <c r="J857" s="52"/>
      <c r="K857" s="19" t="s">
        <v>2969</v>
      </c>
      <c r="L857" s="20"/>
      <c r="M857" s="20" t="s">
        <v>2970</v>
      </c>
      <c r="N857" s="22" t="s">
        <v>91</v>
      </c>
      <c r="O857" s="20"/>
      <c r="P857" s="20" t="s">
        <v>290</v>
      </c>
      <c r="Q857" s="20" t="s">
        <v>1016</v>
      </c>
      <c r="R857" s="76" t="s">
        <v>95</v>
      </c>
      <c r="S857" s="0" t="n">
        <f aca="false">IF(Recherche!$B$4="",0,IF(ISNUMBER(SEARCH(Recherche!$B$4,D857))+ISNUMBER(SEARCH(Recherche!$B$4,K857))&gt;0,1,0))</f>
        <v>0</v>
      </c>
      <c r="T857" s="0" t="str">
        <f aca="false">IF(S857=1,SUM($S$2:S857),"")</f>
        <v/>
      </c>
    </row>
    <row r="858" customFormat="false" ht="15" hidden="false" customHeight="false" outlineLevel="0" collapsed="false">
      <c r="A858" s="24" t="s">
        <v>2964</v>
      </c>
      <c r="B858" s="24" t="s">
        <v>68</v>
      </c>
      <c r="C858" s="24" t="s">
        <v>2944</v>
      </c>
      <c r="D858" s="23" t="s">
        <v>765</v>
      </c>
      <c r="E858" s="26" t="s">
        <v>672</v>
      </c>
      <c r="F858" s="74" t="s">
        <v>77</v>
      </c>
      <c r="G858" s="74" t="s">
        <v>979</v>
      </c>
      <c r="H858" s="75" t="n">
        <v>12.47</v>
      </c>
      <c r="I858" s="25" t="n">
        <v>12.47</v>
      </c>
      <c r="J858" s="58"/>
      <c r="K858" s="23" t="s">
        <v>2971</v>
      </c>
      <c r="L858" s="24" t="s">
        <v>2972</v>
      </c>
      <c r="M858" s="24" t="s">
        <v>2973</v>
      </c>
      <c r="N858" s="26" t="s">
        <v>91</v>
      </c>
      <c r="O858" s="24"/>
      <c r="P858" s="24" t="s">
        <v>114</v>
      </c>
      <c r="Q858" s="24" t="s">
        <v>983</v>
      </c>
      <c r="R858" s="73"/>
      <c r="S858" s="0" t="n">
        <f aca="false">IF(Recherche!$B$4="",0,IF(ISNUMBER(SEARCH(Recherche!$B$4,D858))+ISNUMBER(SEARCH(Recherche!$B$4,K858))&gt;0,1,0))</f>
        <v>0</v>
      </c>
      <c r="T858" s="0" t="str">
        <f aca="false">IF(S858=1,SUM($S$2:S858),"")</f>
        <v/>
      </c>
    </row>
    <row r="859" customFormat="false" ht="23.85" hidden="false" customHeight="false" outlineLevel="0" collapsed="false">
      <c r="A859" s="20" t="s">
        <v>2964</v>
      </c>
      <c r="B859" s="20" t="s">
        <v>68</v>
      </c>
      <c r="C859" s="20" t="s">
        <v>2944</v>
      </c>
      <c r="D859" s="19" t="s">
        <v>765</v>
      </c>
      <c r="E859" s="22" t="s">
        <v>672</v>
      </c>
      <c r="F859" s="20" t="s">
        <v>80</v>
      </c>
      <c r="G859" s="20" t="s">
        <v>939</v>
      </c>
      <c r="H859" s="21" t="n">
        <v>19.96</v>
      </c>
      <c r="I859" s="21"/>
      <c r="J859" s="52"/>
      <c r="K859" s="19" t="s">
        <v>2974</v>
      </c>
      <c r="L859" s="20"/>
      <c r="M859" s="20" t="s">
        <v>2975</v>
      </c>
      <c r="N859" s="22" t="s">
        <v>91</v>
      </c>
      <c r="O859" s="20"/>
      <c r="P859" s="20" t="s">
        <v>303</v>
      </c>
      <c r="Q859" s="20" t="s">
        <v>942</v>
      </c>
      <c r="R859" s="76" t="s">
        <v>95</v>
      </c>
      <c r="S859" s="0" t="n">
        <f aca="false">IF(Recherche!$B$4="",0,IF(ISNUMBER(SEARCH(Recherche!$B$4,D859))+ISNUMBER(SEARCH(Recherche!$B$4,K859))&gt;0,1,0))</f>
        <v>0</v>
      </c>
      <c r="T859" s="0" t="str">
        <f aca="false">IF(S859=1,SUM($S$2:S859),"")</f>
        <v/>
      </c>
    </row>
    <row r="860" customFormat="false" ht="15" hidden="false" customHeight="false" outlineLevel="0" collapsed="false">
      <c r="A860" s="24" t="s">
        <v>2976</v>
      </c>
      <c r="B860" s="24" t="s">
        <v>68</v>
      </c>
      <c r="C860" s="24" t="s">
        <v>2944</v>
      </c>
      <c r="D860" s="23" t="s">
        <v>767</v>
      </c>
      <c r="E860" s="26" t="s">
        <v>91</v>
      </c>
      <c r="F860" s="74" t="s">
        <v>82</v>
      </c>
      <c r="G860" s="74" t="s">
        <v>943</v>
      </c>
      <c r="H860" s="75" t="n">
        <v>2.24</v>
      </c>
      <c r="I860" s="25"/>
      <c r="J860" s="58"/>
      <c r="K860" s="23" t="s">
        <v>768</v>
      </c>
      <c r="L860" s="24"/>
      <c r="M860" s="24" t="s">
        <v>2977</v>
      </c>
      <c r="N860" s="26" t="s">
        <v>91</v>
      </c>
      <c r="O860" s="24"/>
      <c r="P860" s="24" t="s">
        <v>290</v>
      </c>
      <c r="Q860" s="24" t="s">
        <v>1016</v>
      </c>
      <c r="R860" s="73" t="s">
        <v>95</v>
      </c>
      <c r="S860" s="0" t="n">
        <f aca="false">IF(Recherche!$B$4="",0,IF(ISNUMBER(SEARCH(Recherche!$B$4,D860))+ISNUMBER(SEARCH(Recherche!$B$4,K860))&gt;0,1,0))</f>
        <v>0</v>
      </c>
      <c r="T860" s="0" t="str">
        <f aca="false">IF(S860=1,SUM($S$2:S860),"")</f>
        <v/>
      </c>
    </row>
    <row r="861" customFormat="false" ht="15" hidden="false" customHeight="false" outlineLevel="0" collapsed="false">
      <c r="A861" s="20" t="s">
        <v>2976</v>
      </c>
      <c r="B861" s="20" t="s">
        <v>68</v>
      </c>
      <c r="C861" s="20" t="s">
        <v>2944</v>
      </c>
      <c r="D861" s="19" t="s">
        <v>767</v>
      </c>
      <c r="E861" s="22" t="s">
        <v>91</v>
      </c>
      <c r="F861" s="74" t="s">
        <v>81</v>
      </c>
      <c r="G861" s="74" t="s">
        <v>979</v>
      </c>
      <c r="H861" s="75" t="n">
        <v>6.03</v>
      </c>
      <c r="I861" s="21" t="n">
        <v>6.35</v>
      </c>
      <c r="J861" s="52" t="n">
        <v>5</v>
      </c>
      <c r="K861" s="19" t="s">
        <v>2978</v>
      </c>
      <c r="L861" s="20" t="s">
        <v>2979</v>
      </c>
      <c r="M861" s="20" t="s">
        <v>2980</v>
      </c>
      <c r="N861" s="22" t="s">
        <v>91</v>
      </c>
      <c r="O861" s="20" t="s">
        <v>949</v>
      </c>
      <c r="P861" s="20" t="s">
        <v>119</v>
      </c>
      <c r="Q861" s="20" t="s">
        <v>1007</v>
      </c>
      <c r="R861" s="76" t="s">
        <v>95</v>
      </c>
      <c r="S861" s="0" t="n">
        <f aca="false">IF(Recherche!$B$4="",0,IF(ISNUMBER(SEARCH(Recherche!$B$4,D861))+ISNUMBER(SEARCH(Recherche!$B$4,K861))&gt;0,1,0))</f>
        <v>0</v>
      </c>
      <c r="T861" s="0" t="str">
        <f aca="false">IF(S861=1,SUM($S$2:S861),"")</f>
        <v/>
      </c>
    </row>
    <row r="862" customFormat="false" ht="15" hidden="false" customHeight="false" outlineLevel="0" collapsed="false">
      <c r="A862" s="24" t="s">
        <v>2976</v>
      </c>
      <c r="B862" s="24" t="s">
        <v>68</v>
      </c>
      <c r="C862" s="24" t="s">
        <v>2944</v>
      </c>
      <c r="D862" s="23" t="s">
        <v>767</v>
      </c>
      <c r="E862" s="26" t="s">
        <v>91</v>
      </c>
      <c r="F862" s="24" t="s">
        <v>76</v>
      </c>
      <c r="G862" s="24" t="s">
        <v>939</v>
      </c>
      <c r="H862" s="25" t="n">
        <v>10</v>
      </c>
      <c r="I862" s="25"/>
      <c r="J862" s="58"/>
      <c r="K862" s="23" t="s">
        <v>2981</v>
      </c>
      <c r="L862" s="24" t="s">
        <v>2982</v>
      </c>
      <c r="M862" s="24" t="s">
        <v>2983</v>
      </c>
      <c r="N862" s="26" t="s">
        <v>91</v>
      </c>
      <c r="O862" s="24"/>
      <c r="P862" s="24" t="s">
        <v>93</v>
      </c>
      <c r="Q862" s="24" t="s">
        <v>942</v>
      </c>
      <c r="R862" s="73" t="s">
        <v>95</v>
      </c>
      <c r="S862" s="0" t="n">
        <f aca="false">IF(Recherche!$B$4="",0,IF(ISNUMBER(SEARCH(Recherche!$B$4,D862))+ISNUMBER(SEARCH(Recherche!$B$4,K862))&gt;0,1,0))</f>
        <v>0</v>
      </c>
      <c r="T862" s="0" t="str">
        <f aca="false">IF(S862=1,SUM($S$2:S862),"")</f>
        <v/>
      </c>
    </row>
    <row r="863" customFormat="false" ht="15" hidden="false" customHeight="false" outlineLevel="0" collapsed="false">
      <c r="A863" s="20" t="s">
        <v>2976</v>
      </c>
      <c r="B863" s="20" t="s">
        <v>68</v>
      </c>
      <c r="C863" s="20" t="s">
        <v>2944</v>
      </c>
      <c r="D863" s="19" t="s">
        <v>767</v>
      </c>
      <c r="E863" s="22" t="s">
        <v>91</v>
      </c>
      <c r="F863" s="20" t="s">
        <v>80</v>
      </c>
      <c r="G863" s="20" t="s">
        <v>939</v>
      </c>
      <c r="H863" s="21" t="n">
        <v>12.1</v>
      </c>
      <c r="I863" s="21"/>
      <c r="J863" s="52"/>
      <c r="K863" s="19" t="s">
        <v>2984</v>
      </c>
      <c r="L863" s="20"/>
      <c r="M863" s="20" t="s">
        <v>2985</v>
      </c>
      <c r="N863" s="22" t="s">
        <v>91</v>
      </c>
      <c r="O863" s="20"/>
      <c r="P863" s="20" t="s">
        <v>303</v>
      </c>
      <c r="Q863" s="20" t="s">
        <v>942</v>
      </c>
      <c r="R863" s="76" t="s">
        <v>95</v>
      </c>
      <c r="S863" s="0" t="n">
        <f aca="false">IF(Recherche!$B$4="",0,IF(ISNUMBER(SEARCH(Recherche!$B$4,D863))+ISNUMBER(SEARCH(Recherche!$B$4,K863))&gt;0,1,0))</f>
        <v>0</v>
      </c>
      <c r="T863" s="0" t="str">
        <f aca="false">IF(S863=1,SUM($S$2:S863),"")</f>
        <v/>
      </c>
    </row>
    <row r="864" customFormat="false" ht="23.85" hidden="false" customHeight="false" outlineLevel="0" collapsed="false">
      <c r="A864" s="24" t="s">
        <v>2986</v>
      </c>
      <c r="B864" s="24" t="s">
        <v>68</v>
      </c>
      <c r="C864" s="24" t="s">
        <v>2944</v>
      </c>
      <c r="D864" s="23" t="s">
        <v>769</v>
      </c>
      <c r="E864" s="26" t="s">
        <v>203</v>
      </c>
      <c r="F864" s="24" t="s">
        <v>76</v>
      </c>
      <c r="G864" s="24" t="s">
        <v>939</v>
      </c>
      <c r="H864" s="25" t="n">
        <v>8.87</v>
      </c>
      <c r="I864" s="25"/>
      <c r="J864" s="58"/>
      <c r="K864" s="23" t="s">
        <v>770</v>
      </c>
      <c r="L864" s="24" t="s">
        <v>1293</v>
      </c>
      <c r="M864" s="24" t="s">
        <v>2987</v>
      </c>
      <c r="N864" s="26" t="s">
        <v>203</v>
      </c>
      <c r="O864" s="24"/>
      <c r="P864" s="24" t="s">
        <v>93</v>
      </c>
      <c r="Q864" s="24" t="s">
        <v>942</v>
      </c>
      <c r="R864" s="73" t="s">
        <v>95</v>
      </c>
      <c r="S864" s="0" t="n">
        <f aca="false">IF(Recherche!$B$4="",0,IF(ISNUMBER(SEARCH(Recherche!$B$4,D864))+ISNUMBER(SEARCH(Recherche!$B$4,K864))&gt;0,1,0))</f>
        <v>0</v>
      </c>
      <c r="T864" s="0" t="str">
        <f aca="false">IF(S864=1,SUM($S$2:S864),"")</f>
        <v/>
      </c>
    </row>
    <row r="865" customFormat="false" ht="23.85" hidden="false" customHeight="false" outlineLevel="0" collapsed="false">
      <c r="A865" s="20" t="s">
        <v>2986</v>
      </c>
      <c r="B865" s="20" t="s">
        <v>68</v>
      </c>
      <c r="C865" s="20" t="s">
        <v>2944</v>
      </c>
      <c r="D865" s="19" t="s">
        <v>769</v>
      </c>
      <c r="E865" s="22" t="s">
        <v>203</v>
      </c>
      <c r="F865" s="20" t="s">
        <v>80</v>
      </c>
      <c r="G865" s="20" t="s">
        <v>939</v>
      </c>
      <c r="H865" s="21" t="n">
        <v>13.02</v>
      </c>
      <c r="I865" s="21"/>
      <c r="J865" s="52"/>
      <c r="K865" s="19" t="s">
        <v>2988</v>
      </c>
      <c r="L865" s="20"/>
      <c r="M865" s="20" t="s">
        <v>2989</v>
      </c>
      <c r="N865" s="22" t="s">
        <v>91</v>
      </c>
      <c r="O865" s="20"/>
      <c r="P865" s="20" t="s">
        <v>303</v>
      </c>
      <c r="Q865" s="20" t="s">
        <v>963</v>
      </c>
      <c r="R865" s="76" t="s">
        <v>95</v>
      </c>
      <c r="S865" s="0" t="n">
        <f aca="false">IF(Recherche!$B$4="",0,IF(ISNUMBER(SEARCH(Recherche!$B$4,D865))+ISNUMBER(SEARCH(Recherche!$B$4,K865))&gt;0,1,0))</f>
        <v>0</v>
      </c>
      <c r="T865" s="0" t="str">
        <f aca="false">IF(S865=1,SUM($S$2:S865),"")</f>
        <v/>
      </c>
    </row>
    <row r="866" customFormat="false" ht="15" hidden="false" customHeight="false" outlineLevel="0" collapsed="false">
      <c r="A866" s="24" t="s">
        <v>2986</v>
      </c>
      <c r="B866" s="24" t="s">
        <v>68</v>
      </c>
      <c r="C866" s="24" t="s">
        <v>2944</v>
      </c>
      <c r="D866" s="23" t="s">
        <v>769</v>
      </c>
      <c r="E866" s="26" t="s">
        <v>203</v>
      </c>
      <c r="F866" s="74" t="s">
        <v>81</v>
      </c>
      <c r="G866" s="74" t="s">
        <v>979</v>
      </c>
      <c r="H866" s="75" t="n">
        <v>18.44</v>
      </c>
      <c r="I866" s="25" t="n">
        <v>19.44</v>
      </c>
      <c r="J866" s="58" t="n">
        <v>5.1</v>
      </c>
      <c r="K866" s="23" t="s">
        <v>2990</v>
      </c>
      <c r="L866" s="24" t="s">
        <v>1274</v>
      </c>
      <c r="M866" s="24" t="s">
        <v>2991</v>
      </c>
      <c r="N866" s="26" t="s">
        <v>1216</v>
      </c>
      <c r="O866" s="24" t="s">
        <v>1216</v>
      </c>
      <c r="P866" s="24" t="s">
        <v>119</v>
      </c>
      <c r="Q866" s="24" t="s">
        <v>1007</v>
      </c>
      <c r="R866" s="73" t="s">
        <v>95</v>
      </c>
      <c r="S866" s="0" t="n">
        <f aca="false">IF(Recherche!$B$4="",0,IF(ISNUMBER(SEARCH(Recherche!$B$4,D866))+ISNUMBER(SEARCH(Recherche!$B$4,K866))&gt;0,1,0))</f>
        <v>0</v>
      </c>
      <c r="T866" s="0" t="str">
        <f aca="false">IF(S866=1,SUM($S$2:S866),"")</f>
        <v/>
      </c>
    </row>
    <row r="867" customFormat="false" ht="15" hidden="false" customHeight="false" outlineLevel="0" collapsed="false">
      <c r="A867" s="20" t="s">
        <v>2986</v>
      </c>
      <c r="B867" s="20" t="s">
        <v>68</v>
      </c>
      <c r="C867" s="20" t="s">
        <v>2944</v>
      </c>
      <c r="D867" s="19" t="s">
        <v>769</v>
      </c>
      <c r="E867" s="22" t="s">
        <v>203</v>
      </c>
      <c r="F867" s="74" t="s">
        <v>82</v>
      </c>
      <c r="G867" s="74" t="s">
        <v>943</v>
      </c>
      <c r="H867" s="75" t="n">
        <v>149.65</v>
      </c>
      <c r="I867" s="21"/>
      <c r="J867" s="52"/>
      <c r="K867" s="19" t="s">
        <v>2992</v>
      </c>
      <c r="L867" s="20"/>
      <c r="M867" s="20" t="s">
        <v>2993</v>
      </c>
      <c r="N867" s="22" t="s">
        <v>91</v>
      </c>
      <c r="O867" s="20"/>
      <c r="P867" s="20" t="s">
        <v>290</v>
      </c>
      <c r="Q867" s="20" t="s">
        <v>1380</v>
      </c>
      <c r="R867" s="76" t="s">
        <v>95</v>
      </c>
      <c r="S867" s="0" t="n">
        <f aca="false">IF(Recherche!$B$4="",0,IF(ISNUMBER(SEARCH(Recherche!$B$4,D867))+ISNUMBER(SEARCH(Recherche!$B$4,K867))&gt;0,1,0))</f>
        <v>0</v>
      </c>
      <c r="T867" s="0" t="str">
        <f aca="false">IF(S867=1,SUM($S$2:S867),"")</f>
        <v/>
      </c>
    </row>
    <row r="868" customFormat="false" ht="15" hidden="false" customHeight="false" outlineLevel="0" collapsed="false">
      <c r="A868" s="24" t="s">
        <v>2994</v>
      </c>
      <c r="B868" s="24" t="s">
        <v>68</v>
      </c>
      <c r="C868" s="24" t="s">
        <v>2944</v>
      </c>
      <c r="D868" s="23" t="s">
        <v>771</v>
      </c>
      <c r="E868" s="26" t="s">
        <v>91</v>
      </c>
      <c r="F868" s="74" t="s">
        <v>81</v>
      </c>
      <c r="G868" s="74" t="s">
        <v>979</v>
      </c>
      <c r="H868" s="75" t="n">
        <v>9.29</v>
      </c>
      <c r="I868" s="25" t="n">
        <v>9.77</v>
      </c>
      <c r="J868" s="58" t="n">
        <v>4.9</v>
      </c>
      <c r="K868" s="23" t="s">
        <v>772</v>
      </c>
      <c r="L868" s="24" t="s">
        <v>2979</v>
      </c>
      <c r="M868" s="24" t="s">
        <v>2995</v>
      </c>
      <c r="N868" s="26" t="s">
        <v>91</v>
      </c>
      <c r="O868" s="24" t="s">
        <v>949</v>
      </c>
      <c r="P868" s="24" t="s">
        <v>119</v>
      </c>
      <c r="Q868" s="24" t="s">
        <v>1007</v>
      </c>
      <c r="R868" s="73" t="s">
        <v>95</v>
      </c>
      <c r="S868" s="0" t="n">
        <f aca="false">IF(Recherche!$B$4="",0,IF(ISNUMBER(SEARCH(Recherche!$B$4,D868))+ISNUMBER(SEARCH(Recherche!$B$4,K868))&gt;0,1,0))</f>
        <v>0</v>
      </c>
      <c r="T868" s="0" t="str">
        <f aca="false">IF(S868=1,SUM($S$2:S868),"")</f>
        <v/>
      </c>
    </row>
    <row r="869" customFormat="false" ht="15" hidden="false" customHeight="false" outlineLevel="0" collapsed="false">
      <c r="A869" s="20" t="s">
        <v>2994</v>
      </c>
      <c r="B869" s="20" t="s">
        <v>68</v>
      </c>
      <c r="C869" s="20" t="s">
        <v>2944</v>
      </c>
      <c r="D869" s="19" t="s">
        <v>771</v>
      </c>
      <c r="E869" s="22" t="s">
        <v>91</v>
      </c>
      <c r="F869" s="20" t="s">
        <v>76</v>
      </c>
      <c r="G869" s="20" t="s">
        <v>939</v>
      </c>
      <c r="H869" s="21" t="n">
        <v>10.8</v>
      </c>
      <c r="I869" s="21"/>
      <c r="J869" s="52"/>
      <c r="K869" s="19" t="s">
        <v>2996</v>
      </c>
      <c r="L869" s="20" t="s">
        <v>2949</v>
      </c>
      <c r="M869" s="20" t="s">
        <v>2997</v>
      </c>
      <c r="N869" s="22" t="s">
        <v>91</v>
      </c>
      <c r="O869" s="20"/>
      <c r="P869" s="20" t="s">
        <v>93</v>
      </c>
      <c r="Q869" s="20" t="s">
        <v>942</v>
      </c>
      <c r="R869" s="76" t="s">
        <v>95</v>
      </c>
      <c r="S869" s="0" t="n">
        <f aca="false">IF(Recherche!$B$4="",0,IF(ISNUMBER(SEARCH(Recherche!$B$4,D869))+ISNUMBER(SEARCH(Recherche!$B$4,K869))&gt;0,1,0))</f>
        <v>0</v>
      </c>
      <c r="T869" s="0" t="str">
        <f aca="false">IF(S869=1,SUM($S$2:S869),"")</f>
        <v/>
      </c>
    </row>
    <row r="870" customFormat="false" ht="23.85" hidden="false" customHeight="false" outlineLevel="0" collapsed="false">
      <c r="A870" s="24" t="s">
        <v>2994</v>
      </c>
      <c r="B870" s="24" t="s">
        <v>68</v>
      </c>
      <c r="C870" s="24" t="s">
        <v>2944</v>
      </c>
      <c r="D870" s="23" t="s">
        <v>771</v>
      </c>
      <c r="E870" s="26" t="s">
        <v>91</v>
      </c>
      <c r="F870" s="74" t="s">
        <v>82</v>
      </c>
      <c r="G870" s="74" t="s">
        <v>943</v>
      </c>
      <c r="H870" s="75" t="n">
        <v>18.91</v>
      </c>
      <c r="I870" s="25"/>
      <c r="J870" s="58"/>
      <c r="K870" s="23" t="s">
        <v>2998</v>
      </c>
      <c r="L870" s="24"/>
      <c r="M870" s="24" t="s">
        <v>2999</v>
      </c>
      <c r="N870" s="26" t="s">
        <v>91</v>
      </c>
      <c r="O870" s="24"/>
      <c r="P870" s="24" t="s">
        <v>290</v>
      </c>
      <c r="Q870" s="24" t="s">
        <v>1380</v>
      </c>
      <c r="R870" s="73" t="s">
        <v>95</v>
      </c>
      <c r="S870" s="0" t="n">
        <f aca="false">IF(Recherche!$B$4="",0,IF(ISNUMBER(SEARCH(Recherche!$B$4,D870))+ISNUMBER(SEARCH(Recherche!$B$4,K870))&gt;0,1,0))</f>
        <v>0</v>
      </c>
      <c r="T870" s="0" t="str">
        <f aca="false">IF(S870=1,SUM($S$2:S870),"")</f>
        <v/>
      </c>
    </row>
    <row r="871" customFormat="false" ht="15" hidden="false" customHeight="false" outlineLevel="0" collapsed="false">
      <c r="A871" s="20" t="s">
        <v>2994</v>
      </c>
      <c r="B871" s="20" t="s">
        <v>68</v>
      </c>
      <c r="C871" s="20" t="s">
        <v>2944</v>
      </c>
      <c r="D871" s="19" t="s">
        <v>771</v>
      </c>
      <c r="E871" s="22" t="s">
        <v>91</v>
      </c>
      <c r="F871" s="20" t="s">
        <v>80</v>
      </c>
      <c r="G871" s="20" t="s">
        <v>939</v>
      </c>
      <c r="H871" s="21" t="n">
        <v>79.47</v>
      </c>
      <c r="I871" s="21"/>
      <c r="J871" s="52"/>
      <c r="K871" s="19" t="s">
        <v>3000</v>
      </c>
      <c r="L871" s="20"/>
      <c r="M871" s="20" t="s">
        <v>3001</v>
      </c>
      <c r="N871" s="22" t="s">
        <v>91</v>
      </c>
      <c r="O871" s="20"/>
      <c r="P871" s="20" t="s">
        <v>303</v>
      </c>
      <c r="Q871" s="20" t="s">
        <v>942</v>
      </c>
      <c r="R871" s="76" t="s">
        <v>95</v>
      </c>
      <c r="S871" s="0" t="n">
        <f aca="false">IF(Recherche!$B$4="",0,IF(ISNUMBER(SEARCH(Recherche!$B$4,D871))+ISNUMBER(SEARCH(Recherche!$B$4,K871))&gt;0,1,0))</f>
        <v>0</v>
      </c>
      <c r="T871" s="0" t="str">
        <f aca="false">IF(S871=1,SUM($S$2:S871),"")</f>
        <v/>
      </c>
    </row>
    <row r="872" customFormat="false" ht="23.85" hidden="false" customHeight="false" outlineLevel="0" collapsed="false">
      <c r="A872" s="24" t="s">
        <v>3002</v>
      </c>
      <c r="B872" s="24" t="s">
        <v>68</v>
      </c>
      <c r="C872" s="24" t="s">
        <v>2944</v>
      </c>
      <c r="D872" s="23" t="s">
        <v>773</v>
      </c>
      <c r="E872" s="26" t="s">
        <v>91</v>
      </c>
      <c r="F872" s="24" t="s">
        <v>80</v>
      </c>
      <c r="G872" s="24" t="s">
        <v>939</v>
      </c>
      <c r="H872" s="25" t="n">
        <v>38.39</v>
      </c>
      <c r="I872" s="25"/>
      <c r="J872" s="58"/>
      <c r="K872" s="23" t="s">
        <v>774</v>
      </c>
      <c r="L872" s="24"/>
      <c r="M872" s="24" t="s">
        <v>3003</v>
      </c>
      <c r="N872" s="26" t="s">
        <v>91</v>
      </c>
      <c r="O872" s="24"/>
      <c r="P872" s="24" t="s">
        <v>303</v>
      </c>
      <c r="Q872" s="24" t="s">
        <v>963</v>
      </c>
      <c r="R872" s="73" t="s">
        <v>95</v>
      </c>
      <c r="S872" s="0" t="n">
        <f aca="false">IF(Recherche!$B$4="",0,IF(ISNUMBER(SEARCH(Recherche!$B$4,D872))+ISNUMBER(SEARCH(Recherche!$B$4,K872))&gt;0,1,0))</f>
        <v>0</v>
      </c>
      <c r="T872" s="0" t="str">
        <f aca="false">IF(S872=1,SUM($S$2:S872),"")</f>
        <v/>
      </c>
    </row>
    <row r="873" customFormat="false" ht="15" hidden="false" customHeight="false" outlineLevel="0" collapsed="false">
      <c r="A873" s="20" t="s">
        <v>3002</v>
      </c>
      <c r="B873" s="20" t="s">
        <v>68</v>
      </c>
      <c r="C873" s="20" t="s">
        <v>2944</v>
      </c>
      <c r="D873" s="19" t="s">
        <v>773</v>
      </c>
      <c r="E873" s="22" t="s">
        <v>91</v>
      </c>
      <c r="F873" s="20" t="s">
        <v>76</v>
      </c>
      <c r="G873" s="20" t="s">
        <v>939</v>
      </c>
      <c r="H873" s="21" t="n">
        <v>45.56</v>
      </c>
      <c r="I873" s="21"/>
      <c r="J873" s="52"/>
      <c r="K873" s="19" t="s">
        <v>3004</v>
      </c>
      <c r="L873" s="20" t="s">
        <v>3005</v>
      </c>
      <c r="M873" s="20" t="s">
        <v>3006</v>
      </c>
      <c r="N873" s="22" t="s">
        <v>91</v>
      </c>
      <c r="O873" s="20"/>
      <c r="P873" s="20" t="s">
        <v>93</v>
      </c>
      <c r="Q873" s="20" t="s">
        <v>963</v>
      </c>
      <c r="R873" s="76" t="s">
        <v>95</v>
      </c>
      <c r="S873" s="0" t="n">
        <f aca="false">IF(Recherche!$B$4="",0,IF(ISNUMBER(SEARCH(Recherche!$B$4,D873))+ISNUMBER(SEARCH(Recherche!$B$4,K873))&gt;0,1,0))</f>
        <v>0</v>
      </c>
      <c r="T873" s="0" t="str">
        <f aca="false">IF(S873=1,SUM($S$2:S873),"")</f>
        <v/>
      </c>
    </row>
    <row r="874" customFormat="false" ht="15" hidden="false" customHeight="false" outlineLevel="0" collapsed="false">
      <c r="A874" s="24" t="s">
        <v>3002</v>
      </c>
      <c r="B874" s="24" t="s">
        <v>68</v>
      </c>
      <c r="C874" s="24" t="s">
        <v>2944</v>
      </c>
      <c r="D874" s="23" t="s">
        <v>773</v>
      </c>
      <c r="E874" s="26" t="s">
        <v>91</v>
      </c>
      <c r="F874" s="74" t="s">
        <v>81</v>
      </c>
      <c r="G874" s="74" t="s">
        <v>979</v>
      </c>
      <c r="H874" s="75" t="n">
        <v>54.2</v>
      </c>
      <c r="I874" s="25" t="n">
        <v>57</v>
      </c>
      <c r="J874" s="58" t="n">
        <v>4.9</v>
      </c>
      <c r="K874" s="23" t="s">
        <v>3007</v>
      </c>
      <c r="L874" s="24" t="s">
        <v>3008</v>
      </c>
      <c r="M874" s="24" t="s">
        <v>3009</v>
      </c>
      <c r="N874" s="26" t="s">
        <v>91</v>
      </c>
      <c r="O874" s="24" t="s">
        <v>949</v>
      </c>
      <c r="P874" s="24" t="s">
        <v>119</v>
      </c>
      <c r="Q874" s="24" t="s">
        <v>1016</v>
      </c>
      <c r="R874" s="73" t="s">
        <v>95</v>
      </c>
      <c r="S874" s="0" t="n">
        <f aca="false">IF(Recherche!$B$4="",0,IF(ISNUMBER(SEARCH(Recherche!$B$4,D874))+ISNUMBER(SEARCH(Recherche!$B$4,K874))&gt;0,1,0))</f>
        <v>0</v>
      </c>
      <c r="T874" s="0" t="str">
        <f aca="false">IF(S874=1,SUM($S$2:S874),"")</f>
        <v/>
      </c>
    </row>
    <row r="875" customFormat="false" ht="15" hidden="false" customHeight="false" outlineLevel="0" collapsed="false">
      <c r="A875" s="20" t="s">
        <v>3002</v>
      </c>
      <c r="B875" s="20" t="s">
        <v>68</v>
      </c>
      <c r="C875" s="20" t="s">
        <v>2944</v>
      </c>
      <c r="D875" s="19" t="s">
        <v>773</v>
      </c>
      <c r="E875" s="22" t="s">
        <v>91</v>
      </c>
      <c r="F875" s="74" t="s">
        <v>82</v>
      </c>
      <c r="G875" s="74" t="s">
        <v>943</v>
      </c>
      <c r="H875" s="75" t="n">
        <v>115.5</v>
      </c>
      <c r="I875" s="21"/>
      <c r="J875" s="52"/>
      <c r="K875" s="19" t="s">
        <v>3010</v>
      </c>
      <c r="L875" s="20"/>
      <c r="M875" s="20" t="s">
        <v>3011</v>
      </c>
      <c r="N875" s="22" t="s">
        <v>91</v>
      </c>
      <c r="O875" s="20"/>
      <c r="P875" s="20" t="s">
        <v>290</v>
      </c>
      <c r="Q875" s="20" t="s">
        <v>1016</v>
      </c>
      <c r="R875" s="76" t="s">
        <v>95</v>
      </c>
      <c r="S875" s="0" t="n">
        <f aca="false">IF(Recherche!$B$4="",0,IF(ISNUMBER(SEARCH(Recherche!$B$4,D875))+ISNUMBER(SEARCH(Recherche!$B$4,K875))&gt;0,1,0))</f>
        <v>0</v>
      </c>
      <c r="T875" s="0" t="str">
        <f aca="false">IF(S875=1,SUM($S$2:S875),"")</f>
        <v/>
      </c>
    </row>
    <row r="876" customFormat="false" ht="23.85" hidden="false" customHeight="false" outlineLevel="0" collapsed="false">
      <c r="A876" s="24" t="s">
        <v>3012</v>
      </c>
      <c r="B876" s="24" t="s">
        <v>68</v>
      </c>
      <c r="C876" s="24" t="s">
        <v>2944</v>
      </c>
      <c r="D876" s="23" t="s">
        <v>775</v>
      </c>
      <c r="E876" s="26" t="s">
        <v>91</v>
      </c>
      <c r="F876" s="24" t="s">
        <v>80</v>
      </c>
      <c r="G876" s="24" t="s">
        <v>939</v>
      </c>
      <c r="H876" s="25" t="n">
        <v>2.83</v>
      </c>
      <c r="I876" s="25"/>
      <c r="J876" s="58"/>
      <c r="K876" s="23" t="s">
        <v>776</v>
      </c>
      <c r="L876" s="24"/>
      <c r="M876" s="24" t="s">
        <v>3013</v>
      </c>
      <c r="N876" s="26" t="s">
        <v>91</v>
      </c>
      <c r="O876" s="24"/>
      <c r="P876" s="24" t="s">
        <v>303</v>
      </c>
      <c r="Q876" s="24" t="s">
        <v>942</v>
      </c>
      <c r="R876" s="73" t="s">
        <v>95</v>
      </c>
      <c r="S876" s="0" t="n">
        <f aca="false">IF(Recherche!$B$4="",0,IF(ISNUMBER(SEARCH(Recherche!$B$4,D876))+ISNUMBER(SEARCH(Recherche!$B$4,K876))&gt;0,1,0))</f>
        <v>0</v>
      </c>
      <c r="T876" s="0" t="str">
        <f aca="false">IF(S876=1,SUM($S$2:S876),"")</f>
        <v/>
      </c>
    </row>
    <row r="877" customFormat="false" ht="23.85" hidden="false" customHeight="false" outlineLevel="0" collapsed="false">
      <c r="A877" s="20" t="s">
        <v>3012</v>
      </c>
      <c r="B877" s="20" t="s">
        <v>68</v>
      </c>
      <c r="C877" s="20" t="s">
        <v>2944</v>
      </c>
      <c r="D877" s="19" t="s">
        <v>775</v>
      </c>
      <c r="E877" s="22" t="s">
        <v>91</v>
      </c>
      <c r="F877" s="20" t="s">
        <v>76</v>
      </c>
      <c r="G877" s="20" t="s">
        <v>939</v>
      </c>
      <c r="H877" s="21" t="n">
        <v>3.21</v>
      </c>
      <c r="I877" s="21"/>
      <c r="J877" s="52"/>
      <c r="K877" s="19" t="s">
        <v>3014</v>
      </c>
      <c r="L877" s="20" t="s">
        <v>1293</v>
      </c>
      <c r="M877" s="20" t="s">
        <v>3015</v>
      </c>
      <c r="N877" s="22" t="s">
        <v>91</v>
      </c>
      <c r="O877" s="20"/>
      <c r="P877" s="20" t="s">
        <v>93</v>
      </c>
      <c r="Q877" s="20" t="s">
        <v>942</v>
      </c>
      <c r="R877" s="76" t="s">
        <v>95</v>
      </c>
      <c r="S877" s="0" t="n">
        <f aca="false">IF(Recherche!$B$4="",0,IF(ISNUMBER(SEARCH(Recherche!$B$4,D877))+ISNUMBER(SEARCH(Recherche!$B$4,K877))&gt;0,1,0))</f>
        <v>0</v>
      </c>
      <c r="T877" s="0" t="str">
        <f aca="false">IF(S877=1,SUM($S$2:S877),"")</f>
        <v/>
      </c>
    </row>
    <row r="878" customFormat="false" ht="15" hidden="false" customHeight="false" outlineLevel="0" collapsed="false">
      <c r="A878" s="24" t="s">
        <v>3012</v>
      </c>
      <c r="B878" s="24" t="s">
        <v>68</v>
      </c>
      <c r="C878" s="24" t="s">
        <v>2944</v>
      </c>
      <c r="D878" s="23" t="s">
        <v>775</v>
      </c>
      <c r="E878" s="26" t="s">
        <v>91</v>
      </c>
      <c r="F878" s="74" t="s">
        <v>82</v>
      </c>
      <c r="G878" s="74" t="s">
        <v>943</v>
      </c>
      <c r="H878" s="75" t="n">
        <v>6.15</v>
      </c>
      <c r="I878" s="25"/>
      <c r="J878" s="58"/>
      <c r="K878" s="23" t="s">
        <v>3016</v>
      </c>
      <c r="L878" s="24"/>
      <c r="M878" s="24" t="s">
        <v>3017</v>
      </c>
      <c r="N878" s="26" t="s">
        <v>91</v>
      </c>
      <c r="O878" s="24"/>
      <c r="P878" s="24" t="s">
        <v>290</v>
      </c>
      <c r="Q878" s="24" t="s">
        <v>1380</v>
      </c>
      <c r="R878" s="73" t="s">
        <v>95</v>
      </c>
      <c r="S878" s="0" t="n">
        <f aca="false">IF(Recherche!$B$4="",0,IF(ISNUMBER(SEARCH(Recherche!$B$4,D878))+ISNUMBER(SEARCH(Recherche!$B$4,K878))&gt;0,1,0))</f>
        <v>0</v>
      </c>
      <c r="T878" s="0" t="str">
        <f aca="false">IF(S878=1,SUM($S$2:S878),"")</f>
        <v/>
      </c>
    </row>
    <row r="879" customFormat="false" ht="15" hidden="false" customHeight="false" outlineLevel="0" collapsed="false">
      <c r="A879" s="20" t="s">
        <v>3012</v>
      </c>
      <c r="B879" s="20" t="s">
        <v>68</v>
      </c>
      <c r="C879" s="20" t="s">
        <v>2944</v>
      </c>
      <c r="D879" s="19" t="s">
        <v>775</v>
      </c>
      <c r="E879" s="22" t="s">
        <v>91</v>
      </c>
      <c r="F879" s="74" t="s">
        <v>77</v>
      </c>
      <c r="G879" s="74" t="s">
        <v>979</v>
      </c>
      <c r="H879" s="75" t="n">
        <v>39.86</v>
      </c>
      <c r="I879" s="21" t="n">
        <v>39.86</v>
      </c>
      <c r="J879" s="52"/>
      <c r="K879" s="19" t="s">
        <v>3018</v>
      </c>
      <c r="L879" s="20" t="s">
        <v>3019</v>
      </c>
      <c r="M879" s="20" t="s">
        <v>3020</v>
      </c>
      <c r="N879" s="22" t="s">
        <v>91</v>
      </c>
      <c r="O879" s="20"/>
      <c r="P879" s="20" t="s">
        <v>114</v>
      </c>
      <c r="Q879" s="20" t="s">
        <v>983</v>
      </c>
      <c r="R879" s="76"/>
      <c r="S879" s="0" t="n">
        <f aca="false">IF(Recherche!$B$4="",0,IF(ISNUMBER(SEARCH(Recherche!$B$4,D879))+ISNUMBER(SEARCH(Recherche!$B$4,K879))&gt;0,1,0))</f>
        <v>0</v>
      </c>
      <c r="T879" s="0" t="str">
        <f aca="false">IF(S879=1,SUM($S$2:S879),"")</f>
        <v/>
      </c>
    </row>
    <row r="880" customFormat="false" ht="23.85" hidden="false" customHeight="false" outlineLevel="0" collapsed="false">
      <c r="A880" s="24" t="s">
        <v>3021</v>
      </c>
      <c r="B880" s="24" t="s">
        <v>68</v>
      </c>
      <c r="C880" s="24" t="s">
        <v>1680</v>
      </c>
      <c r="D880" s="23" t="s">
        <v>777</v>
      </c>
      <c r="E880" s="26" t="s">
        <v>91</v>
      </c>
      <c r="F880" s="74" t="s">
        <v>81</v>
      </c>
      <c r="G880" s="74" t="s">
        <v>979</v>
      </c>
      <c r="H880" s="75" t="n">
        <v>20.96</v>
      </c>
      <c r="I880" s="25" t="n">
        <v>22.06</v>
      </c>
      <c r="J880" s="58" t="n">
        <v>5</v>
      </c>
      <c r="K880" s="23" t="s">
        <v>778</v>
      </c>
      <c r="L880" s="24" t="s">
        <v>1274</v>
      </c>
      <c r="M880" s="24" t="s">
        <v>3022</v>
      </c>
      <c r="N880" s="26" t="s">
        <v>91</v>
      </c>
      <c r="O880" s="24" t="s">
        <v>949</v>
      </c>
      <c r="P880" s="24" t="s">
        <v>119</v>
      </c>
      <c r="Q880" s="24" t="s">
        <v>1007</v>
      </c>
      <c r="R880" s="73" t="s">
        <v>95</v>
      </c>
      <c r="S880" s="0" t="n">
        <f aca="false">IF(Recherche!$B$4="",0,IF(ISNUMBER(SEARCH(Recherche!$B$4,D880))+ISNUMBER(SEARCH(Recherche!$B$4,K880))&gt;0,1,0))</f>
        <v>0</v>
      </c>
      <c r="T880" s="0" t="str">
        <f aca="false">IF(S880=1,SUM($S$2:S880),"")</f>
        <v/>
      </c>
    </row>
    <row r="881" customFormat="false" ht="23.85" hidden="false" customHeight="false" outlineLevel="0" collapsed="false">
      <c r="A881" s="20" t="s">
        <v>3021</v>
      </c>
      <c r="B881" s="20" t="s">
        <v>68</v>
      </c>
      <c r="C881" s="20" t="s">
        <v>1680</v>
      </c>
      <c r="D881" s="19" t="s">
        <v>777</v>
      </c>
      <c r="E881" s="22" t="s">
        <v>91</v>
      </c>
      <c r="F881" s="20" t="s">
        <v>80</v>
      </c>
      <c r="G881" s="20" t="s">
        <v>939</v>
      </c>
      <c r="H881" s="21" t="n">
        <v>26.61</v>
      </c>
      <c r="I881" s="21"/>
      <c r="J881" s="52"/>
      <c r="K881" s="19" t="s">
        <v>3023</v>
      </c>
      <c r="L881" s="20"/>
      <c r="M881" s="20" t="s">
        <v>3024</v>
      </c>
      <c r="N881" s="22" t="s">
        <v>91</v>
      </c>
      <c r="O881" s="20"/>
      <c r="P881" s="20" t="s">
        <v>303</v>
      </c>
      <c r="Q881" s="20" t="s">
        <v>1085</v>
      </c>
      <c r="R881" s="76" t="s">
        <v>95</v>
      </c>
      <c r="S881" s="0" t="n">
        <f aca="false">IF(Recherche!$B$4="",0,IF(ISNUMBER(SEARCH(Recherche!$B$4,D881))+ISNUMBER(SEARCH(Recherche!$B$4,K881))&gt;0,1,0))</f>
        <v>0</v>
      </c>
      <c r="T881" s="0" t="str">
        <f aca="false">IF(S881=1,SUM($S$2:S881),"")</f>
        <v/>
      </c>
    </row>
    <row r="882" customFormat="false" ht="23.85" hidden="false" customHeight="false" outlineLevel="0" collapsed="false">
      <c r="A882" s="24" t="s">
        <v>3021</v>
      </c>
      <c r="B882" s="24" t="s">
        <v>68</v>
      </c>
      <c r="C882" s="24" t="s">
        <v>1680</v>
      </c>
      <c r="D882" s="23" t="s">
        <v>777</v>
      </c>
      <c r="E882" s="26" t="s">
        <v>91</v>
      </c>
      <c r="F882" s="24" t="s">
        <v>76</v>
      </c>
      <c r="G882" s="24" t="s">
        <v>939</v>
      </c>
      <c r="H882" s="25" t="n">
        <v>40.37</v>
      </c>
      <c r="I882" s="25"/>
      <c r="J882" s="58"/>
      <c r="K882" s="23" t="s">
        <v>3025</v>
      </c>
      <c r="L882" s="24" t="s">
        <v>3026</v>
      </c>
      <c r="M882" s="24" t="s">
        <v>3027</v>
      </c>
      <c r="N882" s="26" t="s">
        <v>91</v>
      </c>
      <c r="O882" s="24"/>
      <c r="P882" s="24" t="s">
        <v>93</v>
      </c>
      <c r="Q882" s="24" t="s">
        <v>942</v>
      </c>
      <c r="R882" s="73" t="s">
        <v>95</v>
      </c>
      <c r="S882" s="0" t="n">
        <f aca="false">IF(Recherche!$B$4="",0,IF(ISNUMBER(SEARCH(Recherche!$B$4,D882))+ISNUMBER(SEARCH(Recherche!$B$4,K882))&gt;0,1,0))</f>
        <v>0</v>
      </c>
      <c r="T882" s="0" t="str">
        <f aca="false">IF(S882=1,SUM($S$2:S882),"")</f>
        <v/>
      </c>
    </row>
    <row r="883" customFormat="false" ht="23.85" hidden="false" customHeight="false" outlineLevel="0" collapsed="false">
      <c r="A883" s="20" t="s">
        <v>3021</v>
      </c>
      <c r="B883" s="20" t="s">
        <v>68</v>
      </c>
      <c r="C883" s="20" t="s">
        <v>1680</v>
      </c>
      <c r="D883" s="19" t="s">
        <v>777</v>
      </c>
      <c r="E883" s="22" t="s">
        <v>91</v>
      </c>
      <c r="F883" s="74" t="s">
        <v>82</v>
      </c>
      <c r="G883" s="74" t="s">
        <v>943</v>
      </c>
      <c r="H883" s="75" t="n">
        <v>62.9</v>
      </c>
      <c r="I883" s="21"/>
      <c r="J883" s="52"/>
      <c r="K883" s="19" t="s">
        <v>3028</v>
      </c>
      <c r="L883" s="20"/>
      <c r="M883" s="20" t="s">
        <v>3029</v>
      </c>
      <c r="N883" s="22" t="s">
        <v>91</v>
      </c>
      <c r="O883" s="20"/>
      <c r="P883" s="20" t="s">
        <v>290</v>
      </c>
      <c r="Q883" s="20" t="s">
        <v>1380</v>
      </c>
      <c r="R883" s="76" t="s">
        <v>95</v>
      </c>
      <c r="S883" s="0" t="n">
        <f aca="false">IF(Recherche!$B$4="",0,IF(ISNUMBER(SEARCH(Recherche!$B$4,D883))+ISNUMBER(SEARCH(Recherche!$B$4,K883))&gt;0,1,0))</f>
        <v>0</v>
      </c>
      <c r="T883" s="0" t="str">
        <f aca="false">IF(S883=1,SUM($S$2:S883),"")</f>
        <v/>
      </c>
    </row>
    <row r="884" customFormat="false" ht="23.85" hidden="false" customHeight="false" outlineLevel="0" collapsed="false">
      <c r="A884" s="24" t="s">
        <v>3030</v>
      </c>
      <c r="B884" s="24" t="s">
        <v>68</v>
      </c>
      <c r="C884" s="24" t="s">
        <v>1680</v>
      </c>
      <c r="D884" s="23" t="s">
        <v>779</v>
      </c>
      <c r="E884" s="26" t="s">
        <v>91</v>
      </c>
      <c r="F884" s="24" t="s">
        <v>76</v>
      </c>
      <c r="G884" s="24" t="s">
        <v>939</v>
      </c>
      <c r="H884" s="25" t="n">
        <v>7.56</v>
      </c>
      <c r="I884" s="25"/>
      <c r="J884" s="58"/>
      <c r="K884" s="23" t="s">
        <v>780</v>
      </c>
      <c r="L884" s="24" t="s">
        <v>3026</v>
      </c>
      <c r="M884" s="24" t="s">
        <v>3031</v>
      </c>
      <c r="N884" s="26" t="s">
        <v>91</v>
      </c>
      <c r="O884" s="24"/>
      <c r="P884" s="24" t="s">
        <v>93</v>
      </c>
      <c r="Q884" s="24" t="s">
        <v>1052</v>
      </c>
      <c r="R884" s="73" t="s">
        <v>95</v>
      </c>
      <c r="S884" s="0" t="n">
        <f aca="false">IF(Recherche!$B$4="",0,IF(ISNUMBER(SEARCH(Recherche!$B$4,D884))+ISNUMBER(SEARCH(Recherche!$B$4,K884))&gt;0,1,0))</f>
        <v>0</v>
      </c>
      <c r="T884" s="0" t="str">
        <f aca="false">IF(S884=1,SUM($S$2:S884),"")</f>
        <v/>
      </c>
    </row>
    <row r="885" customFormat="false" ht="15" hidden="false" customHeight="false" outlineLevel="0" collapsed="false">
      <c r="A885" s="20" t="s">
        <v>3030</v>
      </c>
      <c r="B885" s="20" t="s">
        <v>68</v>
      </c>
      <c r="C885" s="20" t="s">
        <v>1680</v>
      </c>
      <c r="D885" s="19" t="s">
        <v>779</v>
      </c>
      <c r="E885" s="22" t="s">
        <v>91</v>
      </c>
      <c r="F885" s="74" t="s">
        <v>77</v>
      </c>
      <c r="G885" s="74" t="s">
        <v>979</v>
      </c>
      <c r="H885" s="75" t="n">
        <v>9.45</v>
      </c>
      <c r="I885" s="21" t="n">
        <v>9.45</v>
      </c>
      <c r="J885" s="52"/>
      <c r="K885" s="19" t="s">
        <v>3032</v>
      </c>
      <c r="L885" s="20" t="s">
        <v>2972</v>
      </c>
      <c r="M885" s="20" t="s">
        <v>3033</v>
      </c>
      <c r="N885" s="22" t="s">
        <v>91</v>
      </c>
      <c r="O885" s="20"/>
      <c r="P885" s="20" t="s">
        <v>114</v>
      </c>
      <c r="Q885" s="20" t="s">
        <v>983</v>
      </c>
      <c r="R885" s="76"/>
      <c r="S885" s="0" t="n">
        <f aca="false">IF(Recherche!$B$4="",0,IF(ISNUMBER(SEARCH(Recherche!$B$4,D885))+ISNUMBER(SEARCH(Recherche!$B$4,K885))&gt;0,1,0))</f>
        <v>0</v>
      </c>
      <c r="T885" s="0" t="str">
        <f aca="false">IF(S885=1,SUM($S$2:S885),"")</f>
        <v/>
      </c>
    </row>
    <row r="886" customFormat="false" ht="23.85" hidden="false" customHeight="false" outlineLevel="0" collapsed="false">
      <c r="A886" s="24" t="s">
        <v>3030</v>
      </c>
      <c r="B886" s="24" t="s">
        <v>68</v>
      </c>
      <c r="C886" s="24" t="s">
        <v>1680</v>
      </c>
      <c r="D886" s="23" t="s">
        <v>779</v>
      </c>
      <c r="E886" s="26" t="s">
        <v>91</v>
      </c>
      <c r="F886" s="74" t="s">
        <v>81</v>
      </c>
      <c r="G886" s="74" t="s">
        <v>979</v>
      </c>
      <c r="H886" s="75" t="n">
        <v>14.42</v>
      </c>
      <c r="I886" s="25" t="n">
        <v>15.17</v>
      </c>
      <c r="J886" s="58" t="n">
        <v>4.9</v>
      </c>
      <c r="K886" s="23" t="s">
        <v>3034</v>
      </c>
      <c r="L886" s="24" t="s">
        <v>1274</v>
      </c>
      <c r="M886" s="24" t="s">
        <v>3035</v>
      </c>
      <c r="N886" s="26" t="s">
        <v>91</v>
      </c>
      <c r="O886" s="24" t="s">
        <v>949</v>
      </c>
      <c r="P886" s="24" t="s">
        <v>119</v>
      </c>
      <c r="Q886" s="24" t="s">
        <v>1007</v>
      </c>
      <c r="R886" s="73" t="s">
        <v>95</v>
      </c>
      <c r="S886" s="0" t="n">
        <f aca="false">IF(Recherche!$B$4="",0,IF(ISNUMBER(SEARCH(Recherche!$B$4,D886))+ISNUMBER(SEARCH(Recherche!$B$4,K886))&gt;0,1,0))</f>
        <v>0</v>
      </c>
      <c r="T886" s="0" t="str">
        <f aca="false">IF(S886=1,SUM($S$2:S886),"")</f>
        <v/>
      </c>
    </row>
    <row r="887" customFormat="false" ht="23.85" hidden="false" customHeight="false" outlineLevel="0" collapsed="false">
      <c r="A887" s="20" t="s">
        <v>3036</v>
      </c>
      <c r="B887" s="20" t="s">
        <v>68</v>
      </c>
      <c r="C887" s="20" t="s">
        <v>1680</v>
      </c>
      <c r="D887" s="19" t="s">
        <v>781</v>
      </c>
      <c r="E887" s="22" t="s">
        <v>203</v>
      </c>
      <c r="F887" s="20" t="s">
        <v>76</v>
      </c>
      <c r="G887" s="20" t="s">
        <v>939</v>
      </c>
      <c r="H887" s="21" t="n">
        <v>2.84</v>
      </c>
      <c r="I887" s="21"/>
      <c r="J887" s="52"/>
      <c r="K887" s="19" t="s">
        <v>782</v>
      </c>
      <c r="L887" s="20" t="s">
        <v>1761</v>
      </c>
      <c r="M887" s="20" t="s">
        <v>3037</v>
      </c>
      <c r="N887" s="22" t="s">
        <v>203</v>
      </c>
      <c r="O887" s="20"/>
      <c r="P887" s="20" t="s">
        <v>93</v>
      </c>
      <c r="Q887" s="20" t="s">
        <v>1085</v>
      </c>
      <c r="R887" s="76" t="s">
        <v>95</v>
      </c>
      <c r="S887" s="0" t="n">
        <f aca="false">IF(Recherche!$B$4="",0,IF(ISNUMBER(SEARCH(Recherche!$B$4,D887))+ISNUMBER(SEARCH(Recherche!$B$4,K887))&gt;0,1,0))</f>
        <v>0</v>
      </c>
      <c r="T887" s="0" t="str">
        <f aca="false">IF(S887=1,SUM($S$2:S887),"")</f>
        <v/>
      </c>
    </row>
    <row r="888" customFormat="false" ht="23.85" hidden="false" customHeight="false" outlineLevel="0" collapsed="false">
      <c r="A888" s="24" t="s">
        <v>3036</v>
      </c>
      <c r="B888" s="24" t="s">
        <v>68</v>
      </c>
      <c r="C888" s="24" t="s">
        <v>1680</v>
      </c>
      <c r="D888" s="23" t="s">
        <v>781</v>
      </c>
      <c r="E888" s="26" t="s">
        <v>203</v>
      </c>
      <c r="F888" s="24" t="s">
        <v>80</v>
      </c>
      <c r="G888" s="24" t="s">
        <v>939</v>
      </c>
      <c r="H888" s="25" t="n">
        <v>3.21</v>
      </c>
      <c r="I888" s="25"/>
      <c r="J888" s="58"/>
      <c r="K888" s="23" t="s">
        <v>3038</v>
      </c>
      <c r="L888" s="24"/>
      <c r="M888" s="24" t="s">
        <v>3039</v>
      </c>
      <c r="N888" s="26" t="s">
        <v>91</v>
      </c>
      <c r="O888" s="24"/>
      <c r="P888" s="24" t="s">
        <v>303</v>
      </c>
      <c r="Q888" s="24" t="s">
        <v>1085</v>
      </c>
      <c r="R888" s="73" t="s">
        <v>95</v>
      </c>
      <c r="S888" s="0" t="n">
        <f aca="false">IF(Recherche!$B$4="",0,IF(ISNUMBER(SEARCH(Recherche!$B$4,D888))+ISNUMBER(SEARCH(Recherche!$B$4,K888))&gt;0,1,0))</f>
        <v>0</v>
      </c>
      <c r="T888" s="0" t="str">
        <f aca="false">IF(S888=1,SUM($S$2:S888),"")</f>
        <v/>
      </c>
    </row>
    <row r="889" customFormat="false" ht="15" hidden="false" customHeight="false" outlineLevel="0" collapsed="false">
      <c r="A889" s="20" t="s">
        <v>3036</v>
      </c>
      <c r="B889" s="20" t="s">
        <v>68</v>
      </c>
      <c r="C889" s="20" t="s">
        <v>1680</v>
      </c>
      <c r="D889" s="19" t="s">
        <v>781</v>
      </c>
      <c r="E889" s="22" t="s">
        <v>203</v>
      </c>
      <c r="F889" s="74" t="s">
        <v>81</v>
      </c>
      <c r="G889" s="74" t="s">
        <v>979</v>
      </c>
      <c r="H889" s="75" t="n">
        <v>12.9</v>
      </c>
      <c r="I889" s="21" t="n">
        <v>13.6</v>
      </c>
      <c r="J889" s="52" t="n">
        <v>5.1</v>
      </c>
      <c r="K889" s="19" t="s">
        <v>3040</v>
      </c>
      <c r="L889" s="20" t="s">
        <v>1274</v>
      </c>
      <c r="M889" s="20" t="s">
        <v>3041</v>
      </c>
      <c r="N889" s="22" t="s">
        <v>1216</v>
      </c>
      <c r="O889" s="20" t="s">
        <v>1216</v>
      </c>
      <c r="P889" s="20" t="s">
        <v>119</v>
      </c>
      <c r="Q889" s="20" t="s">
        <v>1007</v>
      </c>
      <c r="R889" s="76" t="s">
        <v>95</v>
      </c>
      <c r="S889" s="0" t="n">
        <f aca="false">IF(Recherche!$B$4="",0,IF(ISNUMBER(SEARCH(Recherche!$B$4,D889))+ISNUMBER(SEARCH(Recherche!$B$4,K889))&gt;0,1,0))</f>
        <v>0</v>
      </c>
      <c r="T889" s="0" t="str">
        <f aca="false">IF(S889=1,SUM($S$2:S889),"")</f>
        <v/>
      </c>
    </row>
    <row r="890" customFormat="false" ht="23.85" hidden="false" customHeight="false" outlineLevel="0" collapsed="false">
      <c r="A890" s="24" t="s">
        <v>3042</v>
      </c>
      <c r="B890" s="24" t="s">
        <v>68</v>
      </c>
      <c r="C890" s="24" t="s">
        <v>1680</v>
      </c>
      <c r="D890" s="23" t="s">
        <v>783</v>
      </c>
      <c r="E890" s="26" t="s">
        <v>91</v>
      </c>
      <c r="F890" s="24" t="s">
        <v>80</v>
      </c>
      <c r="G890" s="24" t="s">
        <v>939</v>
      </c>
      <c r="H890" s="25" t="n">
        <v>4.68</v>
      </c>
      <c r="I890" s="25"/>
      <c r="J890" s="58"/>
      <c r="K890" s="23" t="s">
        <v>784</v>
      </c>
      <c r="L890" s="24"/>
      <c r="M890" s="24" t="s">
        <v>3043</v>
      </c>
      <c r="N890" s="26" t="s">
        <v>91</v>
      </c>
      <c r="O890" s="24"/>
      <c r="P890" s="24" t="s">
        <v>303</v>
      </c>
      <c r="Q890" s="24" t="s">
        <v>942</v>
      </c>
      <c r="R890" s="73" t="s">
        <v>95</v>
      </c>
      <c r="S890" s="0" t="n">
        <f aca="false">IF(Recherche!$B$4="",0,IF(ISNUMBER(SEARCH(Recherche!$B$4,D890))+ISNUMBER(SEARCH(Recherche!$B$4,K890))&gt;0,1,0))</f>
        <v>0</v>
      </c>
      <c r="T890" s="0" t="str">
        <f aca="false">IF(S890=1,SUM($S$2:S890),"")</f>
        <v/>
      </c>
    </row>
    <row r="891" customFormat="false" ht="23.85" hidden="false" customHeight="false" outlineLevel="0" collapsed="false">
      <c r="A891" s="20" t="s">
        <v>3042</v>
      </c>
      <c r="B891" s="20" t="s">
        <v>68</v>
      </c>
      <c r="C891" s="20" t="s">
        <v>1680</v>
      </c>
      <c r="D891" s="19" t="s">
        <v>783</v>
      </c>
      <c r="E891" s="22" t="s">
        <v>91</v>
      </c>
      <c r="F891" s="74" t="s">
        <v>81</v>
      </c>
      <c r="G891" s="74" t="s">
        <v>979</v>
      </c>
      <c r="H891" s="75" t="n">
        <v>5.93</v>
      </c>
      <c r="I891" s="21" t="n">
        <v>6.25</v>
      </c>
      <c r="J891" s="52" t="n">
        <v>5.1</v>
      </c>
      <c r="K891" s="19" t="s">
        <v>3044</v>
      </c>
      <c r="L891" s="20" t="s">
        <v>1274</v>
      </c>
      <c r="M891" s="20" t="s">
        <v>3045</v>
      </c>
      <c r="N891" s="22" t="s">
        <v>45</v>
      </c>
      <c r="O891" s="20" t="s">
        <v>45</v>
      </c>
      <c r="P891" s="20" t="s">
        <v>119</v>
      </c>
      <c r="Q891" s="20" t="s">
        <v>1007</v>
      </c>
      <c r="R891" s="76" t="s">
        <v>95</v>
      </c>
      <c r="S891" s="0" t="n">
        <f aca="false">IF(Recherche!$B$4="",0,IF(ISNUMBER(SEARCH(Recherche!$B$4,D891))+ISNUMBER(SEARCH(Recherche!$B$4,K891))&gt;0,1,0))</f>
        <v>0</v>
      </c>
      <c r="T891" s="0" t="str">
        <f aca="false">IF(S891=1,SUM($S$2:S891),"")</f>
        <v/>
      </c>
    </row>
    <row r="892" customFormat="false" ht="15" hidden="false" customHeight="false" outlineLevel="0" collapsed="false">
      <c r="A892" s="24" t="s">
        <v>3042</v>
      </c>
      <c r="B892" s="24" t="s">
        <v>68</v>
      </c>
      <c r="C892" s="24" t="s">
        <v>1680</v>
      </c>
      <c r="D892" s="23" t="s">
        <v>783</v>
      </c>
      <c r="E892" s="26" t="s">
        <v>91</v>
      </c>
      <c r="F892" s="24" t="s">
        <v>76</v>
      </c>
      <c r="G892" s="24" t="s">
        <v>939</v>
      </c>
      <c r="H892" s="25" t="n">
        <v>8.79</v>
      </c>
      <c r="I892" s="25"/>
      <c r="J892" s="58"/>
      <c r="K892" s="23" t="s">
        <v>3046</v>
      </c>
      <c r="L892" s="24" t="s">
        <v>1761</v>
      </c>
      <c r="M892" s="24" t="s">
        <v>3047</v>
      </c>
      <c r="N892" s="26" t="s">
        <v>91</v>
      </c>
      <c r="O892" s="24"/>
      <c r="P892" s="24" t="s">
        <v>93</v>
      </c>
      <c r="Q892" s="24" t="s">
        <v>942</v>
      </c>
      <c r="R892" s="73" t="s">
        <v>95</v>
      </c>
      <c r="S892" s="0" t="n">
        <f aca="false">IF(Recherche!$B$4="",0,IF(ISNUMBER(SEARCH(Recherche!$B$4,D892))+ISNUMBER(SEARCH(Recherche!$B$4,K892))&gt;0,1,0))</f>
        <v>0</v>
      </c>
      <c r="T892" s="0" t="str">
        <f aca="false">IF(S892=1,SUM($S$2:S892),"")</f>
        <v/>
      </c>
    </row>
    <row r="893" customFormat="false" ht="15" hidden="false" customHeight="false" outlineLevel="0" collapsed="false">
      <c r="A893" s="20" t="s">
        <v>3042</v>
      </c>
      <c r="B893" s="20" t="s">
        <v>68</v>
      </c>
      <c r="C893" s="20" t="s">
        <v>1680</v>
      </c>
      <c r="D893" s="19" t="s">
        <v>783</v>
      </c>
      <c r="E893" s="22" t="s">
        <v>91</v>
      </c>
      <c r="F893" s="74" t="s">
        <v>82</v>
      </c>
      <c r="G893" s="74" t="s">
        <v>943</v>
      </c>
      <c r="H893" s="75" t="n">
        <v>9.52</v>
      </c>
      <c r="I893" s="21"/>
      <c r="J893" s="52"/>
      <c r="K893" s="19" t="s">
        <v>3048</v>
      </c>
      <c r="L893" s="20"/>
      <c r="M893" s="20" t="s">
        <v>3049</v>
      </c>
      <c r="N893" s="22" t="s">
        <v>91</v>
      </c>
      <c r="O893" s="20"/>
      <c r="P893" s="20" t="s">
        <v>290</v>
      </c>
      <c r="Q893" s="20" t="s">
        <v>1380</v>
      </c>
      <c r="R893" s="76" t="s">
        <v>95</v>
      </c>
      <c r="S893" s="0" t="n">
        <f aca="false">IF(Recherche!$B$4="",0,IF(ISNUMBER(SEARCH(Recherche!$B$4,D893))+ISNUMBER(SEARCH(Recherche!$B$4,K893))&gt;0,1,0))</f>
        <v>0</v>
      </c>
      <c r="T893" s="0" t="str">
        <f aca="false">IF(S893=1,SUM($S$2:S893),"")</f>
        <v/>
      </c>
    </row>
    <row r="894" customFormat="false" ht="15" hidden="false" customHeight="false" outlineLevel="0" collapsed="false">
      <c r="A894" s="24" t="s">
        <v>3050</v>
      </c>
      <c r="B894" s="24" t="s">
        <v>68</v>
      </c>
      <c r="C894" s="24" t="s">
        <v>1680</v>
      </c>
      <c r="D894" s="23" t="s">
        <v>785</v>
      </c>
      <c r="E894" s="26" t="s">
        <v>91</v>
      </c>
      <c r="F894" s="74" t="s">
        <v>81</v>
      </c>
      <c r="G894" s="74" t="s">
        <v>979</v>
      </c>
      <c r="H894" s="75" t="n">
        <v>5.2</v>
      </c>
      <c r="I894" s="25" t="n">
        <v>5.47</v>
      </c>
      <c r="J894" s="58" t="n">
        <v>4.9</v>
      </c>
      <c r="K894" s="23" t="s">
        <v>786</v>
      </c>
      <c r="L894" s="24" t="s">
        <v>2319</v>
      </c>
      <c r="M894" s="24" t="s">
        <v>3051</v>
      </c>
      <c r="N894" s="26" t="s">
        <v>91</v>
      </c>
      <c r="O894" s="24" t="s">
        <v>949</v>
      </c>
      <c r="P894" s="24" t="s">
        <v>169</v>
      </c>
      <c r="Q894" s="24" t="s">
        <v>1007</v>
      </c>
      <c r="R894" s="73" t="s">
        <v>95</v>
      </c>
      <c r="S894" s="0" t="n">
        <f aca="false">IF(Recherche!$B$4="",0,IF(ISNUMBER(SEARCH(Recherche!$B$4,D894))+ISNUMBER(SEARCH(Recherche!$B$4,K894))&gt;0,1,0))</f>
        <v>0</v>
      </c>
      <c r="T894" s="0" t="str">
        <f aca="false">IF(S894=1,SUM($S$2:S894),"")</f>
        <v/>
      </c>
    </row>
    <row r="895" customFormat="false" ht="15" hidden="false" customHeight="false" outlineLevel="0" collapsed="false">
      <c r="A895" s="20" t="s">
        <v>3050</v>
      </c>
      <c r="B895" s="20" t="s">
        <v>68</v>
      </c>
      <c r="C895" s="20" t="s">
        <v>1680</v>
      </c>
      <c r="D895" s="19" t="s">
        <v>785</v>
      </c>
      <c r="E895" s="22" t="s">
        <v>91</v>
      </c>
      <c r="F895" s="74" t="s">
        <v>82</v>
      </c>
      <c r="G895" s="74" t="s">
        <v>943</v>
      </c>
      <c r="H895" s="75" t="n">
        <v>6.37</v>
      </c>
      <c r="I895" s="21"/>
      <c r="J895" s="52"/>
      <c r="K895" s="19" t="s">
        <v>3052</v>
      </c>
      <c r="L895" s="20"/>
      <c r="M895" s="20" t="s">
        <v>3053</v>
      </c>
      <c r="N895" s="22" t="s">
        <v>91</v>
      </c>
      <c r="O895" s="20"/>
      <c r="P895" s="20" t="s">
        <v>290</v>
      </c>
      <c r="Q895" s="20" t="s">
        <v>1380</v>
      </c>
      <c r="R895" s="76" t="s">
        <v>95</v>
      </c>
      <c r="S895" s="0" t="n">
        <f aca="false">IF(Recherche!$B$4="",0,IF(ISNUMBER(SEARCH(Recherche!$B$4,D895))+ISNUMBER(SEARCH(Recherche!$B$4,K895))&gt;0,1,0))</f>
        <v>0</v>
      </c>
      <c r="T895" s="0" t="str">
        <f aca="false">IF(S895=1,SUM($S$2:S895),"")</f>
        <v/>
      </c>
    </row>
    <row r="896" customFormat="false" ht="15" hidden="false" customHeight="false" outlineLevel="0" collapsed="false">
      <c r="A896" s="24" t="s">
        <v>3050</v>
      </c>
      <c r="B896" s="24" t="s">
        <v>68</v>
      </c>
      <c r="C896" s="24" t="s">
        <v>1680</v>
      </c>
      <c r="D896" s="23" t="s">
        <v>785</v>
      </c>
      <c r="E896" s="26" t="s">
        <v>91</v>
      </c>
      <c r="F896" s="24" t="s">
        <v>76</v>
      </c>
      <c r="G896" s="24" t="s">
        <v>939</v>
      </c>
      <c r="H896" s="25" t="n">
        <v>6.63</v>
      </c>
      <c r="I896" s="25"/>
      <c r="J896" s="58"/>
      <c r="K896" s="23" t="s">
        <v>3054</v>
      </c>
      <c r="L896" s="24" t="s">
        <v>3055</v>
      </c>
      <c r="M896" s="24" t="s">
        <v>3056</v>
      </c>
      <c r="N896" s="26" t="s">
        <v>91</v>
      </c>
      <c r="O896" s="24"/>
      <c r="P896" s="24" t="s">
        <v>93</v>
      </c>
      <c r="Q896" s="24" t="s">
        <v>942</v>
      </c>
      <c r="R896" s="73" t="s">
        <v>95</v>
      </c>
      <c r="S896" s="0" t="n">
        <f aca="false">IF(Recherche!$B$4="",0,IF(ISNUMBER(SEARCH(Recherche!$B$4,D896))+ISNUMBER(SEARCH(Recherche!$B$4,K896))&gt;0,1,0))</f>
        <v>0</v>
      </c>
      <c r="T896" s="0" t="str">
        <f aca="false">IF(S896=1,SUM($S$2:S896),"")</f>
        <v/>
      </c>
    </row>
    <row r="897" customFormat="false" ht="23.85" hidden="false" customHeight="false" outlineLevel="0" collapsed="false">
      <c r="A897" s="20" t="s">
        <v>3050</v>
      </c>
      <c r="B897" s="20" t="s">
        <v>68</v>
      </c>
      <c r="C897" s="20" t="s">
        <v>1680</v>
      </c>
      <c r="D897" s="19" t="s">
        <v>785</v>
      </c>
      <c r="E897" s="22" t="s">
        <v>91</v>
      </c>
      <c r="F897" s="20" t="s">
        <v>80</v>
      </c>
      <c r="G897" s="20" t="s">
        <v>939</v>
      </c>
      <c r="H897" s="21" t="n">
        <v>11.3</v>
      </c>
      <c r="I897" s="21"/>
      <c r="J897" s="52"/>
      <c r="K897" s="19" t="s">
        <v>3057</v>
      </c>
      <c r="L897" s="20"/>
      <c r="M897" s="20" t="s">
        <v>3058</v>
      </c>
      <c r="N897" s="22" t="s">
        <v>91</v>
      </c>
      <c r="O897" s="20"/>
      <c r="P897" s="20" t="s">
        <v>303</v>
      </c>
      <c r="Q897" s="20" t="s">
        <v>942</v>
      </c>
      <c r="R897" s="76" t="s">
        <v>95</v>
      </c>
      <c r="S897" s="0" t="n">
        <f aca="false">IF(Recherche!$B$4="",0,IF(ISNUMBER(SEARCH(Recherche!$B$4,D897))+ISNUMBER(SEARCH(Recherche!$B$4,K897))&gt;0,1,0))</f>
        <v>0</v>
      </c>
      <c r="T897" s="0" t="str">
        <f aca="false">IF(S897=1,SUM($S$2:S897),"")</f>
        <v/>
      </c>
    </row>
    <row r="898" customFormat="false" ht="23.85" hidden="false" customHeight="false" outlineLevel="0" collapsed="false">
      <c r="A898" s="24" t="s">
        <v>3050</v>
      </c>
      <c r="B898" s="24" t="s">
        <v>68</v>
      </c>
      <c r="C898" s="24" t="s">
        <v>1680</v>
      </c>
      <c r="D898" s="23" t="s">
        <v>785</v>
      </c>
      <c r="E898" s="26" t="s">
        <v>91</v>
      </c>
      <c r="F898" s="74" t="s">
        <v>77</v>
      </c>
      <c r="G898" s="74" t="s">
        <v>979</v>
      </c>
      <c r="H898" s="75" t="n">
        <v>22.13</v>
      </c>
      <c r="I898" s="25" t="n">
        <v>23.54</v>
      </c>
      <c r="J898" s="58" t="n">
        <v>6</v>
      </c>
      <c r="K898" s="23" t="s">
        <v>3059</v>
      </c>
      <c r="L898" s="24" t="s">
        <v>3060</v>
      </c>
      <c r="M898" s="24" t="s">
        <v>3061</v>
      </c>
      <c r="N898" s="26" t="s">
        <v>91</v>
      </c>
      <c r="O898" s="24"/>
      <c r="P898" s="24" t="s">
        <v>114</v>
      </c>
      <c r="Q898" s="24" t="s">
        <v>983</v>
      </c>
      <c r="R898" s="73"/>
      <c r="S898" s="0" t="n">
        <f aca="false">IF(Recherche!$B$4="",0,IF(ISNUMBER(SEARCH(Recherche!$B$4,D898))+ISNUMBER(SEARCH(Recherche!$B$4,K898))&gt;0,1,0))</f>
        <v>0</v>
      </c>
      <c r="T898" s="0" t="str">
        <f aca="false">IF(S898=1,SUM($S$2:S898),"")</f>
        <v/>
      </c>
    </row>
    <row r="899" customFormat="false" ht="23.85" hidden="false" customHeight="false" outlineLevel="0" collapsed="false">
      <c r="A899" s="20" t="s">
        <v>3062</v>
      </c>
      <c r="B899" s="20" t="s">
        <v>68</v>
      </c>
      <c r="C899" s="20" t="s">
        <v>1680</v>
      </c>
      <c r="D899" s="19" t="s">
        <v>787</v>
      </c>
      <c r="E899" s="22" t="s">
        <v>374</v>
      </c>
      <c r="F899" s="20" t="s">
        <v>80</v>
      </c>
      <c r="G899" s="20" t="s">
        <v>939</v>
      </c>
      <c r="H899" s="21" t="n">
        <v>2.98</v>
      </c>
      <c r="I899" s="21"/>
      <c r="J899" s="52"/>
      <c r="K899" s="19" t="s">
        <v>3063</v>
      </c>
      <c r="L899" s="20"/>
      <c r="M899" s="20" t="s">
        <v>3064</v>
      </c>
      <c r="N899" s="22" t="s">
        <v>91</v>
      </c>
      <c r="O899" s="20"/>
      <c r="P899" s="20" t="s">
        <v>303</v>
      </c>
      <c r="Q899" s="20" t="s">
        <v>963</v>
      </c>
      <c r="R899" s="76" t="s">
        <v>95</v>
      </c>
      <c r="S899" s="0" t="n">
        <f aca="false">IF(Recherche!$B$4="",0,IF(ISNUMBER(SEARCH(Recherche!$B$4,D899))+ISNUMBER(SEARCH(Recherche!$B$4,K899))&gt;0,1,0))</f>
        <v>0</v>
      </c>
      <c r="T899" s="0" t="str">
        <f aca="false">IF(S899=1,SUM($S$2:S899),"")</f>
        <v/>
      </c>
    </row>
    <row r="900" customFormat="false" ht="15" hidden="false" customHeight="false" outlineLevel="0" collapsed="false">
      <c r="A900" s="24" t="s">
        <v>3062</v>
      </c>
      <c r="B900" s="24" t="s">
        <v>68</v>
      </c>
      <c r="C900" s="24" t="s">
        <v>1680</v>
      </c>
      <c r="D900" s="23" t="s">
        <v>787</v>
      </c>
      <c r="E900" s="26" t="s">
        <v>374</v>
      </c>
      <c r="F900" s="24" t="s">
        <v>76</v>
      </c>
      <c r="G900" s="24" t="s">
        <v>939</v>
      </c>
      <c r="H900" s="25" t="n">
        <v>5.07</v>
      </c>
      <c r="I900" s="25"/>
      <c r="J900" s="58"/>
      <c r="K900" s="23" t="s">
        <v>788</v>
      </c>
      <c r="L900" s="24" t="s">
        <v>3065</v>
      </c>
      <c r="M900" s="24" t="s">
        <v>3066</v>
      </c>
      <c r="N900" s="26" t="s">
        <v>374</v>
      </c>
      <c r="O900" s="24"/>
      <c r="P900" s="24" t="s">
        <v>93</v>
      </c>
      <c r="Q900" s="24" t="s">
        <v>963</v>
      </c>
      <c r="R900" s="73" t="s">
        <v>95</v>
      </c>
      <c r="S900" s="0" t="n">
        <f aca="false">IF(Recherche!$B$4="",0,IF(ISNUMBER(SEARCH(Recherche!$B$4,D900))+ISNUMBER(SEARCH(Recherche!$B$4,K900))&gt;0,1,0))</f>
        <v>0</v>
      </c>
      <c r="T900" s="0" t="str">
        <f aca="false">IF(S900=1,SUM($S$2:S900),"")</f>
        <v/>
      </c>
    </row>
    <row r="901" customFormat="false" ht="15" hidden="false" customHeight="false" outlineLevel="0" collapsed="false">
      <c r="A901" s="20" t="s">
        <v>3062</v>
      </c>
      <c r="B901" s="20" t="s">
        <v>68</v>
      </c>
      <c r="C901" s="20" t="s">
        <v>1680</v>
      </c>
      <c r="D901" s="19" t="s">
        <v>787</v>
      </c>
      <c r="E901" s="22" t="s">
        <v>374</v>
      </c>
      <c r="F901" s="74" t="s">
        <v>81</v>
      </c>
      <c r="G901" s="74" t="s">
        <v>979</v>
      </c>
      <c r="H901" s="75" t="n">
        <v>6.05</v>
      </c>
      <c r="I901" s="21" t="n">
        <v>6.22</v>
      </c>
      <c r="J901" s="52" t="n">
        <v>2.7</v>
      </c>
      <c r="K901" s="19" t="s">
        <v>3067</v>
      </c>
      <c r="L901" s="20" t="s">
        <v>1274</v>
      </c>
      <c r="M901" s="20" t="s">
        <v>3068</v>
      </c>
      <c r="N901" s="22" t="s">
        <v>91</v>
      </c>
      <c r="O901" s="20" t="s">
        <v>949</v>
      </c>
      <c r="P901" s="20" t="s">
        <v>119</v>
      </c>
      <c r="Q901" s="20" t="s">
        <v>1016</v>
      </c>
      <c r="R901" s="76" t="s">
        <v>95</v>
      </c>
      <c r="S901" s="0" t="n">
        <f aca="false">IF(Recherche!$B$4="",0,IF(ISNUMBER(SEARCH(Recherche!$B$4,D901))+ISNUMBER(SEARCH(Recherche!$B$4,K901))&gt;0,1,0))</f>
        <v>0</v>
      </c>
      <c r="T901" s="0" t="str">
        <f aca="false">IF(S901=1,SUM($S$2:S901),"")</f>
        <v/>
      </c>
    </row>
    <row r="902" customFormat="false" ht="15" hidden="false" customHeight="false" outlineLevel="0" collapsed="false">
      <c r="A902" s="24" t="s">
        <v>3062</v>
      </c>
      <c r="B902" s="24" t="s">
        <v>68</v>
      </c>
      <c r="C902" s="24" t="s">
        <v>1680</v>
      </c>
      <c r="D902" s="23" t="s">
        <v>787</v>
      </c>
      <c r="E902" s="26" t="s">
        <v>374</v>
      </c>
      <c r="F902" s="74" t="s">
        <v>82</v>
      </c>
      <c r="G902" s="74" t="s">
        <v>943</v>
      </c>
      <c r="H902" s="75" t="n">
        <v>6.85</v>
      </c>
      <c r="I902" s="25"/>
      <c r="J902" s="58"/>
      <c r="K902" s="23" t="s">
        <v>3069</v>
      </c>
      <c r="L902" s="24"/>
      <c r="M902" s="24" t="s">
        <v>3070</v>
      </c>
      <c r="N902" s="26" t="s">
        <v>91</v>
      </c>
      <c r="O902" s="24"/>
      <c r="P902" s="24" t="s">
        <v>290</v>
      </c>
      <c r="Q902" s="24" t="s">
        <v>1016</v>
      </c>
      <c r="R902" s="73" t="s">
        <v>95</v>
      </c>
      <c r="S902" s="0" t="n">
        <f aca="false">IF(Recherche!$B$4="",0,IF(ISNUMBER(SEARCH(Recherche!$B$4,D902))+ISNUMBER(SEARCH(Recherche!$B$4,K902))&gt;0,1,0))</f>
        <v>0</v>
      </c>
      <c r="T902" s="0" t="str">
        <f aca="false">IF(S902=1,SUM($S$2:S902),"")</f>
        <v/>
      </c>
    </row>
    <row r="903" customFormat="false" ht="15" hidden="false" customHeight="false" outlineLevel="0" collapsed="false">
      <c r="A903" s="20" t="s">
        <v>3071</v>
      </c>
      <c r="B903" s="20" t="s">
        <v>68</v>
      </c>
      <c r="C903" s="20" t="s">
        <v>1680</v>
      </c>
      <c r="D903" s="19" t="s">
        <v>789</v>
      </c>
      <c r="E903" s="22" t="s">
        <v>790</v>
      </c>
      <c r="F903" s="74" t="s">
        <v>81</v>
      </c>
      <c r="G903" s="74" t="s">
        <v>979</v>
      </c>
      <c r="H903" s="75" t="n">
        <v>15.9</v>
      </c>
      <c r="I903" s="21" t="n">
        <v>16.7</v>
      </c>
      <c r="J903" s="52" t="n">
        <v>4.8</v>
      </c>
      <c r="K903" s="19" t="s">
        <v>3072</v>
      </c>
      <c r="L903" s="20" t="s">
        <v>3073</v>
      </c>
      <c r="M903" s="20" t="s">
        <v>3074</v>
      </c>
      <c r="N903" s="22" t="s">
        <v>91</v>
      </c>
      <c r="O903" s="20" t="s">
        <v>949</v>
      </c>
      <c r="P903" s="20" t="s">
        <v>119</v>
      </c>
      <c r="Q903" s="20" t="s">
        <v>1016</v>
      </c>
      <c r="R903" s="76" t="s">
        <v>95</v>
      </c>
      <c r="S903" s="0" t="n">
        <f aca="false">IF(Recherche!$B$4="",0,IF(ISNUMBER(SEARCH(Recherche!$B$4,D903))+ISNUMBER(SEARCH(Recherche!$B$4,K903))&gt;0,1,0))</f>
        <v>0</v>
      </c>
      <c r="T903" s="0" t="str">
        <f aca="false">IF(S903=1,SUM($S$2:S903),"")</f>
        <v/>
      </c>
    </row>
    <row r="904" customFormat="false" ht="23.85" hidden="false" customHeight="false" outlineLevel="0" collapsed="false">
      <c r="A904" s="24" t="s">
        <v>3071</v>
      </c>
      <c r="B904" s="24" t="s">
        <v>68</v>
      </c>
      <c r="C904" s="24" t="s">
        <v>1680</v>
      </c>
      <c r="D904" s="23" t="s">
        <v>789</v>
      </c>
      <c r="E904" s="26" t="s">
        <v>790</v>
      </c>
      <c r="F904" s="74" t="s">
        <v>82</v>
      </c>
      <c r="G904" s="74" t="s">
        <v>943</v>
      </c>
      <c r="H904" s="75" t="n">
        <v>29.2</v>
      </c>
      <c r="I904" s="25"/>
      <c r="J904" s="58"/>
      <c r="K904" s="23" t="s">
        <v>3075</v>
      </c>
      <c r="L904" s="24"/>
      <c r="M904" s="24" t="s">
        <v>3076</v>
      </c>
      <c r="N904" s="26" t="s">
        <v>91</v>
      </c>
      <c r="O904" s="24"/>
      <c r="P904" s="24" t="s">
        <v>290</v>
      </c>
      <c r="Q904" s="24" t="s">
        <v>1016</v>
      </c>
      <c r="R904" s="73" t="s">
        <v>95</v>
      </c>
      <c r="S904" s="0" t="n">
        <f aca="false">IF(Recherche!$B$4="",0,IF(ISNUMBER(SEARCH(Recherche!$B$4,D904))+ISNUMBER(SEARCH(Recherche!$B$4,K904))&gt;0,1,0))</f>
        <v>0</v>
      </c>
      <c r="T904" s="0" t="str">
        <f aca="false">IF(S904=1,SUM($S$2:S904),"")</f>
        <v/>
      </c>
    </row>
    <row r="905" customFormat="false" ht="15" hidden="false" customHeight="false" outlineLevel="0" collapsed="false">
      <c r="A905" s="20" t="s">
        <v>3071</v>
      </c>
      <c r="B905" s="20" t="s">
        <v>68</v>
      </c>
      <c r="C905" s="20" t="s">
        <v>1680</v>
      </c>
      <c r="D905" s="19" t="s">
        <v>789</v>
      </c>
      <c r="E905" s="22" t="s">
        <v>790</v>
      </c>
      <c r="F905" s="20" t="s">
        <v>76</v>
      </c>
      <c r="G905" s="20" t="s">
        <v>939</v>
      </c>
      <c r="H905" s="21" t="n">
        <v>30.95</v>
      </c>
      <c r="I905" s="21"/>
      <c r="J905" s="52"/>
      <c r="K905" s="19" t="s">
        <v>791</v>
      </c>
      <c r="L905" s="20" t="s">
        <v>3077</v>
      </c>
      <c r="M905" s="20" t="s">
        <v>3078</v>
      </c>
      <c r="N905" s="22" t="s">
        <v>790</v>
      </c>
      <c r="O905" s="20"/>
      <c r="P905" s="20" t="s">
        <v>93</v>
      </c>
      <c r="Q905" s="20" t="s">
        <v>963</v>
      </c>
      <c r="R905" s="76" t="s">
        <v>95</v>
      </c>
      <c r="S905" s="0" t="n">
        <f aca="false">IF(Recherche!$B$4="",0,IF(ISNUMBER(SEARCH(Recherche!$B$4,D905))+ISNUMBER(SEARCH(Recherche!$B$4,K905))&gt;0,1,0))</f>
        <v>0</v>
      </c>
      <c r="T905" s="0" t="str">
        <f aca="false">IF(S905=1,SUM($S$2:S905),"")</f>
        <v/>
      </c>
    </row>
    <row r="906" customFormat="false" ht="23.85" hidden="false" customHeight="false" outlineLevel="0" collapsed="false">
      <c r="A906" s="24" t="s">
        <v>3071</v>
      </c>
      <c r="B906" s="24" t="s">
        <v>68</v>
      </c>
      <c r="C906" s="24" t="s">
        <v>1680</v>
      </c>
      <c r="D906" s="23" t="s">
        <v>789</v>
      </c>
      <c r="E906" s="26" t="s">
        <v>790</v>
      </c>
      <c r="F906" s="24" t="s">
        <v>80</v>
      </c>
      <c r="G906" s="24" t="s">
        <v>939</v>
      </c>
      <c r="H906" s="25" t="n">
        <v>44.45</v>
      </c>
      <c r="I906" s="25"/>
      <c r="J906" s="58"/>
      <c r="K906" s="23" t="s">
        <v>3079</v>
      </c>
      <c r="L906" s="24"/>
      <c r="M906" s="24" t="s">
        <v>3080</v>
      </c>
      <c r="N906" s="26" t="s">
        <v>91</v>
      </c>
      <c r="O906" s="24"/>
      <c r="P906" s="24" t="s">
        <v>303</v>
      </c>
      <c r="Q906" s="24" t="s">
        <v>942</v>
      </c>
      <c r="R906" s="73" t="s">
        <v>95</v>
      </c>
      <c r="S906" s="0" t="n">
        <f aca="false">IF(Recherche!$B$4="",0,IF(ISNUMBER(SEARCH(Recherche!$B$4,D906))+ISNUMBER(SEARCH(Recherche!$B$4,K906))&gt;0,1,0))</f>
        <v>0</v>
      </c>
      <c r="T906" s="0" t="str">
        <f aca="false">IF(S906=1,SUM($S$2:S906),"")</f>
        <v/>
      </c>
    </row>
    <row r="907" customFormat="false" ht="23.85" hidden="false" customHeight="false" outlineLevel="0" collapsed="false">
      <c r="A907" s="20" t="s">
        <v>3081</v>
      </c>
      <c r="B907" s="20" t="s">
        <v>68</v>
      </c>
      <c r="C907" s="20" t="s">
        <v>1680</v>
      </c>
      <c r="D907" s="19" t="s">
        <v>792</v>
      </c>
      <c r="E907" s="22" t="s">
        <v>374</v>
      </c>
      <c r="F907" s="20" t="s">
        <v>80</v>
      </c>
      <c r="G907" s="20" t="s">
        <v>939</v>
      </c>
      <c r="H907" s="21" t="n">
        <v>6.6</v>
      </c>
      <c r="I907" s="21"/>
      <c r="J907" s="52"/>
      <c r="K907" s="19" t="s">
        <v>3082</v>
      </c>
      <c r="L907" s="20"/>
      <c r="M907" s="20" t="s">
        <v>3083</v>
      </c>
      <c r="N907" s="22" t="s">
        <v>91</v>
      </c>
      <c r="O907" s="20"/>
      <c r="P907" s="20" t="s">
        <v>303</v>
      </c>
      <c r="Q907" s="20" t="s">
        <v>1085</v>
      </c>
      <c r="R907" s="76" t="s">
        <v>95</v>
      </c>
      <c r="S907" s="0" t="n">
        <f aca="false">IF(Recherche!$B$4="",0,IF(ISNUMBER(SEARCH(Recherche!$B$4,D907))+ISNUMBER(SEARCH(Recherche!$B$4,K907))&gt;0,1,0))</f>
        <v>0</v>
      </c>
      <c r="T907" s="0" t="str">
        <f aca="false">IF(S907=1,SUM($S$2:S907),"")</f>
        <v/>
      </c>
    </row>
    <row r="908" customFormat="false" ht="15" hidden="false" customHeight="false" outlineLevel="0" collapsed="false">
      <c r="A908" s="24" t="s">
        <v>3081</v>
      </c>
      <c r="B908" s="24" t="s">
        <v>68</v>
      </c>
      <c r="C908" s="24" t="s">
        <v>1680</v>
      </c>
      <c r="D908" s="23" t="s">
        <v>792</v>
      </c>
      <c r="E908" s="26" t="s">
        <v>374</v>
      </c>
      <c r="F908" s="24" t="s">
        <v>76</v>
      </c>
      <c r="G908" s="24" t="s">
        <v>939</v>
      </c>
      <c r="H908" s="25" t="n">
        <v>23.7</v>
      </c>
      <c r="I908" s="25"/>
      <c r="J908" s="58"/>
      <c r="K908" s="23" t="s">
        <v>793</v>
      </c>
      <c r="L908" s="24" t="s">
        <v>3084</v>
      </c>
      <c r="M908" s="24" t="s">
        <v>3085</v>
      </c>
      <c r="N908" s="26" t="s">
        <v>374</v>
      </c>
      <c r="O908" s="24"/>
      <c r="P908" s="24" t="s">
        <v>93</v>
      </c>
      <c r="Q908" s="24" t="s">
        <v>1085</v>
      </c>
      <c r="R908" s="73" t="s">
        <v>95</v>
      </c>
      <c r="S908" s="0" t="n">
        <f aca="false">IF(Recherche!$B$4="",0,IF(ISNUMBER(SEARCH(Recherche!$B$4,D908))+ISNUMBER(SEARCH(Recherche!$B$4,K908))&gt;0,1,0))</f>
        <v>0</v>
      </c>
      <c r="T908" s="0" t="str">
        <f aca="false">IF(S908=1,SUM($S$2:S908),"")</f>
        <v/>
      </c>
    </row>
    <row r="909" customFormat="false" ht="23.85" hidden="false" customHeight="false" outlineLevel="0" collapsed="false">
      <c r="A909" s="20" t="s">
        <v>3086</v>
      </c>
      <c r="B909" s="20" t="s">
        <v>68</v>
      </c>
      <c r="C909" s="20" t="s">
        <v>3087</v>
      </c>
      <c r="D909" s="19" t="s">
        <v>794</v>
      </c>
      <c r="E909" s="22" t="s">
        <v>374</v>
      </c>
      <c r="F909" s="74" t="s">
        <v>82</v>
      </c>
      <c r="G909" s="74" t="s">
        <v>943</v>
      </c>
      <c r="H909" s="75" t="n">
        <v>3.5</v>
      </c>
      <c r="I909" s="21"/>
      <c r="J909" s="52"/>
      <c r="K909" s="19" t="s">
        <v>3088</v>
      </c>
      <c r="L909" s="20"/>
      <c r="M909" s="20" t="s">
        <v>3089</v>
      </c>
      <c r="N909" s="22" t="s">
        <v>91</v>
      </c>
      <c r="O909" s="20"/>
      <c r="P909" s="20" t="s">
        <v>290</v>
      </c>
      <c r="Q909" s="20" t="s">
        <v>1380</v>
      </c>
      <c r="R909" s="76" t="s">
        <v>95</v>
      </c>
      <c r="S909" s="0" t="n">
        <f aca="false">IF(Recherche!$B$4="",0,IF(ISNUMBER(SEARCH(Recherche!$B$4,D909))+ISNUMBER(SEARCH(Recherche!$B$4,K909))&gt;0,1,0))</f>
        <v>0</v>
      </c>
      <c r="T909" s="0" t="str">
        <f aca="false">IF(S909=1,SUM($S$2:S909),"")</f>
        <v/>
      </c>
    </row>
    <row r="910" customFormat="false" ht="23.85" hidden="false" customHeight="false" outlineLevel="0" collapsed="false">
      <c r="A910" s="24" t="s">
        <v>3086</v>
      </c>
      <c r="B910" s="24" t="s">
        <v>68</v>
      </c>
      <c r="C910" s="24" t="s">
        <v>3087</v>
      </c>
      <c r="D910" s="23" t="s">
        <v>794</v>
      </c>
      <c r="E910" s="26" t="s">
        <v>374</v>
      </c>
      <c r="F910" s="24" t="s">
        <v>80</v>
      </c>
      <c r="G910" s="24" t="s">
        <v>939</v>
      </c>
      <c r="H910" s="25" t="n">
        <v>4.57</v>
      </c>
      <c r="I910" s="25"/>
      <c r="J910" s="58"/>
      <c r="K910" s="23" t="s">
        <v>3090</v>
      </c>
      <c r="L910" s="24"/>
      <c r="M910" s="24" t="s">
        <v>3091</v>
      </c>
      <c r="N910" s="26" t="s">
        <v>91</v>
      </c>
      <c r="O910" s="24"/>
      <c r="P910" s="24" t="s">
        <v>303</v>
      </c>
      <c r="Q910" s="24" t="s">
        <v>942</v>
      </c>
      <c r="R910" s="73" t="s">
        <v>95</v>
      </c>
      <c r="S910" s="0" t="n">
        <f aca="false">IF(Recherche!$B$4="",0,IF(ISNUMBER(SEARCH(Recherche!$B$4,D910))+ISNUMBER(SEARCH(Recherche!$B$4,K910))&gt;0,1,0))</f>
        <v>0</v>
      </c>
      <c r="T910" s="0" t="str">
        <f aca="false">IF(S910=1,SUM($S$2:S910),"")</f>
        <v/>
      </c>
    </row>
    <row r="911" customFormat="false" ht="23.85" hidden="false" customHeight="false" outlineLevel="0" collapsed="false">
      <c r="A911" s="20" t="s">
        <v>3086</v>
      </c>
      <c r="B911" s="20" t="s">
        <v>68</v>
      </c>
      <c r="C911" s="20" t="s">
        <v>3087</v>
      </c>
      <c r="D911" s="19" t="s">
        <v>794</v>
      </c>
      <c r="E911" s="22" t="s">
        <v>374</v>
      </c>
      <c r="F911" s="20" t="s">
        <v>76</v>
      </c>
      <c r="G911" s="20" t="s">
        <v>939</v>
      </c>
      <c r="H911" s="21" t="n">
        <v>20.88</v>
      </c>
      <c r="I911" s="21"/>
      <c r="J911" s="52"/>
      <c r="K911" s="19" t="s">
        <v>795</v>
      </c>
      <c r="L911" s="20" t="s">
        <v>2763</v>
      </c>
      <c r="M911" s="20" t="s">
        <v>3092</v>
      </c>
      <c r="N911" s="22" t="s">
        <v>374</v>
      </c>
      <c r="O911" s="20"/>
      <c r="P911" s="20" t="s">
        <v>93</v>
      </c>
      <c r="Q911" s="20" t="s">
        <v>942</v>
      </c>
      <c r="R911" s="76" t="s">
        <v>95</v>
      </c>
      <c r="S911" s="0" t="n">
        <f aca="false">IF(Recherche!$B$4="",0,IF(ISNUMBER(SEARCH(Recherche!$B$4,D911))+ISNUMBER(SEARCH(Recherche!$B$4,K911))&gt;0,1,0))</f>
        <v>0</v>
      </c>
      <c r="T911" s="0" t="str">
        <f aca="false">IF(S911=1,SUM($S$2:S911),"")</f>
        <v/>
      </c>
    </row>
    <row r="912" customFormat="false" ht="23.85" hidden="false" customHeight="false" outlineLevel="0" collapsed="false">
      <c r="A912" s="24" t="s">
        <v>3086</v>
      </c>
      <c r="B912" s="24" t="s">
        <v>68</v>
      </c>
      <c r="C912" s="24" t="s">
        <v>3087</v>
      </c>
      <c r="D912" s="23" t="s">
        <v>794</v>
      </c>
      <c r="E912" s="26" t="s">
        <v>374</v>
      </c>
      <c r="F912" s="74" t="s">
        <v>81</v>
      </c>
      <c r="G912" s="74" t="s">
        <v>979</v>
      </c>
      <c r="H912" s="75" t="n">
        <v>28</v>
      </c>
      <c r="I912" s="25" t="n">
        <v>29.5</v>
      </c>
      <c r="J912" s="58" t="n">
        <v>5.1</v>
      </c>
      <c r="K912" s="23" t="s">
        <v>3093</v>
      </c>
      <c r="L912" s="24" t="s">
        <v>2544</v>
      </c>
      <c r="M912" s="24" t="s">
        <v>3094</v>
      </c>
      <c r="N912" s="26" t="s">
        <v>1056</v>
      </c>
      <c r="O912" s="24" t="s">
        <v>1056</v>
      </c>
      <c r="P912" s="24" t="s">
        <v>119</v>
      </c>
      <c r="Q912" s="24" t="s">
        <v>1007</v>
      </c>
      <c r="R912" s="73" t="s">
        <v>95</v>
      </c>
      <c r="S912" s="0" t="n">
        <f aca="false">IF(Recherche!$B$4="",0,IF(ISNUMBER(SEARCH(Recherche!$B$4,D912))+ISNUMBER(SEARCH(Recherche!$B$4,K912))&gt;0,1,0))</f>
        <v>0</v>
      </c>
      <c r="T912" s="0" t="str">
        <f aca="false">IF(S912=1,SUM($S$2:S912),"")</f>
        <v/>
      </c>
    </row>
    <row r="913" customFormat="false" ht="15" hidden="false" customHeight="false" outlineLevel="0" collapsed="false">
      <c r="A913" s="20" t="s">
        <v>3095</v>
      </c>
      <c r="B913" s="20" t="s">
        <v>68</v>
      </c>
      <c r="C913" s="20" t="s">
        <v>3087</v>
      </c>
      <c r="D913" s="19" t="s">
        <v>796</v>
      </c>
      <c r="E913" s="22" t="s">
        <v>91</v>
      </c>
      <c r="F913" s="20" t="s">
        <v>76</v>
      </c>
      <c r="G913" s="20" t="s">
        <v>939</v>
      </c>
      <c r="H913" s="21" t="n">
        <v>34.38</v>
      </c>
      <c r="I913" s="21"/>
      <c r="J913" s="52"/>
      <c r="K913" s="19" t="s">
        <v>797</v>
      </c>
      <c r="L913" s="20" t="s">
        <v>2071</v>
      </c>
      <c r="M913" s="20" t="s">
        <v>3096</v>
      </c>
      <c r="N913" s="22" t="s">
        <v>91</v>
      </c>
      <c r="O913" s="20"/>
      <c r="P913" s="20" t="s">
        <v>93</v>
      </c>
      <c r="Q913" s="20" t="s">
        <v>942</v>
      </c>
      <c r="R913" s="76" t="s">
        <v>95</v>
      </c>
      <c r="S913" s="0" t="n">
        <f aca="false">IF(Recherche!$B$4="",0,IF(ISNUMBER(SEARCH(Recherche!$B$4,D913))+ISNUMBER(SEARCH(Recherche!$B$4,K913))&gt;0,1,0))</f>
        <v>0</v>
      </c>
      <c r="T913" s="0" t="str">
        <f aca="false">IF(S913=1,SUM($S$2:S913),"")</f>
        <v/>
      </c>
    </row>
    <row r="914" customFormat="false" ht="15" hidden="false" customHeight="false" outlineLevel="0" collapsed="false">
      <c r="A914" s="24" t="s">
        <v>3097</v>
      </c>
      <c r="B914" s="24" t="s">
        <v>68</v>
      </c>
      <c r="C914" s="24" t="s">
        <v>3087</v>
      </c>
      <c r="D914" s="23" t="s">
        <v>798</v>
      </c>
      <c r="E914" s="26" t="s">
        <v>91</v>
      </c>
      <c r="F914" s="24" t="s">
        <v>80</v>
      </c>
      <c r="G914" s="24" t="s">
        <v>939</v>
      </c>
      <c r="H914" s="25" t="n">
        <v>24.85</v>
      </c>
      <c r="I914" s="25"/>
      <c r="J914" s="58"/>
      <c r="K914" s="23" t="s">
        <v>799</v>
      </c>
      <c r="L914" s="24"/>
      <c r="M914" s="24" t="s">
        <v>3098</v>
      </c>
      <c r="N914" s="26" t="s">
        <v>91</v>
      </c>
      <c r="O914" s="24"/>
      <c r="P914" s="24" t="s">
        <v>303</v>
      </c>
      <c r="Q914" s="24" t="s">
        <v>942</v>
      </c>
      <c r="R914" s="73" t="s">
        <v>95</v>
      </c>
      <c r="S914" s="0" t="n">
        <f aca="false">IF(Recherche!$B$4="",0,IF(ISNUMBER(SEARCH(Recherche!$B$4,D914))+ISNUMBER(SEARCH(Recherche!$B$4,K914))&gt;0,1,0))</f>
        <v>0</v>
      </c>
      <c r="T914" s="0" t="str">
        <f aca="false">IF(S914=1,SUM($S$2:S914),"")</f>
        <v/>
      </c>
    </row>
    <row r="915" customFormat="false" ht="23.85" hidden="false" customHeight="false" outlineLevel="0" collapsed="false">
      <c r="A915" s="20" t="s">
        <v>3097</v>
      </c>
      <c r="B915" s="20" t="s">
        <v>68</v>
      </c>
      <c r="C915" s="20" t="s">
        <v>3087</v>
      </c>
      <c r="D915" s="19" t="s">
        <v>798</v>
      </c>
      <c r="E915" s="22" t="s">
        <v>91</v>
      </c>
      <c r="F915" s="74" t="s">
        <v>81</v>
      </c>
      <c r="G915" s="74" t="s">
        <v>979</v>
      </c>
      <c r="H915" s="75" t="n">
        <v>47.35</v>
      </c>
      <c r="I915" s="21" t="n">
        <v>49.87</v>
      </c>
      <c r="J915" s="52" t="n">
        <v>5.1</v>
      </c>
      <c r="K915" s="19" t="s">
        <v>3099</v>
      </c>
      <c r="L915" s="20" t="s">
        <v>3100</v>
      </c>
      <c r="M915" s="20" t="s">
        <v>3101</v>
      </c>
      <c r="N915" s="22" t="s">
        <v>91</v>
      </c>
      <c r="O915" s="20" t="s">
        <v>949</v>
      </c>
      <c r="P915" s="20" t="s">
        <v>119</v>
      </c>
      <c r="Q915" s="20" t="s">
        <v>1007</v>
      </c>
      <c r="R915" s="76" t="s">
        <v>95</v>
      </c>
      <c r="S915" s="0" t="n">
        <f aca="false">IF(Recherche!$B$4="",0,IF(ISNUMBER(SEARCH(Recherche!$B$4,D915))+ISNUMBER(SEARCH(Recherche!$B$4,K915))&gt;0,1,0))</f>
        <v>0</v>
      </c>
      <c r="T915" s="0" t="str">
        <f aca="false">IF(S915=1,SUM($S$2:S915),"")</f>
        <v/>
      </c>
    </row>
    <row r="916" customFormat="false" ht="23.85" hidden="false" customHeight="false" outlineLevel="0" collapsed="false">
      <c r="A916" s="24" t="s">
        <v>3097</v>
      </c>
      <c r="B916" s="24" t="s">
        <v>68</v>
      </c>
      <c r="C916" s="24" t="s">
        <v>3087</v>
      </c>
      <c r="D916" s="23" t="s">
        <v>798</v>
      </c>
      <c r="E916" s="26" t="s">
        <v>91</v>
      </c>
      <c r="F916" s="74" t="s">
        <v>82</v>
      </c>
      <c r="G916" s="74" t="s">
        <v>943</v>
      </c>
      <c r="H916" s="75" t="n">
        <v>48.87</v>
      </c>
      <c r="I916" s="25"/>
      <c r="J916" s="58"/>
      <c r="K916" s="23" t="s">
        <v>3102</v>
      </c>
      <c r="L916" s="24"/>
      <c r="M916" s="24" t="s">
        <v>3103</v>
      </c>
      <c r="N916" s="26" t="s">
        <v>91</v>
      </c>
      <c r="O916" s="24"/>
      <c r="P916" s="24" t="s">
        <v>290</v>
      </c>
      <c r="Q916" s="24" t="s">
        <v>1380</v>
      </c>
      <c r="R916" s="73" t="s">
        <v>95</v>
      </c>
      <c r="S916" s="0" t="n">
        <f aca="false">IF(Recherche!$B$4="",0,IF(ISNUMBER(SEARCH(Recherche!$B$4,D916))+ISNUMBER(SEARCH(Recherche!$B$4,K916))&gt;0,1,0))</f>
        <v>0</v>
      </c>
      <c r="T916" s="0" t="str">
        <f aca="false">IF(S916=1,SUM($S$2:S916),"")</f>
        <v/>
      </c>
    </row>
    <row r="917" customFormat="false" ht="23.85" hidden="false" customHeight="false" outlineLevel="0" collapsed="false">
      <c r="A917" s="20" t="s">
        <v>3097</v>
      </c>
      <c r="B917" s="20" t="s">
        <v>68</v>
      </c>
      <c r="C917" s="20" t="s">
        <v>3087</v>
      </c>
      <c r="D917" s="19" t="s">
        <v>798</v>
      </c>
      <c r="E917" s="22" t="s">
        <v>91</v>
      </c>
      <c r="F917" s="20" t="s">
        <v>76</v>
      </c>
      <c r="G917" s="20" t="s">
        <v>939</v>
      </c>
      <c r="H917" s="21" t="n">
        <v>101.95</v>
      </c>
      <c r="I917" s="21"/>
      <c r="J917" s="52"/>
      <c r="K917" s="19" t="s">
        <v>3104</v>
      </c>
      <c r="L917" s="20" t="s">
        <v>3105</v>
      </c>
      <c r="M917" s="20" t="s">
        <v>3106</v>
      </c>
      <c r="N917" s="22" t="s">
        <v>91</v>
      </c>
      <c r="O917" s="20"/>
      <c r="P917" s="20" t="s">
        <v>93</v>
      </c>
      <c r="Q917" s="20" t="s">
        <v>942</v>
      </c>
      <c r="R917" s="76" t="s">
        <v>95</v>
      </c>
      <c r="S917" s="0" t="n">
        <f aca="false">IF(Recherche!$B$4="",0,IF(ISNUMBER(SEARCH(Recherche!$B$4,D917))+ISNUMBER(SEARCH(Recherche!$B$4,K917))&gt;0,1,0))</f>
        <v>0</v>
      </c>
      <c r="T917" s="0" t="str">
        <f aca="false">IF(S917=1,SUM($S$2:S917),"")</f>
        <v/>
      </c>
    </row>
    <row r="918" customFormat="false" ht="15" hidden="false" customHeight="false" outlineLevel="0" collapsed="false">
      <c r="A918" s="24" t="s">
        <v>3107</v>
      </c>
      <c r="B918" s="24" t="s">
        <v>69</v>
      </c>
      <c r="C918" s="24" t="s">
        <v>3108</v>
      </c>
      <c r="D918" s="23" t="s">
        <v>800</v>
      </c>
      <c r="E918" s="26" t="s">
        <v>91</v>
      </c>
      <c r="F918" s="74" t="s">
        <v>81</v>
      </c>
      <c r="G918" s="74" t="s">
        <v>979</v>
      </c>
      <c r="H918" s="75" t="n">
        <v>5.31</v>
      </c>
      <c r="I918" s="25" t="n">
        <v>5.59</v>
      </c>
      <c r="J918" s="58" t="n">
        <v>5</v>
      </c>
      <c r="K918" s="23" t="s">
        <v>801</v>
      </c>
      <c r="L918" s="24" t="s">
        <v>1761</v>
      </c>
      <c r="M918" s="24" t="s">
        <v>3109</v>
      </c>
      <c r="N918" s="26" t="s">
        <v>91</v>
      </c>
      <c r="O918" s="24" t="s">
        <v>75</v>
      </c>
      <c r="P918" s="24" t="s">
        <v>169</v>
      </c>
      <c r="Q918" s="24" t="s">
        <v>1007</v>
      </c>
      <c r="R918" s="73" t="s">
        <v>95</v>
      </c>
      <c r="S918" s="0" t="n">
        <f aca="false">IF(Recherche!$B$4="",0,IF(ISNUMBER(SEARCH(Recherche!$B$4,D918))+ISNUMBER(SEARCH(Recherche!$B$4,K918))&gt;0,1,0))</f>
        <v>0</v>
      </c>
      <c r="T918" s="0" t="str">
        <f aca="false">IF(S918=1,SUM($S$2:S918),"")</f>
        <v/>
      </c>
    </row>
    <row r="919" customFormat="false" ht="23.85" hidden="false" customHeight="false" outlineLevel="0" collapsed="false">
      <c r="A919" s="20" t="s">
        <v>3107</v>
      </c>
      <c r="B919" s="20" t="s">
        <v>69</v>
      </c>
      <c r="C919" s="20" t="s">
        <v>3108</v>
      </c>
      <c r="D919" s="19" t="s">
        <v>800</v>
      </c>
      <c r="E919" s="22" t="s">
        <v>91</v>
      </c>
      <c r="F919" s="20" t="s">
        <v>76</v>
      </c>
      <c r="G919" s="20" t="s">
        <v>939</v>
      </c>
      <c r="H919" s="21" t="n">
        <v>162.98</v>
      </c>
      <c r="I919" s="21"/>
      <c r="J919" s="52"/>
      <c r="K919" s="19" t="s">
        <v>3110</v>
      </c>
      <c r="L919" s="20" t="s">
        <v>3026</v>
      </c>
      <c r="M919" s="20" t="s">
        <v>3111</v>
      </c>
      <c r="N919" s="22" t="s">
        <v>91</v>
      </c>
      <c r="O919" s="20"/>
      <c r="P919" s="20" t="s">
        <v>93</v>
      </c>
      <c r="Q919" s="20" t="s">
        <v>942</v>
      </c>
      <c r="R919" s="76" t="s">
        <v>95</v>
      </c>
      <c r="S919" s="0" t="n">
        <f aca="false">IF(Recherche!$B$4="",0,IF(ISNUMBER(SEARCH(Recherche!$B$4,D919))+ISNUMBER(SEARCH(Recherche!$B$4,K919))&gt;0,1,0))</f>
        <v>0</v>
      </c>
      <c r="T919" s="0" t="str">
        <f aca="false">IF(S919=1,SUM($S$2:S919),"")</f>
        <v/>
      </c>
    </row>
    <row r="920" customFormat="false" ht="35.05" hidden="false" customHeight="false" outlineLevel="0" collapsed="false">
      <c r="A920" s="24" t="s">
        <v>3107</v>
      </c>
      <c r="B920" s="24" t="s">
        <v>69</v>
      </c>
      <c r="C920" s="24" t="s">
        <v>3108</v>
      </c>
      <c r="D920" s="23" t="s">
        <v>800</v>
      </c>
      <c r="E920" s="26" t="s">
        <v>91</v>
      </c>
      <c r="F920" s="74" t="s">
        <v>82</v>
      </c>
      <c r="G920" s="74" t="s">
        <v>943</v>
      </c>
      <c r="H920" s="75" t="n">
        <v>629</v>
      </c>
      <c r="I920" s="25"/>
      <c r="J920" s="58"/>
      <c r="K920" s="23" t="s">
        <v>3112</v>
      </c>
      <c r="L920" s="24"/>
      <c r="M920" s="24" t="s">
        <v>3113</v>
      </c>
      <c r="N920" s="26" t="s">
        <v>91</v>
      </c>
      <c r="O920" s="24"/>
      <c r="P920" s="24" t="s">
        <v>290</v>
      </c>
      <c r="Q920" s="24" t="s">
        <v>1380</v>
      </c>
      <c r="R920" s="73" t="s">
        <v>95</v>
      </c>
      <c r="S920" s="0" t="n">
        <f aca="false">IF(Recherche!$B$4="",0,IF(ISNUMBER(SEARCH(Recherche!$B$4,D920))+ISNUMBER(SEARCH(Recherche!$B$4,K920))&gt;0,1,0))</f>
        <v>0</v>
      </c>
      <c r="T920" s="0" t="str">
        <f aca="false">IF(S920=1,SUM($S$2:S920),"")</f>
        <v/>
      </c>
    </row>
    <row r="921" customFormat="false" ht="23.85" hidden="false" customHeight="false" outlineLevel="0" collapsed="false">
      <c r="A921" s="20" t="s">
        <v>3107</v>
      </c>
      <c r="B921" s="20" t="s">
        <v>69</v>
      </c>
      <c r="C921" s="20" t="s">
        <v>3108</v>
      </c>
      <c r="D921" s="19" t="s">
        <v>800</v>
      </c>
      <c r="E921" s="22" t="s">
        <v>91</v>
      </c>
      <c r="F921" s="20" t="s">
        <v>80</v>
      </c>
      <c r="G921" s="20" t="s">
        <v>939</v>
      </c>
      <c r="H921" s="21" t="n">
        <v>716</v>
      </c>
      <c r="I921" s="21"/>
      <c r="J921" s="52"/>
      <c r="K921" s="19" t="s">
        <v>3114</v>
      </c>
      <c r="L921" s="20"/>
      <c r="M921" s="20" t="s">
        <v>3115</v>
      </c>
      <c r="N921" s="22" t="s">
        <v>91</v>
      </c>
      <c r="O921" s="20"/>
      <c r="P921" s="20" t="s">
        <v>303</v>
      </c>
      <c r="Q921" s="20" t="s">
        <v>942</v>
      </c>
      <c r="R921" s="76" t="s">
        <v>95</v>
      </c>
      <c r="S921" s="0" t="n">
        <f aca="false">IF(Recherche!$B$4="",0,IF(ISNUMBER(SEARCH(Recherche!$B$4,D921))+ISNUMBER(SEARCH(Recherche!$B$4,K921))&gt;0,1,0))</f>
        <v>0</v>
      </c>
      <c r="T921" s="0" t="str">
        <f aca="false">IF(S921=1,SUM($S$2:S921),"")</f>
        <v/>
      </c>
    </row>
    <row r="922" customFormat="false" ht="15" hidden="false" customHeight="false" outlineLevel="0" collapsed="false">
      <c r="A922" s="24" t="s">
        <v>3116</v>
      </c>
      <c r="B922" s="24" t="s">
        <v>69</v>
      </c>
      <c r="C922" s="24" t="s">
        <v>3108</v>
      </c>
      <c r="D922" s="23" t="s">
        <v>802</v>
      </c>
      <c r="E922" s="26" t="s">
        <v>91</v>
      </c>
      <c r="F922" s="74" t="s">
        <v>81</v>
      </c>
      <c r="G922" s="74" t="s">
        <v>979</v>
      </c>
      <c r="H922" s="75" t="n">
        <v>127.37</v>
      </c>
      <c r="I922" s="25" t="n">
        <v>134</v>
      </c>
      <c r="J922" s="58" t="n">
        <v>4.9</v>
      </c>
      <c r="K922" s="23" t="s">
        <v>803</v>
      </c>
      <c r="L922" s="24" t="s">
        <v>3117</v>
      </c>
      <c r="M922" s="24" t="s">
        <v>3118</v>
      </c>
      <c r="N922" s="26" t="s">
        <v>91</v>
      </c>
      <c r="O922" s="24" t="s">
        <v>949</v>
      </c>
      <c r="P922" s="24" t="s">
        <v>169</v>
      </c>
      <c r="Q922" s="24" t="s">
        <v>1007</v>
      </c>
      <c r="R922" s="73" t="s">
        <v>95</v>
      </c>
      <c r="S922" s="0" t="n">
        <f aca="false">IF(Recherche!$B$4="",0,IF(ISNUMBER(SEARCH(Recherche!$B$4,D922))+ISNUMBER(SEARCH(Recherche!$B$4,K922))&gt;0,1,0))</f>
        <v>0</v>
      </c>
      <c r="T922" s="0" t="str">
        <f aca="false">IF(S922=1,SUM($S$2:S922),"")</f>
        <v/>
      </c>
    </row>
    <row r="923" customFormat="false" ht="23.85" hidden="false" customHeight="false" outlineLevel="0" collapsed="false">
      <c r="A923" s="20" t="s">
        <v>3116</v>
      </c>
      <c r="B923" s="20" t="s">
        <v>69</v>
      </c>
      <c r="C923" s="20" t="s">
        <v>3108</v>
      </c>
      <c r="D923" s="19" t="s">
        <v>802</v>
      </c>
      <c r="E923" s="22" t="s">
        <v>91</v>
      </c>
      <c r="F923" s="20" t="s">
        <v>80</v>
      </c>
      <c r="G923" s="20" t="s">
        <v>939</v>
      </c>
      <c r="H923" s="21" t="n">
        <v>270.38</v>
      </c>
      <c r="I923" s="21"/>
      <c r="J923" s="52"/>
      <c r="K923" s="19" t="s">
        <v>3119</v>
      </c>
      <c r="L923" s="20"/>
      <c r="M923" s="20" t="s">
        <v>3120</v>
      </c>
      <c r="N923" s="22" t="s">
        <v>91</v>
      </c>
      <c r="O923" s="20"/>
      <c r="P923" s="20" t="s">
        <v>303</v>
      </c>
      <c r="Q923" s="20" t="s">
        <v>942</v>
      </c>
      <c r="R923" s="76" t="s">
        <v>95</v>
      </c>
      <c r="S923" s="0" t="n">
        <f aca="false">IF(Recherche!$B$4="",0,IF(ISNUMBER(SEARCH(Recherche!$B$4,D923))+ISNUMBER(SEARCH(Recherche!$B$4,K923))&gt;0,1,0))</f>
        <v>0</v>
      </c>
      <c r="T923" s="0" t="str">
        <f aca="false">IF(S923=1,SUM($S$2:S923),"")</f>
        <v/>
      </c>
    </row>
    <row r="924" customFormat="false" ht="23.85" hidden="false" customHeight="false" outlineLevel="0" collapsed="false">
      <c r="A924" s="24" t="s">
        <v>3116</v>
      </c>
      <c r="B924" s="24" t="s">
        <v>69</v>
      </c>
      <c r="C924" s="24" t="s">
        <v>3108</v>
      </c>
      <c r="D924" s="23" t="s">
        <v>802</v>
      </c>
      <c r="E924" s="26" t="s">
        <v>91</v>
      </c>
      <c r="F924" s="24" t="s">
        <v>76</v>
      </c>
      <c r="G924" s="24" t="s">
        <v>939</v>
      </c>
      <c r="H924" s="25" t="n">
        <v>1128.31</v>
      </c>
      <c r="I924" s="25"/>
      <c r="J924" s="58"/>
      <c r="K924" s="23" t="s">
        <v>3121</v>
      </c>
      <c r="L924" s="24" t="s">
        <v>1761</v>
      </c>
      <c r="M924" s="24" t="s">
        <v>3122</v>
      </c>
      <c r="N924" s="26" t="s">
        <v>91</v>
      </c>
      <c r="O924" s="24"/>
      <c r="P924" s="24" t="s">
        <v>93</v>
      </c>
      <c r="Q924" s="24" t="s">
        <v>942</v>
      </c>
      <c r="R924" s="73" t="s">
        <v>95</v>
      </c>
      <c r="S924" s="0" t="n">
        <f aca="false">IF(Recherche!$B$4="",0,IF(ISNUMBER(SEARCH(Recherche!$B$4,D924))+ISNUMBER(SEARCH(Recherche!$B$4,K924))&gt;0,1,0))</f>
        <v>0</v>
      </c>
      <c r="T924" s="0" t="str">
        <f aca="false">IF(S924=1,SUM($S$2:S924),"")</f>
        <v/>
      </c>
    </row>
    <row r="925" customFormat="false" ht="23.85" hidden="false" customHeight="false" outlineLevel="0" collapsed="false">
      <c r="A925" s="20" t="s">
        <v>3123</v>
      </c>
      <c r="B925" s="20" t="s">
        <v>69</v>
      </c>
      <c r="C925" s="20" t="s">
        <v>3108</v>
      </c>
      <c r="D925" s="19" t="s">
        <v>804</v>
      </c>
      <c r="E925" s="22" t="s">
        <v>91</v>
      </c>
      <c r="F925" s="74" t="s">
        <v>81</v>
      </c>
      <c r="G925" s="74" t="s">
        <v>979</v>
      </c>
      <c r="H925" s="75" t="n">
        <v>5.46</v>
      </c>
      <c r="I925" s="21" t="n">
        <v>5.75</v>
      </c>
      <c r="J925" s="52" t="n">
        <v>5</v>
      </c>
      <c r="K925" s="19" t="s">
        <v>805</v>
      </c>
      <c r="L925" s="20" t="s">
        <v>2057</v>
      </c>
      <c r="M925" s="20" t="s">
        <v>3124</v>
      </c>
      <c r="N925" s="22" t="s">
        <v>91</v>
      </c>
      <c r="O925" s="20" t="s">
        <v>949</v>
      </c>
      <c r="P925" s="20" t="s">
        <v>119</v>
      </c>
      <c r="Q925" s="20" t="s">
        <v>1007</v>
      </c>
      <c r="R925" s="76" t="s">
        <v>95</v>
      </c>
      <c r="S925" s="0" t="n">
        <f aca="false">IF(Recherche!$B$4="",0,IF(ISNUMBER(SEARCH(Recherche!$B$4,D925))+ISNUMBER(SEARCH(Recherche!$B$4,K925))&gt;0,1,0))</f>
        <v>0</v>
      </c>
      <c r="T925" s="0" t="str">
        <f aca="false">IF(S925=1,SUM($S$2:S925),"")</f>
        <v/>
      </c>
    </row>
    <row r="926" customFormat="false" ht="23.85" hidden="false" customHeight="false" outlineLevel="0" collapsed="false">
      <c r="A926" s="24" t="s">
        <v>3123</v>
      </c>
      <c r="B926" s="24" t="s">
        <v>69</v>
      </c>
      <c r="C926" s="24" t="s">
        <v>3108</v>
      </c>
      <c r="D926" s="23" t="s">
        <v>804</v>
      </c>
      <c r="E926" s="26" t="s">
        <v>91</v>
      </c>
      <c r="F926" s="24" t="s">
        <v>76</v>
      </c>
      <c r="G926" s="24" t="s">
        <v>939</v>
      </c>
      <c r="H926" s="25" t="n">
        <v>112.27</v>
      </c>
      <c r="I926" s="25"/>
      <c r="J926" s="58"/>
      <c r="K926" s="23" t="s">
        <v>3125</v>
      </c>
      <c r="L926" s="24" t="s">
        <v>3126</v>
      </c>
      <c r="M926" s="24" t="s">
        <v>3127</v>
      </c>
      <c r="N926" s="26" t="s">
        <v>91</v>
      </c>
      <c r="O926" s="24"/>
      <c r="P926" s="24" t="s">
        <v>93</v>
      </c>
      <c r="Q926" s="24" t="s">
        <v>942</v>
      </c>
      <c r="R926" s="73" t="s">
        <v>95</v>
      </c>
      <c r="S926" s="0" t="n">
        <f aca="false">IF(Recherche!$B$4="",0,IF(ISNUMBER(SEARCH(Recherche!$B$4,D926))+ISNUMBER(SEARCH(Recherche!$B$4,K926))&gt;0,1,0))</f>
        <v>0</v>
      </c>
      <c r="T926" s="0" t="str">
        <f aca="false">IF(S926=1,SUM($S$2:S926),"")</f>
        <v/>
      </c>
    </row>
    <row r="927" customFormat="false" ht="23.85" hidden="false" customHeight="false" outlineLevel="0" collapsed="false">
      <c r="A927" s="20" t="s">
        <v>3123</v>
      </c>
      <c r="B927" s="20" t="s">
        <v>69</v>
      </c>
      <c r="C927" s="20" t="s">
        <v>3108</v>
      </c>
      <c r="D927" s="19" t="s">
        <v>804</v>
      </c>
      <c r="E927" s="22" t="s">
        <v>91</v>
      </c>
      <c r="F927" s="74" t="s">
        <v>82</v>
      </c>
      <c r="G927" s="74" t="s">
        <v>943</v>
      </c>
      <c r="H927" s="75" t="n">
        <v>159</v>
      </c>
      <c r="I927" s="21"/>
      <c r="J927" s="52"/>
      <c r="K927" s="19" t="s">
        <v>3128</v>
      </c>
      <c r="L927" s="20"/>
      <c r="M927" s="20" t="s">
        <v>3129</v>
      </c>
      <c r="N927" s="22" t="s">
        <v>91</v>
      </c>
      <c r="O927" s="20"/>
      <c r="P927" s="20" t="s">
        <v>290</v>
      </c>
      <c r="Q927" s="20" t="s">
        <v>1380</v>
      </c>
      <c r="R927" s="76" t="s">
        <v>95</v>
      </c>
      <c r="S927" s="0" t="n">
        <f aca="false">IF(Recherche!$B$4="",0,IF(ISNUMBER(SEARCH(Recherche!$B$4,D927))+ISNUMBER(SEARCH(Recherche!$B$4,K927))&gt;0,1,0))</f>
        <v>0</v>
      </c>
      <c r="T927" s="0" t="str">
        <f aca="false">IF(S927=1,SUM($S$2:S927),"")</f>
        <v/>
      </c>
    </row>
    <row r="928" customFormat="false" ht="35.05" hidden="false" customHeight="false" outlineLevel="0" collapsed="false">
      <c r="A928" s="24" t="s">
        <v>3123</v>
      </c>
      <c r="B928" s="24" t="s">
        <v>69</v>
      </c>
      <c r="C928" s="24" t="s">
        <v>3108</v>
      </c>
      <c r="D928" s="23" t="s">
        <v>804</v>
      </c>
      <c r="E928" s="26" t="s">
        <v>91</v>
      </c>
      <c r="F928" s="24" t="s">
        <v>80</v>
      </c>
      <c r="G928" s="24" t="s">
        <v>939</v>
      </c>
      <c r="H928" s="25" t="n">
        <v>509</v>
      </c>
      <c r="I928" s="25"/>
      <c r="J928" s="58"/>
      <c r="K928" s="23" t="s">
        <v>3130</v>
      </c>
      <c r="L928" s="24"/>
      <c r="M928" s="24" t="s">
        <v>3131</v>
      </c>
      <c r="N928" s="26" t="s">
        <v>91</v>
      </c>
      <c r="O928" s="24"/>
      <c r="P928" s="24" t="s">
        <v>303</v>
      </c>
      <c r="Q928" s="24" t="s">
        <v>942</v>
      </c>
      <c r="R928" s="73" t="s">
        <v>95</v>
      </c>
      <c r="S928" s="0" t="n">
        <f aca="false">IF(Recherche!$B$4="",0,IF(ISNUMBER(SEARCH(Recherche!$B$4,D928))+ISNUMBER(SEARCH(Recherche!$B$4,K928))&gt;0,1,0))</f>
        <v>0</v>
      </c>
      <c r="T928" s="0" t="str">
        <f aca="false">IF(S928=1,SUM($S$2:S928),"")</f>
        <v/>
      </c>
    </row>
    <row r="929" customFormat="false" ht="15" hidden="false" customHeight="false" outlineLevel="0" collapsed="false">
      <c r="A929" s="20" t="s">
        <v>3132</v>
      </c>
      <c r="B929" s="20" t="s">
        <v>69</v>
      </c>
      <c r="C929" s="20" t="s">
        <v>3108</v>
      </c>
      <c r="D929" s="19" t="s">
        <v>806</v>
      </c>
      <c r="E929" s="22" t="s">
        <v>91</v>
      </c>
      <c r="F929" s="74" t="s">
        <v>81</v>
      </c>
      <c r="G929" s="74" t="s">
        <v>979</v>
      </c>
      <c r="H929" s="75" t="n">
        <v>43.4</v>
      </c>
      <c r="I929" s="21" t="n">
        <v>45.7</v>
      </c>
      <c r="J929" s="52" t="n">
        <v>5</v>
      </c>
      <c r="K929" s="19" t="s">
        <v>807</v>
      </c>
      <c r="L929" s="20" t="s">
        <v>3133</v>
      </c>
      <c r="M929" s="20" t="s">
        <v>3134</v>
      </c>
      <c r="N929" s="22" t="s">
        <v>91</v>
      </c>
      <c r="O929" s="20" t="s">
        <v>949</v>
      </c>
      <c r="P929" s="20" t="s">
        <v>169</v>
      </c>
      <c r="Q929" s="20" t="s">
        <v>1007</v>
      </c>
      <c r="R929" s="76" t="s">
        <v>95</v>
      </c>
      <c r="S929" s="0" t="n">
        <f aca="false">IF(Recherche!$B$4="",0,IF(ISNUMBER(SEARCH(Recherche!$B$4,D929))+ISNUMBER(SEARCH(Recherche!$B$4,K929))&gt;0,1,0))</f>
        <v>0</v>
      </c>
      <c r="T929" s="0" t="str">
        <f aca="false">IF(S929=1,SUM($S$2:S929),"")</f>
        <v/>
      </c>
    </row>
    <row r="930" customFormat="false" ht="15" hidden="false" customHeight="false" outlineLevel="0" collapsed="false">
      <c r="A930" s="24" t="s">
        <v>3132</v>
      </c>
      <c r="B930" s="24" t="s">
        <v>69</v>
      </c>
      <c r="C930" s="24" t="s">
        <v>3108</v>
      </c>
      <c r="D930" s="23" t="s">
        <v>806</v>
      </c>
      <c r="E930" s="26" t="s">
        <v>91</v>
      </c>
      <c r="F930" s="24" t="s">
        <v>76</v>
      </c>
      <c r="G930" s="24" t="s">
        <v>939</v>
      </c>
      <c r="H930" s="25" t="n">
        <v>51.65</v>
      </c>
      <c r="I930" s="25"/>
      <c r="J930" s="58"/>
      <c r="K930" s="23" t="s">
        <v>3135</v>
      </c>
      <c r="L930" s="24" t="s">
        <v>1761</v>
      </c>
      <c r="M930" s="24" t="s">
        <v>3136</v>
      </c>
      <c r="N930" s="26" t="s">
        <v>91</v>
      </c>
      <c r="O930" s="24"/>
      <c r="P930" s="24" t="s">
        <v>93</v>
      </c>
      <c r="Q930" s="24" t="s">
        <v>942</v>
      </c>
      <c r="R930" s="73" t="s">
        <v>95</v>
      </c>
      <c r="S930" s="0" t="n">
        <f aca="false">IF(Recherche!$B$4="",0,IF(ISNUMBER(SEARCH(Recherche!$B$4,D930))+ISNUMBER(SEARCH(Recherche!$B$4,K930))&gt;0,1,0))</f>
        <v>0</v>
      </c>
      <c r="T930" s="0" t="str">
        <f aca="false">IF(S930=1,SUM($S$2:S930),"")</f>
        <v/>
      </c>
    </row>
    <row r="931" customFormat="false" ht="23.85" hidden="false" customHeight="false" outlineLevel="0" collapsed="false">
      <c r="A931" s="20" t="s">
        <v>3132</v>
      </c>
      <c r="B931" s="20" t="s">
        <v>69</v>
      </c>
      <c r="C931" s="20" t="s">
        <v>3108</v>
      </c>
      <c r="D931" s="19" t="s">
        <v>806</v>
      </c>
      <c r="E931" s="22" t="s">
        <v>91</v>
      </c>
      <c r="F931" s="74" t="s">
        <v>82</v>
      </c>
      <c r="G931" s="74" t="s">
        <v>943</v>
      </c>
      <c r="H931" s="75" t="n">
        <v>172</v>
      </c>
      <c r="I931" s="21"/>
      <c r="J931" s="52"/>
      <c r="K931" s="19" t="s">
        <v>3137</v>
      </c>
      <c r="L931" s="20"/>
      <c r="M931" s="20" t="s">
        <v>3138</v>
      </c>
      <c r="N931" s="22" t="s">
        <v>91</v>
      </c>
      <c r="O931" s="20"/>
      <c r="P931" s="20" t="s">
        <v>290</v>
      </c>
      <c r="Q931" s="20" t="s">
        <v>1380</v>
      </c>
      <c r="R931" s="76" t="s">
        <v>95</v>
      </c>
      <c r="S931" s="0" t="n">
        <f aca="false">IF(Recherche!$B$4="",0,IF(ISNUMBER(SEARCH(Recherche!$B$4,D931))+ISNUMBER(SEARCH(Recherche!$B$4,K931))&gt;0,1,0))</f>
        <v>0</v>
      </c>
      <c r="T931" s="0" t="str">
        <f aca="false">IF(S931=1,SUM($S$2:S931),"")</f>
        <v/>
      </c>
    </row>
    <row r="932" customFormat="false" ht="23.85" hidden="false" customHeight="false" outlineLevel="0" collapsed="false">
      <c r="A932" s="24" t="s">
        <v>3132</v>
      </c>
      <c r="B932" s="24" t="s">
        <v>69</v>
      </c>
      <c r="C932" s="24" t="s">
        <v>3108</v>
      </c>
      <c r="D932" s="23" t="s">
        <v>806</v>
      </c>
      <c r="E932" s="26" t="s">
        <v>91</v>
      </c>
      <c r="F932" s="24" t="s">
        <v>80</v>
      </c>
      <c r="G932" s="24" t="s">
        <v>939</v>
      </c>
      <c r="H932" s="25" t="n">
        <v>201.8</v>
      </c>
      <c r="I932" s="25"/>
      <c r="J932" s="58"/>
      <c r="K932" s="23" t="s">
        <v>3139</v>
      </c>
      <c r="L932" s="24"/>
      <c r="M932" s="24" t="s">
        <v>3140</v>
      </c>
      <c r="N932" s="26" t="s">
        <v>91</v>
      </c>
      <c r="O932" s="24"/>
      <c r="P932" s="24" t="s">
        <v>303</v>
      </c>
      <c r="Q932" s="24" t="s">
        <v>942</v>
      </c>
      <c r="R932" s="73" t="s">
        <v>95</v>
      </c>
      <c r="S932" s="0" t="n">
        <f aca="false">IF(Recherche!$B$4="",0,IF(ISNUMBER(SEARCH(Recherche!$B$4,D932))+ISNUMBER(SEARCH(Recherche!$B$4,K932))&gt;0,1,0))</f>
        <v>0</v>
      </c>
      <c r="T932" s="0" t="str">
        <f aca="false">IF(S932=1,SUM($S$2:S932),"")</f>
        <v/>
      </c>
    </row>
    <row r="933" customFormat="false" ht="23.85" hidden="false" customHeight="false" outlineLevel="0" collapsed="false">
      <c r="A933" s="20" t="s">
        <v>3141</v>
      </c>
      <c r="B933" s="20" t="s">
        <v>69</v>
      </c>
      <c r="C933" s="20" t="s">
        <v>3108</v>
      </c>
      <c r="D933" s="19" t="s">
        <v>808</v>
      </c>
      <c r="E933" s="22" t="s">
        <v>91</v>
      </c>
      <c r="F933" s="20" t="s">
        <v>76</v>
      </c>
      <c r="G933" s="20" t="s">
        <v>939</v>
      </c>
      <c r="H933" s="21" t="n">
        <v>369.52</v>
      </c>
      <c r="I933" s="21"/>
      <c r="J933" s="52"/>
      <c r="K933" s="19" t="s">
        <v>809</v>
      </c>
      <c r="L933" s="20" t="s">
        <v>3117</v>
      </c>
      <c r="M933" s="20" t="s">
        <v>3142</v>
      </c>
      <c r="N933" s="22" t="s">
        <v>91</v>
      </c>
      <c r="O933" s="20"/>
      <c r="P933" s="20" t="s">
        <v>93</v>
      </c>
      <c r="Q933" s="20" t="s">
        <v>942</v>
      </c>
      <c r="R933" s="76" t="s">
        <v>95</v>
      </c>
      <c r="S933" s="0" t="n">
        <f aca="false">IF(Recherche!$B$4="",0,IF(ISNUMBER(SEARCH(Recherche!$B$4,D933))+ISNUMBER(SEARCH(Recherche!$B$4,K933))&gt;0,1,0))</f>
        <v>0</v>
      </c>
      <c r="T933" s="0" t="str">
        <f aca="false">IF(S933=1,SUM($S$2:S933),"")</f>
        <v/>
      </c>
    </row>
    <row r="934" customFormat="false" ht="23.85" hidden="false" customHeight="false" outlineLevel="0" collapsed="false">
      <c r="A934" s="24" t="s">
        <v>3143</v>
      </c>
      <c r="B934" s="24" t="s">
        <v>69</v>
      </c>
      <c r="C934" s="24" t="s">
        <v>3144</v>
      </c>
      <c r="D934" s="23" t="s">
        <v>810</v>
      </c>
      <c r="E934" s="26" t="s">
        <v>91</v>
      </c>
      <c r="F934" s="24" t="s">
        <v>80</v>
      </c>
      <c r="G934" s="24" t="s">
        <v>939</v>
      </c>
      <c r="H934" s="25" t="n">
        <v>54.89</v>
      </c>
      <c r="I934" s="25"/>
      <c r="J934" s="58"/>
      <c r="K934" s="23" t="s">
        <v>811</v>
      </c>
      <c r="L934" s="24"/>
      <c r="M934" s="24" t="s">
        <v>3145</v>
      </c>
      <c r="N934" s="26" t="s">
        <v>91</v>
      </c>
      <c r="O934" s="24"/>
      <c r="P934" s="24" t="s">
        <v>303</v>
      </c>
      <c r="Q934" s="24" t="s">
        <v>942</v>
      </c>
      <c r="R934" s="73" t="s">
        <v>95</v>
      </c>
      <c r="S934" s="0" t="n">
        <f aca="false">IF(Recherche!$B$4="",0,IF(ISNUMBER(SEARCH(Recherche!$B$4,D934))+ISNUMBER(SEARCH(Recherche!$B$4,K934))&gt;0,1,0))</f>
        <v>0</v>
      </c>
      <c r="T934" s="0" t="str">
        <f aca="false">IF(S934=1,SUM($S$2:S934),"")</f>
        <v/>
      </c>
    </row>
    <row r="935" customFormat="false" ht="15" hidden="false" customHeight="false" outlineLevel="0" collapsed="false">
      <c r="A935" s="20" t="s">
        <v>3143</v>
      </c>
      <c r="B935" s="20" t="s">
        <v>69</v>
      </c>
      <c r="C935" s="20" t="s">
        <v>3144</v>
      </c>
      <c r="D935" s="19" t="s">
        <v>810</v>
      </c>
      <c r="E935" s="22" t="s">
        <v>91</v>
      </c>
      <c r="F935" s="74" t="s">
        <v>81</v>
      </c>
      <c r="G935" s="74" t="s">
        <v>979</v>
      </c>
      <c r="H935" s="75" t="n">
        <v>55.55</v>
      </c>
      <c r="I935" s="21" t="n">
        <v>58.19</v>
      </c>
      <c r="J935" s="52" t="n">
        <v>4.5</v>
      </c>
      <c r="K935" s="19" t="s">
        <v>3146</v>
      </c>
      <c r="L935" s="20" t="s">
        <v>1274</v>
      </c>
      <c r="M935" s="20" t="s">
        <v>3147</v>
      </c>
      <c r="N935" s="22" t="s">
        <v>91</v>
      </c>
      <c r="O935" s="20" t="s">
        <v>949</v>
      </c>
      <c r="P935" s="20" t="s">
        <v>119</v>
      </c>
      <c r="Q935" s="20" t="s">
        <v>1007</v>
      </c>
      <c r="R935" s="76" t="s">
        <v>95</v>
      </c>
      <c r="S935" s="0" t="n">
        <f aca="false">IF(Recherche!$B$4="",0,IF(ISNUMBER(SEARCH(Recherche!$B$4,D935))+ISNUMBER(SEARCH(Recherche!$B$4,K935))&gt;0,1,0))</f>
        <v>0</v>
      </c>
      <c r="T935" s="0" t="str">
        <f aca="false">IF(S935=1,SUM($S$2:S935),"")</f>
        <v/>
      </c>
    </row>
    <row r="936" customFormat="false" ht="15" hidden="false" customHeight="false" outlineLevel="0" collapsed="false">
      <c r="A936" s="24" t="s">
        <v>3143</v>
      </c>
      <c r="B936" s="24" t="s">
        <v>69</v>
      </c>
      <c r="C936" s="24" t="s">
        <v>3144</v>
      </c>
      <c r="D936" s="23" t="s">
        <v>810</v>
      </c>
      <c r="E936" s="26" t="s">
        <v>91</v>
      </c>
      <c r="F936" s="74" t="s">
        <v>82</v>
      </c>
      <c r="G936" s="74" t="s">
        <v>943</v>
      </c>
      <c r="H936" s="75" t="n">
        <v>85.5</v>
      </c>
      <c r="I936" s="25"/>
      <c r="J936" s="58"/>
      <c r="K936" s="23" t="s">
        <v>3148</v>
      </c>
      <c r="L936" s="24"/>
      <c r="M936" s="24" t="s">
        <v>3149</v>
      </c>
      <c r="N936" s="26" t="s">
        <v>91</v>
      </c>
      <c r="O936" s="24"/>
      <c r="P936" s="24" t="s">
        <v>290</v>
      </c>
      <c r="Q936" s="24" t="s">
        <v>1380</v>
      </c>
      <c r="R936" s="73" t="s">
        <v>95</v>
      </c>
      <c r="S936" s="0" t="n">
        <f aca="false">IF(Recherche!$B$4="",0,IF(ISNUMBER(SEARCH(Recherche!$B$4,D936))+ISNUMBER(SEARCH(Recherche!$B$4,K936))&gt;0,1,0))</f>
        <v>0</v>
      </c>
      <c r="T936" s="0" t="str">
        <f aca="false">IF(S936=1,SUM($S$2:S936),"")</f>
        <v/>
      </c>
    </row>
    <row r="937" customFormat="false" ht="23.85" hidden="false" customHeight="false" outlineLevel="0" collapsed="false">
      <c r="A937" s="20" t="s">
        <v>3143</v>
      </c>
      <c r="B937" s="20" t="s">
        <v>69</v>
      </c>
      <c r="C937" s="20" t="s">
        <v>3144</v>
      </c>
      <c r="D937" s="19" t="s">
        <v>810</v>
      </c>
      <c r="E937" s="22" t="s">
        <v>91</v>
      </c>
      <c r="F937" s="20" t="s">
        <v>76</v>
      </c>
      <c r="G937" s="20" t="s">
        <v>939</v>
      </c>
      <c r="H937" s="21" t="n">
        <v>104.52</v>
      </c>
      <c r="I937" s="21"/>
      <c r="J937" s="52"/>
      <c r="K937" s="19" t="s">
        <v>3150</v>
      </c>
      <c r="L937" s="20" t="s">
        <v>1761</v>
      </c>
      <c r="M937" s="20" t="s">
        <v>3151</v>
      </c>
      <c r="N937" s="22" t="s">
        <v>91</v>
      </c>
      <c r="O937" s="20"/>
      <c r="P937" s="20" t="s">
        <v>93</v>
      </c>
      <c r="Q937" s="20" t="s">
        <v>942</v>
      </c>
      <c r="R937" s="76" t="s">
        <v>95</v>
      </c>
      <c r="S937" s="0" t="n">
        <f aca="false">IF(Recherche!$B$4="",0,IF(ISNUMBER(SEARCH(Recherche!$B$4,D937))+ISNUMBER(SEARCH(Recherche!$B$4,K937))&gt;0,1,0))</f>
        <v>0</v>
      </c>
      <c r="T937" s="0" t="str">
        <f aca="false">IF(S937=1,SUM($S$2:S937),"")</f>
        <v/>
      </c>
    </row>
    <row r="938" customFormat="false" ht="15" hidden="false" customHeight="false" outlineLevel="0" collapsed="false">
      <c r="A938" s="24" t="s">
        <v>3152</v>
      </c>
      <c r="B938" s="24" t="s">
        <v>69</v>
      </c>
      <c r="C938" s="24" t="s">
        <v>3144</v>
      </c>
      <c r="D938" s="23" t="s">
        <v>812</v>
      </c>
      <c r="E938" s="26" t="s">
        <v>91</v>
      </c>
      <c r="F938" s="24" t="s">
        <v>80</v>
      </c>
      <c r="G938" s="24" t="s">
        <v>939</v>
      </c>
      <c r="H938" s="25" t="n">
        <v>131.31</v>
      </c>
      <c r="I938" s="25"/>
      <c r="J938" s="58"/>
      <c r="K938" s="23" t="s">
        <v>813</v>
      </c>
      <c r="L938" s="24"/>
      <c r="M938" s="24" t="s">
        <v>3153</v>
      </c>
      <c r="N938" s="26" t="s">
        <v>91</v>
      </c>
      <c r="O938" s="24"/>
      <c r="P938" s="24" t="s">
        <v>303</v>
      </c>
      <c r="Q938" s="24" t="s">
        <v>1085</v>
      </c>
      <c r="R938" s="73" t="s">
        <v>95</v>
      </c>
      <c r="S938" s="0" t="n">
        <f aca="false">IF(Recherche!$B$4="",0,IF(ISNUMBER(SEARCH(Recherche!$B$4,D938))+ISNUMBER(SEARCH(Recherche!$B$4,K938))&gt;0,1,0))</f>
        <v>0</v>
      </c>
      <c r="T938" s="0" t="str">
        <f aca="false">IF(S938=1,SUM($S$2:S938),"")</f>
        <v/>
      </c>
    </row>
    <row r="939" customFormat="false" ht="23.85" hidden="false" customHeight="false" outlineLevel="0" collapsed="false">
      <c r="A939" s="20" t="s">
        <v>3152</v>
      </c>
      <c r="B939" s="20" t="s">
        <v>69</v>
      </c>
      <c r="C939" s="20" t="s">
        <v>3144</v>
      </c>
      <c r="D939" s="19" t="s">
        <v>812</v>
      </c>
      <c r="E939" s="22" t="s">
        <v>91</v>
      </c>
      <c r="F939" s="74" t="s">
        <v>81</v>
      </c>
      <c r="G939" s="74" t="s">
        <v>979</v>
      </c>
      <c r="H939" s="75" t="n">
        <v>213.14</v>
      </c>
      <c r="I939" s="21" t="n">
        <v>224</v>
      </c>
      <c r="J939" s="52" t="n">
        <v>4.8</v>
      </c>
      <c r="K939" s="19" t="s">
        <v>3154</v>
      </c>
      <c r="L939" s="20" t="s">
        <v>3155</v>
      </c>
      <c r="M939" s="20" t="s">
        <v>3156</v>
      </c>
      <c r="N939" s="22" t="s">
        <v>91</v>
      </c>
      <c r="O939" s="20" t="s">
        <v>949</v>
      </c>
      <c r="P939" s="20" t="s">
        <v>169</v>
      </c>
      <c r="Q939" s="20" t="s">
        <v>1007</v>
      </c>
      <c r="R939" s="76" t="s">
        <v>95</v>
      </c>
      <c r="S939" s="0" t="n">
        <f aca="false">IF(Recherche!$B$4="",0,IF(ISNUMBER(SEARCH(Recherche!$B$4,D939))+ISNUMBER(SEARCH(Recherche!$B$4,K939))&gt;0,1,0))</f>
        <v>0</v>
      </c>
      <c r="T939" s="0" t="str">
        <f aca="false">IF(S939=1,SUM($S$2:S939),"")</f>
        <v/>
      </c>
    </row>
    <row r="940" customFormat="false" ht="23.85" hidden="false" customHeight="false" outlineLevel="0" collapsed="false">
      <c r="A940" s="24" t="s">
        <v>3152</v>
      </c>
      <c r="B940" s="24" t="s">
        <v>69</v>
      </c>
      <c r="C940" s="24" t="s">
        <v>3144</v>
      </c>
      <c r="D940" s="23" t="s">
        <v>812</v>
      </c>
      <c r="E940" s="26" t="s">
        <v>91</v>
      </c>
      <c r="F940" s="24" t="s">
        <v>76</v>
      </c>
      <c r="G940" s="24" t="s">
        <v>939</v>
      </c>
      <c r="H940" s="25" t="n">
        <v>748.15</v>
      </c>
      <c r="I940" s="25"/>
      <c r="J940" s="58"/>
      <c r="K940" s="23" t="s">
        <v>3157</v>
      </c>
      <c r="L940" s="24" t="s">
        <v>3126</v>
      </c>
      <c r="M940" s="24" t="s">
        <v>3158</v>
      </c>
      <c r="N940" s="26" t="s">
        <v>91</v>
      </c>
      <c r="O940" s="24"/>
      <c r="P940" s="24" t="s">
        <v>93</v>
      </c>
      <c r="Q940" s="24" t="s">
        <v>1085</v>
      </c>
      <c r="R940" s="73" t="s">
        <v>95</v>
      </c>
      <c r="S940" s="0" t="n">
        <f aca="false">IF(Recherche!$B$4="",0,IF(ISNUMBER(SEARCH(Recherche!$B$4,D940))+ISNUMBER(SEARCH(Recherche!$B$4,K940))&gt;0,1,0))</f>
        <v>0</v>
      </c>
      <c r="T940" s="0" t="str">
        <f aca="false">IF(S940=1,SUM($S$2:S940),"")</f>
        <v/>
      </c>
    </row>
    <row r="941" customFormat="false" ht="15" hidden="false" customHeight="false" outlineLevel="0" collapsed="false">
      <c r="A941" s="20" t="s">
        <v>3159</v>
      </c>
      <c r="B941" s="20" t="s">
        <v>69</v>
      </c>
      <c r="C941" s="20" t="s">
        <v>3144</v>
      </c>
      <c r="D941" s="19" t="s">
        <v>814</v>
      </c>
      <c r="E941" s="22" t="s">
        <v>91</v>
      </c>
      <c r="F941" s="74" t="s">
        <v>81</v>
      </c>
      <c r="G941" s="74" t="s">
        <v>979</v>
      </c>
      <c r="H941" s="75" t="n">
        <v>6.98</v>
      </c>
      <c r="I941" s="21" t="n">
        <v>7.36</v>
      </c>
      <c r="J941" s="52" t="n">
        <v>5.2</v>
      </c>
      <c r="K941" s="19" t="s">
        <v>815</v>
      </c>
      <c r="L941" s="20" t="s">
        <v>2533</v>
      </c>
      <c r="M941" s="20" t="s">
        <v>3160</v>
      </c>
      <c r="N941" s="22" t="s">
        <v>91</v>
      </c>
      <c r="O941" s="20" t="s">
        <v>949</v>
      </c>
      <c r="P941" s="20" t="s">
        <v>169</v>
      </c>
      <c r="Q941" s="20" t="s">
        <v>1007</v>
      </c>
      <c r="R941" s="76" t="s">
        <v>95</v>
      </c>
      <c r="S941" s="0" t="n">
        <f aca="false">IF(Recherche!$B$4="",0,IF(ISNUMBER(SEARCH(Recherche!$B$4,D941))+ISNUMBER(SEARCH(Recherche!$B$4,K941))&gt;0,1,0))</f>
        <v>0</v>
      </c>
      <c r="T941" s="0" t="str">
        <f aca="false">IF(S941=1,SUM($S$2:S941),"")</f>
        <v/>
      </c>
    </row>
    <row r="942" customFormat="false" ht="23.85" hidden="false" customHeight="false" outlineLevel="0" collapsed="false">
      <c r="A942" s="24" t="s">
        <v>3159</v>
      </c>
      <c r="B942" s="24" t="s">
        <v>69</v>
      </c>
      <c r="C942" s="24" t="s">
        <v>3144</v>
      </c>
      <c r="D942" s="23" t="s">
        <v>814</v>
      </c>
      <c r="E942" s="26" t="s">
        <v>91</v>
      </c>
      <c r="F942" s="74" t="s">
        <v>82</v>
      </c>
      <c r="G942" s="74" t="s">
        <v>943</v>
      </c>
      <c r="H942" s="75" t="n">
        <v>12</v>
      </c>
      <c r="I942" s="25"/>
      <c r="J942" s="58"/>
      <c r="K942" s="23" t="s">
        <v>3161</v>
      </c>
      <c r="L942" s="24"/>
      <c r="M942" s="24" t="s">
        <v>3162</v>
      </c>
      <c r="N942" s="26" t="s">
        <v>91</v>
      </c>
      <c r="O942" s="24"/>
      <c r="P942" s="24" t="s">
        <v>290</v>
      </c>
      <c r="Q942" s="24" t="s">
        <v>1380</v>
      </c>
      <c r="R942" s="73" t="s">
        <v>95</v>
      </c>
      <c r="S942" s="0" t="n">
        <f aca="false">IF(Recherche!$B$4="",0,IF(ISNUMBER(SEARCH(Recherche!$B$4,D942))+ISNUMBER(SEARCH(Recherche!$B$4,K942))&gt;0,1,0))</f>
        <v>0</v>
      </c>
      <c r="T942" s="0" t="str">
        <f aca="false">IF(S942=1,SUM($S$2:S942),"")</f>
        <v/>
      </c>
    </row>
    <row r="943" customFormat="false" ht="15" hidden="false" customHeight="false" outlineLevel="0" collapsed="false">
      <c r="A943" s="20" t="s">
        <v>3159</v>
      </c>
      <c r="B943" s="20" t="s">
        <v>69</v>
      </c>
      <c r="C943" s="20" t="s">
        <v>3144</v>
      </c>
      <c r="D943" s="19" t="s">
        <v>814</v>
      </c>
      <c r="E943" s="22" t="s">
        <v>91</v>
      </c>
      <c r="F943" s="20" t="s">
        <v>80</v>
      </c>
      <c r="G943" s="20" t="s">
        <v>939</v>
      </c>
      <c r="H943" s="21" t="n">
        <v>16.07</v>
      </c>
      <c r="I943" s="21"/>
      <c r="J943" s="52"/>
      <c r="K943" s="19" t="s">
        <v>3163</v>
      </c>
      <c r="L943" s="20"/>
      <c r="M943" s="20" t="s">
        <v>3164</v>
      </c>
      <c r="N943" s="22" t="s">
        <v>91</v>
      </c>
      <c r="O943" s="20"/>
      <c r="P943" s="20" t="s">
        <v>303</v>
      </c>
      <c r="Q943" s="20" t="s">
        <v>942</v>
      </c>
      <c r="R943" s="76" t="s">
        <v>95</v>
      </c>
      <c r="S943" s="0" t="n">
        <f aca="false">IF(Recherche!$B$4="",0,IF(ISNUMBER(SEARCH(Recherche!$B$4,D943))+ISNUMBER(SEARCH(Recherche!$B$4,K943))&gt;0,1,0))</f>
        <v>0</v>
      </c>
      <c r="T943" s="0" t="str">
        <f aca="false">IF(S943=1,SUM($S$2:S943),"")</f>
        <v/>
      </c>
    </row>
    <row r="944" customFormat="false" ht="15" hidden="false" customHeight="false" outlineLevel="0" collapsed="false">
      <c r="A944" s="24" t="s">
        <v>3159</v>
      </c>
      <c r="B944" s="24" t="s">
        <v>69</v>
      </c>
      <c r="C944" s="24" t="s">
        <v>3144</v>
      </c>
      <c r="D944" s="23" t="s">
        <v>814</v>
      </c>
      <c r="E944" s="26" t="s">
        <v>91</v>
      </c>
      <c r="F944" s="24" t="s">
        <v>76</v>
      </c>
      <c r="G944" s="24" t="s">
        <v>939</v>
      </c>
      <c r="H944" s="25" t="n">
        <v>21.22</v>
      </c>
      <c r="I944" s="25"/>
      <c r="J944" s="58"/>
      <c r="K944" s="23" t="s">
        <v>3165</v>
      </c>
      <c r="L944" s="24" t="s">
        <v>3055</v>
      </c>
      <c r="M944" s="24" t="s">
        <v>3166</v>
      </c>
      <c r="N944" s="26" t="s">
        <v>91</v>
      </c>
      <c r="O944" s="24"/>
      <c r="P944" s="24" t="s">
        <v>93</v>
      </c>
      <c r="Q944" s="24" t="s">
        <v>942</v>
      </c>
      <c r="R944" s="73" t="s">
        <v>95</v>
      </c>
      <c r="S944" s="0" t="n">
        <f aca="false">IF(Recherche!$B$4="",0,IF(ISNUMBER(SEARCH(Recherche!$B$4,D944))+ISNUMBER(SEARCH(Recherche!$B$4,K944))&gt;0,1,0))</f>
        <v>0</v>
      </c>
      <c r="T944" s="0" t="str">
        <f aca="false">IF(S944=1,SUM($S$2:S944),"")</f>
        <v/>
      </c>
    </row>
    <row r="945" customFormat="false" ht="15" hidden="false" customHeight="false" outlineLevel="0" collapsed="false">
      <c r="A945" s="20" t="s">
        <v>3159</v>
      </c>
      <c r="B945" s="20" t="s">
        <v>69</v>
      </c>
      <c r="C945" s="20" t="s">
        <v>3144</v>
      </c>
      <c r="D945" s="19" t="s">
        <v>814</v>
      </c>
      <c r="E945" s="22" t="s">
        <v>91</v>
      </c>
      <c r="F945" s="74" t="s">
        <v>77</v>
      </c>
      <c r="G945" s="74" t="s">
        <v>979</v>
      </c>
      <c r="H945" s="75" t="n">
        <v>56.11</v>
      </c>
      <c r="I945" s="21" t="n">
        <v>59.69</v>
      </c>
      <c r="J945" s="52" t="n">
        <v>6</v>
      </c>
      <c r="K945" s="19" t="s">
        <v>3167</v>
      </c>
      <c r="L945" s="20" t="s">
        <v>3060</v>
      </c>
      <c r="M945" s="20" t="s">
        <v>3168</v>
      </c>
      <c r="N945" s="22" t="s">
        <v>91</v>
      </c>
      <c r="O945" s="20"/>
      <c r="P945" s="20" t="s">
        <v>114</v>
      </c>
      <c r="Q945" s="20" t="s">
        <v>983</v>
      </c>
      <c r="R945" s="76"/>
      <c r="S945" s="0" t="n">
        <f aca="false">IF(Recherche!$B$4="",0,IF(ISNUMBER(SEARCH(Recherche!$B$4,D945))+ISNUMBER(SEARCH(Recherche!$B$4,K945))&gt;0,1,0))</f>
        <v>0</v>
      </c>
      <c r="T945" s="0" t="str">
        <f aca="false">IF(S945=1,SUM($S$2:S945),"")</f>
        <v/>
      </c>
    </row>
    <row r="946" customFormat="false" ht="15" hidden="false" customHeight="false" outlineLevel="0" collapsed="false">
      <c r="A946" s="24" t="s">
        <v>3169</v>
      </c>
      <c r="B946" s="24" t="s">
        <v>69</v>
      </c>
      <c r="C946" s="24" t="s">
        <v>3144</v>
      </c>
      <c r="D946" s="23" t="s">
        <v>816</v>
      </c>
      <c r="E946" s="26" t="s">
        <v>91</v>
      </c>
      <c r="F946" s="24" t="s">
        <v>76</v>
      </c>
      <c r="G946" s="24" t="s">
        <v>939</v>
      </c>
      <c r="H946" s="25" t="n">
        <v>5.54</v>
      </c>
      <c r="I946" s="25"/>
      <c r="J946" s="58"/>
      <c r="K946" s="23" t="s">
        <v>817</v>
      </c>
      <c r="L946" s="24" t="s">
        <v>3170</v>
      </c>
      <c r="M946" s="24" t="s">
        <v>3171</v>
      </c>
      <c r="N946" s="26" t="s">
        <v>91</v>
      </c>
      <c r="O946" s="24"/>
      <c r="P946" s="24" t="s">
        <v>93</v>
      </c>
      <c r="Q946" s="24" t="s">
        <v>963</v>
      </c>
      <c r="R946" s="73" t="s">
        <v>95</v>
      </c>
      <c r="S946" s="0" t="n">
        <f aca="false">IF(Recherche!$B$4="",0,IF(ISNUMBER(SEARCH(Recherche!$B$4,D946))+ISNUMBER(SEARCH(Recherche!$B$4,K946))&gt;0,1,0))</f>
        <v>0</v>
      </c>
      <c r="T946" s="0" t="str">
        <f aca="false">IF(S946=1,SUM($S$2:S946),"")</f>
        <v/>
      </c>
    </row>
    <row r="947" customFormat="false" ht="23.85" hidden="false" customHeight="false" outlineLevel="0" collapsed="false">
      <c r="A947" s="20" t="s">
        <v>3169</v>
      </c>
      <c r="B947" s="20" t="s">
        <v>69</v>
      </c>
      <c r="C947" s="20" t="s">
        <v>3144</v>
      </c>
      <c r="D947" s="19" t="s">
        <v>816</v>
      </c>
      <c r="E947" s="22" t="s">
        <v>91</v>
      </c>
      <c r="F947" s="74" t="s">
        <v>81</v>
      </c>
      <c r="G947" s="74" t="s">
        <v>979</v>
      </c>
      <c r="H947" s="75" t="n">
        <v>27.48</v>
      </c>
      <c r="I947" s="21" t="n">
        <v>28.94</v>
      </c>
      <c r="J947" s="52" t="n">
        <v>5</v>
      </c>
      <c r="K947" s="19" t="s">
        <v>3172</v>
      </c>
      <c r="L947" s="20" t="s">
        <v>2533</v>
      </c>
      <c r="M947" s="20" t="s">
        <v>3173</v>
      </c>
      <c r="N947" s="22" t="s">
        <v>91</v>
      </c>
      <c r="O947" s="20" t="s">
        <v>949</v>
      </c>
      <c r="P947" s="20" t="s">
        <v>169</v>
      </c>
      <c r="Q947" s="20" t="s">
        <v>1007</v>
      </c>
      <c r="R947" s="76" t="s">
        <v>95</v>
      </c>
      <c r="S947" s="0" t="n">
        <f aca="false">IF(Recherche!$B$4="",0,IF(ISNUMBER(SEARCH(Recherche!$B$4,D947))+ISNUMBER(SEARCH(Recherche!$B$4,K947))&gt;0,1,0))</f>
        <v>0</v>
      </c>
      <c r="T947" s="0" t="str">
        <f aca="false">IF(S947=1,SUM($S$2:S947),"")</f>
        <v/>
      </c>
    </row>
    <row r="948" customFormat="false" ht="15" hidden="false" customHeight="false" outlineLevel="0" collapsed="false">
      <c r="A948" s="24" t="s">
        <v>3169</v>
      </c>
      <c r="B948" s="24" t="s">
        <v>69</v>
      </c>
      <c r="C948" s="24" t="s">
        <v>3144</v>
      </c>
      <c r="D948" s="23" t="s">
        <v>816</v>
      </c>
      <c r="E948" s="26" t="s">
        <v>91</v>
      </c>
      <c r="F948" s="74" t="s">
        <v>82</v>
      </c>
      <c r="G948" s="74" t="s">
        <v>943</v>
      </c>
      <c r="H948" s="75" t="n">
        <v>28.01</v>
      </c>
      <c r="I948" s="25"/>
      <c r="J948" s="58"/>
      <c r="K948" s="23" t="s">
        <v>3174</v>
      </c>
      <c r="L948" s="24"/>
      <c r="M948" s="24" t="s">
        <v>3175</v>
      </c>
      <c r="N948" s="26" t="s">
        <v>91</v>
      </c>
      <c r="O948" s="24"/>
      <c r="P948" s="24" t="s">
        <v>290</v>
      </c>
      <c r="Q948" s="24" t="s">
        <v>1016</v>
      </c>
      <c r="R948" s="73" t="s">
        <v>95</v>
      </c>
      <c r="S948" s="0" t="n">
        <f aca="false">IF(Recherche!$B$4="",0,IF(ISNUMBER(SEARCH(Recherche!$B$4,D948))+ISNUMBER(SEARCH(Recherche!$B$4,K948))&gt;0,1,0))</f>
        <v>0</v>
      </c>
      <c r="T948" s="0" t="str">
        <f aca="false">IF(S948=1,SUM($S$2:S948),"")</f>
        <v/>
      </c>
    </row>
    <row r="949" customFormat="false" ht="15" hidden="false" customHeight="false" outlineLevel="0" collapsed="false">
      <c r="A949" s="20" t="s">
        <v>3176</v>
      </c>
      <c r="B949" s="20" t="s">
        <v>69</v>
      </c>
      <c r="C949" s="20" t="s">
        <v>3144</v>
      </c>
      <c r="D949" s="19" t="s">
        <v>818</v>
      </c>
      <c r="E949" s="22" t="s">
        <v>91</v>
      </c>
      <c r="F949" s="74" t="s">
        <v>81</v>
      </c>
      <c r="G949" s="74" t="s">
        <v>979</v>
      </c>
      <c r="H949" s="75" t="n">
        <v>47.62</v>
      </c>
      <c r="I949" s="21" t="n">
        <v>50</v>
      </c>
      <c r="J949" s="52" t="n">
        <v>4.8</v>
      </c>
      <c r="K949" s="19" t="s">
        <v>819</v>
      </c>
      <c r="L949" s="20" t="s">
        <v>3177</v>
      </c>
      <c r="M949" s="20" t="s">
        <v>3178</v>
      </c>
      <c r="N949" s="22" t="s">
        <v>91</v>
      </c>
      <c r="O949" s="20" t="s">
        <v>949</v>
      </c>
      <c r="P949" s="20" t="s">
        <v>169</v>
      </c>
      <c r="Q949" s="20" t="s">
        <v>1016</v>
      </c>
      <c r="R949" s="76" t="s">
        <v>95</v>
      </c>
      <c r="S949" s="0" t="n">
        <f aca="false">IF(Recherche!$B$4="",0,IF(ISNUMBER(SEARCH(Recherche!$B$4,D949))+ISNUMBER(SEARCH(Recherche!$B$4,K949))&gt;0,1,0))</f>
        <v>0</v>
      </c>
      <c r="T949" s="0" t="str">
        <f aca="false">IF(S949=1,SUM($S$2:S949),"")</f>
        <v/>
      </c>
    </row>
    <row r="950" customFormat="false" ht="23.85" hidden="false" customHeight="false" outlineLevel="0" collapsed="false">
      <c r="A950" s="24" t="s">
        <v>3176</v>
      </c>
      <c r="B950" s="24" t="s">
        <v>69</v>
      </c>
      <c r="C950" s="24" t="s">
        <v>3144</v>
      </c>
      <c r="D950" s="23" t="s">
        <v>818</v>
      </c>
      <c r="E950" s="26" t="s">
        <v>91</v>
      </c>
      <c r="F950" s="24" t="s">
        <v>76</v>
      </c>
      <c r="G950" s="24" t="s">
        <v>939</v>
      </c>
      <c r="H950" s="25" t="n">
        <v>98.22</v>
      </c>
      <c r="I950" s="25"/>
      <c r="J950" s="58"/>
      <c r="K950" s="23" t="s">
        <v>3179</v>
      </c>
      <c r="L950" s="24" t="s">
        <v>3180</v>
      </c>
      <c r="M950" s="24" t="s">
        <v>3181</v>
      </c>
      <c r="N950" s="26" t="s">
        <v>91</v>
      </c>
      <c r="O950" s="24"/>
      <c r="P950" s="24" t="s">
        <v>93</v>
      </c>
      <c r="Q950" s="24" t="s">
        <v>942</v>
      </c>
      <c r="R950" s="73" t="s">
        <v>95</v>
      </c>
      <c r="S950" s="0" t="n">
        <f aca="false">IF(Recherche!$B$4="",0,IF(ISNUMBER(SEARCH(Recherche!$B$4,D950))+ISNUMBER(SEARCH(Recherche!$B$4,K950))&gt;0,1,0))</f>
        <v>0</v>
      </c>
      <c r="T950" s="0" t="str">
        <f aca="false">IF(S950=1,SUM($S$2:S950),"")</f>
        <v/>
      </c>
    </row>
    <row r="951" customFormat="false" ht="15" hidden="false" customHeight="false" outlineLevel="0" collapsed="false">
      <c r="A951" s="20" t="s">
        <v>3176</v>
      </c>
      <c r="B951" s="20" t="s">
        <v>69</v>
      </c>
      <c r="C951" s="20" t="s">
        <v>3144</v>
      </c>
      <c r="D951" s="19" t="s">
        <v>818</v>
      </c>
      <c r="E951" s="22" t="s">
        <v>91</v>
      </c>
      <c r="F951" s="74" t="s">
        <v>82</v>
      </c>
      <c r="G951" s="74" t="s">
        <v>943</v>
      </c>
      <c r="H951" s="75" t="n">
        <v>213.49</v>
      </c>
      <c r="I951" s="21"/>
      <c r="J951" s="52"/>
      <c r="K951" s="19" t="s">
        <v>3182</v>
      </c>
      <c r="L951" s="20"/>
      <c r="M951" s="20" t="s">
        <v>3183</v>
      </c>
      <c r="N951" s="22" t="s">
        <v>91</v>
      </c>
      <c r="O951" s="20"/>
      <c r="P951" s="20" t="s">
        <v>290</v>
      </c>
      <c r="Q951" s="20" t="s">
        <v>1380</v>
      </c>
      <c r="R951" s="76" t="s">
        <v>95</v>
      </c>
      <c r="S951" s="0" t="n">
        <f aca="false">IF(Recherche!$B$4="",0,IF(ISNUMBER(SEARCH(Recherche!$B$4,D951))+ISNUMBER(SEARCH(Recherche!$B$4,K951))&gt;0,1,0))</f>
        <v>0</v>
      </c>
      <c r="T951" s="0" t="str">
        <f aca="false">IF(S951=1,SUM($S$2:S951),"")</f>
        <v/>
      </c>
    </row>
    <row r="952" customFormat="false" ht="23.85" hidden="false" customHeight="false" outlineLevel="0" collapsed="false">
      <c r="A952" s="24" t="s">
        <v>3184</v>
      </c>
      <c r="B952" s="24" t="s">
        <v>69</v>
      </c>
      <c r="C952" s="24" t="s">
        <v>3144</v>
      </c>
      <c r="D952" s="23" t="s">
        <v>820</v>
      </c>
      <c r="E952" s="26" t="s">
        <v>91</v>
      </c>
      <c r="F952" s="74" t="s">
        <v>82</v>
      </c>
      <c r="G952" s="74" t="s">
        <v>943</v>
      </c>
      <c r="H952" s="75" t="n">
        <v>33.65</v>
      </c>
      <c r="I952" s="25"/>
      <c r="J952" s="58"/>
      <c r="K952" s="23" t="s">
        <v>821</v>
      </c>
      <c r="L952" s="24"/>
      <c r="M952" s="24" t="s">
        <v>3185</v>
      </c>
      <c r="N952" s="26" t="s">
        <v>91</v>
      </c>
      <c r="O952" s="24"/>
      <c r="P952" s="24" t="s">
        <v>290</v>
      </c>
      <c r="Q952" s="24" t="s">
        <v>1380</v>
      </c>
      <c r="R952" s="73" t="s">
        <v>95</v>
      </c>
      <c r="S952" s="0" t="n">
        <f aca="false">IF(Recherche!$B$4="",0,IF(ISNUMBER(SEARCH(Recherche!$B$4,D952))+ISNUMBER(SEARCH(Recherche!$B$4,K952))&gt;0,1,0))</f>
        <v>0</v>
      </c>
      <c r="T952" s="0" t="str">
        <f aca="false">IF(S952=1,SUM($S$2:S952),"")</f>
        <v/>
      </c>
    </row>
    <row r="953" customFormat="false" ht="15" hidden="false" customHeight="false" outlineLevel="0" collapsed="false">
      <c r="A953" s="20" t="s">
        <v>3184</v>
      </c>
      <c r="B953" s="20" t="s">
        <v>69</v>
      </c>
      <c r="C953" s="20" t="s">
        <v>3144</v>
      </c>
      <c r="D953" s="19" t="s">
        <v>820</v>
      </c>
      <c r="E953" s="22" t="s">
        <v>91</v>
      </c>
      <c r="F953" s="20" t="s">
        <v>76</v>
      </c>
      <c r="G953" s="20" t="s">
        <v>939</v>
      </c>
      <c r="H953" s="21" t="n">
        <v>255.18</v>
      </c>
      <c r="I953" s="21"/>
      <c r="J953" s="52"/>
      <c r="K953" s="19" t="s">
        <v>3186</v>
      </c>
      <c r="L953" s="20" t="s">
        <v>3187</v>
      </c>
      <c r="M953" s="20" t="s">
        <v>3188</v>
      </c>
      <c r="N953" s="22" t="s">
        <v>91</v>
      </c>
      <c r="O953" s="20"/>
      <c r="P953" s="20" t="s">
        <v>93</v>
      </c>
      <c r="Q953" s="20" t="s">
        <v>942</v>
      </c>
      <c r="R953" s="76" t="s">
        <v>95</v>
      </c>
      <c r="S953" s="0" t="n">
        <f aca="false">IF(Recherche!$B$4="",0,IF(ISNUMBER(SEARCH(Recherche!$B$4,D953))+ISNUMBER(SEARCH(Recherche!$B$4,K953))&gt;0,1,0))</f>
        <v>0</v>
      </c>
      <c r="T953" s="0" t="str">
        <f aca="false">IF(S953=1,SUM($S$2:S953),"")</f>
        <v/>
      </c>
    </row>
    <row r="954" customFormat="false" ht="15" hidden="false" customHeight="false" outlineLevel="0" collapsed="false">
      <c r="A954" s="24" t="s">
        <v>3189</v>
      </c>
      <c r="B954" s="24" t="s">
        <v>69</v>
      </c>
      <c r="C954" s="24" t="s">
        <v>3190</v>
      </c>
      <c r="D954" s="23" t="s">
        <v>822</v>
      </c>
      <c r="E954" s="26" t="s">
        <v>91</v>
      </c>
      <c r="F954" s="74" t="s">
        <v>82</v>
      </c>
      <c r="G954" s="74" t="s">
        <v>943</v>
      </c>
      <c r="H954" s="75" t="n">
        <v>549</v>
      </c>
      <c r="I954" s="25"/>
      <c r="J954" s="58"/>
      <c r="K954" s="23" t="s">
        <v>823</v>
      </c>
      <c r="L954" s="24"/>
      <c r="M954" s="24" t="s">
        <v>3191</v>
      </c>
      <c r="N954" s="26" t="s">
        <v>91</v>
      </c>
      <c r="O954" s="24"/>
      <c r="P954" s="24" t="s">
        <v>290</v>
      </c>
      <c r="Q954" s="24" t="s">
        <v>1380</v>
      </c>
      <c r="R954" s="73" t="s">
        <v>95</v>
      </c>
      <c r="S954" s="0" t="n">
        <f aca="false">IF(Recherche!$B$4="",0,IF(ISNUMBER(SEARCH(Recherche!$B$4,D954))+ISNUMBER(SEARCH(Recherche!$B$4,K954))&gt;0,1,0))</f>
        <v>0</v>
      </c>
      <c r="T954" s="0" t="str">
        <f aca="false">IF(S954=1,SUM($S$2:S954),"")</f>
        <v/>
      </c>
    </row>
    <row r="955" customFormat="false" ht="23.85" hidden="false" customHeight="false" outlineLevel="0" collapsed="false">
      <c r="A955" s="20" t="s">
        <v>3189</v>
      </c>
      <c r="B955" s="20" t="s">
        <v>69</v>
      </c>
      <c r="C955" s="20" t="s">
        <v>3190</v>
      </c>
      <c r="D955" s="19" t="s">
        <v>822</v>
      </c>
      <c r="E955" s="22" t="s">
        <v>91</v>
      </c>
      <c r="F955" s="20" t="s">
        <v>76</v>
      </c>
      <c r="G955" s="20" t="s">
        <v>939</v>
      </c>
      <c r="H955" s="21" t="n">
        <v>671.72</v>
      </c>
      <c r="I955" s="21"/>
      <c r="J955" s="52"/>
      <c r="K955" s="19" t="s">
        <v>3192</v>
      </c>
      <c r="L955" s="20" t="s">
        <v>3117</v>
      </c>
      <c r="M955" s="20" t="s">
        <v>3193</v>
      </c>
      <c r="N955" s="22" t="s">
        <v>91</v>
      </c>
      <c r="O955" s="20"/>
      <c r="P955" s="20" t="s">
        <v>93</v>
      </c>
      <c r="Q955" s="20" t="s">
        <v>1085</v>
      </c>
      <c r="R955" s="76" t="s">
        <v>95</v>
      </c>
      <c r="S955" s="0" t="n">
        <f aca="false">IF(Recherche!$B$4="",0,IF(ISNUMBER(SEARCH(Recherche!$B$4,D955))+ISNUMBER(SEARCH(Recherche!$B$4,K955))&gt;0,1,0))</f>
        <v>0</v>
      </c>
      <c r="T955" s="0" t="str">
        <f aca="false">IF(S955=1,SUM($S$2:S955),"")</f>
        <v/>
      </c>
    </row>
    <row r="956" customFormat="false" ht="23.85" hidden="false" customHeight="false" outlineLevel="0" collapsed="false">
      <c r="A956" s="24" t="s">
        <v>3194</v>
      </c>
      <c r="B956" s="24" t="s">
        <v>69</v>
      </c>
      <c r="C956" s="24" t="s">
        <v>3190</v>
      </c>
      <c r="D956" s="23" t="s">
        <v>824</v>
      </c>
      <c r="E956" s="26" t="s">
        <v>91</v>
      </c>
      <c r="F956" s="74" t="s">
        <v>82</v>
      </c>
      <c r="G956" s="74" t="s">
        <v>943</v>
      </c>
      <c r="H956" s="75" t="n">
        <v>33.87</v>
      </c>
      <c r="I956" s="25"/>
      <c r="J956" s="58"/>
      <c r="K956" s="23" t="s">
        <v>825</v>
      </c>
      <c r="L956" s="24"/>
      <c r="M956" s="24" t="s">
        <v>3195</v>
      </c>
      <c r="N956" s="26" t="s">
        <v>91</v>
      </c>
      <c r="O956" s="24"/>
      <c r="P956" s="24" t="s">
        <v>290</v>
      </c>
      <c r="Q956" s="24" t="s">
        <v>1380</v>
      </c>
      <c r="R956" s="73" t="s">
        <v>95</v>
      </c>
      <c r="S956" s="0" t="n">
        <f aca="false">IF(Recherche!$B$4="",0,IF(ISNUMBER(SEARCH(Recherche!$B$4,D956))+ISNUMBER(SEARCH(Recherche!$B$4,K956))&gt;0,1,0))</f>
        <v>0</v>
      </c>
      <c r="T956" s="0" t="str">
        <f aca="false">IF(S956=1,SUM($S$2:S956),"")</f>
        <v/>
      </c>
    </row>
    <row r="957" customFormat="false" ht="15" hidden="false" customHeight="false" outlineLevel="0" collapsed="false">
      <c r="A957" s="20" t="s">
        <v>3194</v>
      </c>
      <c r="B957" s="20" t="s">
        <v>69</v>
      </c>
      <c r="C957" s="20" t="s">
        <v>3190</v>
      </c>
      <c r="D957" s="19" t="s">
        <v>824</v>
      </c>
      <c r="E957" s="22" t="s">
        <v>91</v>
      </c>
      <c r="F957" s="20" t="s">
        <v>76</v>
      </c>
      <c r="G957" s="20" t="s">
        <v>939</v>
      </c>
      <c r="H957" s="21" t="n">
        <v>37.18</v>
      </c>
      <c r="I957" s="21"/>
      <c r="J957" s="52"/>
      <c r="K957" s="19" t="s">
        <v>3196</v>
      </c>
      <c r="L957" s="20" t="s">
        <v>3197</v>
      </c>
      <c r="M957" s="20" t="s">
        <v>3198</v>
      </c>
      <c r="N957" s="22" t="s">
        <v>91</v>
      </c>
      <c r="O957" s="20"/>
      <c r="P957" s="20" t="s">
        <v>93</v>
      </c>
      <c r="Q957" s="20" t="s">
        <v>942</v>
      </c>
      <c r="R957" s="76" t="s">
        <v>95</v>
      </c>
      <c r="S957" s="0" t="n">
        <f aca="false">IF(Recherche!$B$4="",0,IF(ISNUMBER(SEARCH(Recherche!$B$4,D957))+ISNUMBER(SEARCH(Recherche!$B$4,K957))&gt;0,1,0))</f>
        <v>0</v>
      </c>
      <c r="T957" s="0" t="str">
        <f aca="false">IF(S957=1,SUM($S$2:S957),"")</f>
        <v/>
      </c>
    </row>
    <row r="958" customFormat="false" ht="15" hidden="false" customHeight="false" outlineLevel="0" collapsed="false">
      <c r="A958" s="24" t="s">
        <v>3194</v>
      </c>
      <c r="B958" s="24" t="s">
        <v>69</v>
      </c>
      <c r="C958" s="24" t="s">
        <v>3190</v>
      </c>
      <c r="D958" s="23" t="s">
        <v>824</v>
      </c>
      <c r="E958" s="26" t="s">
        <v>91</v>
      </c>
      <c r="F958" s="74" t="s">
        <v>81</v>
      </c>
      <c r="G958" s="74" t="s">
        <v>979</v>
      </c>
      <c r="H958" s="75" t="n">
        <v>42.92</v>
      </c>
      <c r="I958" s="25" t="n">
        <v>45.24</v>
      </c>
      <c r="J958" s="58" t="n">
        <v>5.1</v>
      </c>
      <c r="K958" s="23" t="s">
        <v>3199</v>
      </c>
      <c r="L958" s="24" t="s">
        <v>1311</v>
      </c>
      <c r="M958" s="24" t="s">
        <v>3200</v>
      </c>
      <c r="N958" s="26" t="s">
        <v>91</v>
      </c>
      <c r="O958" s="24" t="s">
        <v>949</v>
      </c>
      <c r="P958" s="24" t="s">
        <v>169</v>
      </c>
      <c r="Q958" s="24" t="s">
        <v>1007</v>
      </c>
      <c r="R958" s="73" t="s">
        <v>95</v>
      </c>
      <c r="S958" s="0" t="n">
        <f aca="false">IF(Recherche!$B$4="",0,IF(ISNUMBER(SEARCH(Recherche!$B$4,D958))+ISNUMBER(SEARCH(Recherche!$B$4,K958))&gt;0,1,0))</f>
        <v>0</v>
      </c>
      <c r="T958" s="0" t="str">
        <f aca="false">IF(S958=1,SUM($S$2:S958),"")</f>
        <v/>
      </c>
    </row>
    <row r="959" customFormat="false" ht="23.85" hidden="false" customHeight="false" outlineLevel="0" collapsed="false">
      <c r="A959" s="20" t="s">
        <v>3194</v>
      </c>
      <c r="B959" s="20" t="s">
        <v>69</v>
      </c>
      <c r="C959" s="20" t="s">
        <v>3190</v>
      </c>
      <c r="D959" s="19" t="s">
        <v>824</v>
      </c>
      <c r="E959" s="22" t="s">
        <v>91</v>
      </c>
      <c r="F959" s="20" t="s">
        <v>80</v>
      </c>
      <c r="G959" s="20" t="s">
        <v>939</v>
      </c>
      <c r="H959" s="21" t="n">
        <v>43.63</v>
      </c>
      <c r="I959" s="21"/>
      <c r="J959" s="52"/>
      <c r="K959" s="19" t="s">
        <v>3201</v>
      </c>
      <c r="L959" s="20"/>
      <c r="M959" s="20" t="s">
        <v>3202</v>
      </c>
      <c r="N959" s="22" t="s">
        <v>91</v>
      </c>
      <c r="O959" s="20"/>
      <c r="P959" s="20" t="s">
        <v>303</v>
      </c>
      <c r="Q959" s="20" t="s">
        <v>942</v>
      </c>
      <c r="R959" s="76" t="s">
        <v>95</v>
      </c>
      <c r="S959" s="0" t="n">
        <f aca="false">IF(Recherche!$B$4="",0,IF(ISNUMBER(SEARCH(Recherche!$B$4,D959))+ISNUMBER(SEARCH(Recherche!$B$4,K959))&gt;0,1,0))</f>
        <v>0</v>
      </c>
      <c r="T959" s="0" t="str">
        <f aca="false">IF(S959=1,SUM($S$2:S959),"")</f>
        <v/>
      </c>
    </row>
    <row r="960" customFormat="false" ht="23.85" hidden="false" customHeight="false" outlineLevel="0" collapsed="false">
      <c r="A960" s="24" t="s">
        <v>3194</v>
      </c>
      <c r="B960" s="24" t="s">
        <v>69</v>
      </c>
      <c r="C960" s="24" t="s">
        <v>3190</v>
      </c>
      <c r="D960" s="23" t="s">
        <v>824</v>
      </c>
      <c r="E960" s="26" t="s">
        <v>91</v>
      </c>
      <c r="F960" s="74" t="s">
        <v>77</v>
      </c>
      <c r="G960" s="74" t="s">
        <v>979</v>
      </c>
      <c r="H960" s="75" t="n">
        <v>139.99</v>
      </c>
      <c r="I960" s="25" t="n">
        <v>148.93</v>
      </c>
      <c r="J960" s="58" t="n">
        <v>6</v>
      </c>
      <c r="K960" s="23" t="s">
        <v>3203</v>
      </c>
      <c r="L960" s="24" t="s">
        <v>3060</v>
      </c>
      <c r="M960" s="24" t="s">
        <v>3204</v>
      </c>
      <c r="N960" s="26" t="s">
        <v>91</v>
      </c>
      <c r="O960" s="24"/>
      <c r="P960" s="24" t="s">
        <v>114</v>
      </c>
      <c r="Q960" s="24" t="s">
        <v>983</v>
      </c>
      <c r="R960" s="73"/>
      <c r="S960" s="0" t="n">
        <f aca="false">IF(Recherche!$B$4="",0,IF(ISNUMBER(SEARCH(Recherche!$B$4,D960))+ISNUMBER(SEARCH(Recherche!$B$4,K960))&gt;0,1,0))</f>
        <v>0</v>
      </c>
      <c r="T960" s="0" t="str">
        <f aca="false">IF(S960=1,SUM($S$2:S960),"")</f>
        <v/>
      </c>
    </row>
    <row r="961" customFormat="false" ht="15" hidden="false" customHeight="false" outlineLevel="0" collapsed="false">
      <c r="A961" s="20" t="s">
        <v>3205</v>
      </c>
      <c r="B961" s="20" t="s">
        <v>69</v>
      </c>
      <c r="C961" s="20" t="s">
        <v>3190</v>
      </c>
      <c r="D961" s="19" t="s">
        <v>826</v>
      </c>
      <c r="E961" s="22" t="s">
        <v>827</v>
      </c>
      <c r="F961" s="20" t="s">
        <v>80</v>
      </c>
      <c r="G961" s="20" t="s">
        <v>939</v>
      </c>
      <c r="H961" s="21" t="n">
        <v>3.25</v>
      </c>
      <c r="I961" s="21"/>
      <c r="J961" s="52"/>
      <c r="K961" s="19" t="s">
        <v>828</v>
      </c>
      <c r="L961" s="20"/>
      <c r="M961" s="20" t="s">
        <v>3206</v>
      </c>
      <c r="N961" s="22" t="s">
        <v>91</v>
      </c>
      <c r="O961" s="20"/>
      <c r="P961" s="20" t="s">
        <v>303</v>
      </c>
      <c r="Q961" s="20" t="s">
        <v>963</v>
      </c>
      <c r="R961" s="76" t="s">
        <v>95</v>
      </c>
      <c r="S961" s="0" t="n">
        <f aca="false">IF(Recherche!$B$4="",0,IF(ISNUMBER(SEARCH(Recherche!$B$4,D961))+ISNUMBER(SEARCH(Recherche!$B$4,K961))&gt;0,1,0))</f>
        <v>0</v>
      </c>
      <c r="T961" s="0" t="str">
        <f aca="false">IF(S961=1,SUM($S$2:S961),"")</f>
        <v/>
      </c>
    </row>
    <row r="962" customFormat="false" ht="15" hidden="false" customHeight="false" outlineLevel="0" collapsed="false">
      <c r="A962" s="24" t="s">
        <v>3205</v>
      </c>
      <c r="B962" s="24" t="s">
        <v>69</v>
      </c>
      <c r="C962" s="24" t="s">
        <v>3190</v>
      </c>
      <c r="D962" s="23" t="s">
        <v>826</v>
      </c>
      <c r="E962" s="26" t="s">
        <v>827</v>
      </c>
      <c r="F962" s="74" t="s">
        <v>81</v>
      </c>
      <c r="G962" s="74" t="s">
        <v>979</v>
      </c>
      <c r="H962" s="75" t="n">
        <v>36.21</v>
      </c>
      <c r="I962" s="25" t="n">
        <v>37.84</v>
      </c>
      <c r="J962" s="58" t="n">
        <v>4.3</v>
      </c>
      <c r="K962" s="23" t="s">
        <v>3207</v>
      </c>
      <c r="L962" s="24" t="s">
        <v>3155</v>
      </c>
      <c r="M962" s="24" t="s">
        <v>3208</v>
      </c>
      <c r="N962" s="26" t="s">
        <v>91</v>
      </c>
      <c r="O962" s="24" t="s">
        <v>949</v>
      </c>
      <c r="P962" s="24" t="s">
        <v>169</v>
      </c>
      <c r="Q962" s="24" t="s">
        <v>1007</v>
      </c>
      <c r="R962" s="73" t="s">
        <v>95</v>
      </c>
      <c r="S962" s="0" t="n">
        <f aca="false">IF(Recherche!$B$4="",0,IF(ISNUMBER(SEARCH(Recherche!$B$4,D962))+ISNUMBER(SEARCH(Recherche!$B$4,K962))&gt;0,1,0))</f>
        <v>0</v>
      </c>
      <c r="T962" s="0" t="str">
        <f aca="false">IF(S962=1,SUM($S$2:S962),"")</f>
        <v/>
      </c>
    </row>
    <row r="963" customFormat="false" ht="15" hidden="false" customHeight="false" outlineLevel="0" collapsed="false">
      <c r="A963" s="20" t="s">
        <v>3205</v>
      </c>
      <c r="B963" s="20" t="s">
        <v>69</v>
      </c>
      <c r="C963" s="20" t="s">
        <v>3190</v>
      </c>
      <c r="D963" s="19" t="s">
        <v>826</v>
      </c>
      <c r="E963" s="22" t="s">
        <v>827</v>
      </c>
      <c r="F963" s="20" t="s">
        <v>76</v>
      </c>
      <c r="G963" s="20" t="s">
        <v>939</v>
      </c>
      <c r="H963" s="21" t="n">
        <v>54.85</v>
      </c>
      <c r="I963" s="21"/>
      <c r="J963" s="52"/>
      <c r="K963" s="19" t="s">
        <v>3209</v>
      </c>
      <c r="L963" s="20" t="s">
        <v>3197</v>
      </c>
      <c r="M963" s="20" t="s">
        <v>3210</v>
      </c>
      <c r="N963" s="22" t="s">
        <v>91</v>
      </c>
      <c r="O963" s="20"/>
      <c r="P963" s="20" t="s">
        <v>93</v>
      </c>
      <c r="Q963" s="20" t="s">
        <v>942</v>
      </c>
      <c r="R963" s="76" t="s">
        <v>95</v>
      </c>
      <c r="S963" s="0" t="n">
        <f aca="false">IF(Recherche!$B$4="",0,IF(ISNUMBER(SEARCH(Recherche!$B$4,D963))+ISNUMBER(SEARCH(Recherche!$B$4,K963))&gt;0,1,0))</f>
        <v>0</v>
      </c>
      <c r="T963" s="0" t="str">
        <f aca="false">IF(S963=1,SUM($S$2:S963),"")</f>
        <v/>
      </c>
    </row>
    <row r="964" customFormat="false" ht="15" hidden="false" customHeight="false" outlineLevel="0" collapsed="false">
      <c r="A964" s="24" t="s">
        <v>3205</v>
      </c>
      <c r="B964" s="24" t="s">
        <v>69</v>
      </c>
      <c r="C964" s="24" t="s">
        <v>3190</v>
      </c>
      <c r="D964" s="23" t="s">
        <v>826</v>
      </c>
      <c r="E964" s="26" t="s">
        <v>827</v>
      </c>
      <c r="F964" s="74" t="s">
        <v>77</v>
      </c>
      <c r="G964" s="74" t="s">
        <v>979</v>
      </c>
      <c r="H964" s="75" t="n">
        <v>102.32</v>
      </c>
      <c r="I964" s="25" t="n">
        <v>102.32</v>
      </c>
      <c r="J964" s="58"/>
      <c r="K964" s="23" t="s">
        <v>3211</v>
      </c>
      <c r="L964" s="24" t="s">
        <v>2972</v>
      </c>
      <c r="M964" s="24" t="s">
        <v>3212</v>
      </c>
      <c r="N964" s="26" t="s">
        <v>91</v>
      </c>
      <c r="O964" s="24"/>
      <c r="P964" s="24" t="s">
        <v>114</v>
      </c>
      <c r="Q964" s="24" t="s">
        <v>983</v>
      </c>
      <c r="R964" s="73"/>
      <c r="S964" s="0" t="n">
        <f aca="false">IF(Recherche!$B$4="",0,IF(ISNUMBER(SEARCH(Recherche!$B$4,D964))+ISNUMBER(SEARCH(Recherche!$B$4,K964))&gt;0,1,0))</f>
        <v>0</v>
      </c>
      <c r="T964" s="0" t="str">
        <f aca="false">IF(S964=1,SUM($S$2:S964),"")</f>
        <v/>
      </c>
    </row>
    <row r="965" customFormat="false" ht="15" hidden="false" customHeight="false" outlineLevel="0" collapsed="false">
      <c r="A965" s="20" t="s">
        <v>3213</v>
      </c>
      <c r="B965" s="20" t="s">
        <v>69</v>
      </c>
      <c r="C965" s="20" t="s">
        <v>3190</v>
      </c>
      <c r="D965" s="19" t="s">
        <v>829</v>
      </c>
      <c r="E965" s="22" t="s">
        <v>91</v>
      </c>
      <c r="F965" s="74" t="s">
        <v>81</v>
      </c>
      <c r="G965" s="74" t="s">
        <v>979</v>
      </c>
      <c r="H965" s="75" t="n">
        <v>167.2</v>
      </c>
      <c r="I965" s="21" t="n">
        <v>175.56</v>
      </c>
      <c r="J965" s="52" t="n">
        <v>4.8</v>
      </c>
      <c r="K965" s="19" t="s">
        <v>830</v>
      </c>
      <c r="L965" s="20" t="s">
        <v>2460</v>
      </c>
      <c r="M965" s="20" t="s">
        <v>3214</v>
      </c>
      <c r="N965" s="22" t="s">
        <v>91</v>
      </c>
      <c r="O965" s="20" t="s">
        <v>949</v>
      </c>
      <c r="P965" s="20" t="s">
        <v>169</v>
      </c>
      <c r="Q965" s="20" t="s">
        <v>1007</v>
      </c>
      <c r="R965" s="76" t="s">
        <v>95</v>
      </c>
      <c r="S965" s="0" t="n">
        <f aca="false">IF(Recherche!$B$4="",0,IF(ISNUMBER(SEARCH(Recherche!$B$4,D965))+ISNUMBER(SEARCH(Recherche!$B$4,K965))&gt;0,1,0))</f>
        <v>0</v>
      </c>
      <c r="T965" s="0" t="str">
        <f aca="false">IF(S965=1,SUM($S$2:S965),"")</f>
        <v/>
      </c>
    </row>
    <row r="966" customFormat="false" ht="23.85" hidden="false" customHeight="false" outlineLevel="0" collapsed="false">
      <c r="A966" s="24" t="s">
        <v>3213</v>
      </c>
      <c r="B966" s="24" t="s">
        <v>69</v>
      </c>
      <c r="C966" s="24" t="s">
        <v>3190</v>
      </c>
      <c r="D966" s="23" t="s">
        <v>829</v>
      </c>
      <c r="E966" s="26" t="s">
        <v>91</v>
      </c>
      <c r="F966" s="24" t="s">
        <v>80</v>
      </c>
      <c r="G966" s="24" t="s">
        <v>939</v>
      </c>
      <c r="H966" s="25" t="n">
        <v>194.67</v>
      </c>
      <c r="I966" s="25"/>
      <c r="J966" s="58"/>
      <c r="K966" s="23" t="s">
        <v>3215</v>
      </c>
      <c r="L966" s="24"/>
      <c r="M966" s="24" t="s">
        <v>3216</v>
      </c>
      <c r="N966" s="26" t="s">
        <v>91</v>
      </c>
      <c r="O966" s="24"/>
      <c r="P966" s="24" t="s">
        <v>303</v>
      </c>
      <c r="Q966" s="24" t="s">
        <v>942</v>
      </c>
      <c r="R966" s="73" t="s">
        <v>95</v>
      </c>
      <c r="S966" s="0" t="n">
        <f aca="false">IF(Recherche!$B$4="",0,IF(ISNUMBER(SEARCH(Recherche!$B$4,D966))+ISNUMBER(SEARCH(Recherche!$B$4,K966))&gt;0,1,0))</f>
        <v>0</v>
      </c>
      <c r="T966" s="0" t="str">
        <f aca="false">IF(S966=1,SUM($S$2:S966),"")</f>
        <v/>
      </c>
    </row>
    <row r="967" customFormat="false" ht="23.85" hidden="false" customHeight="false" outlineLevel="0" collapsed="false">
      <c r="A967" s="20" t="s">
        <v>3213</v>
      </c>
      <c r="B967" s="20" t="s">
        <v>69</v>
      </c>
      <c r="C967" s="20" t="s">
        <v>3190</v>
      </c>
      <c r="D967" s="19" t="s">
        <v>829</v>
      </c>
      <c r="E967" s="22" t="s">
        <v>91</v>
      </c>
      <c r="F967" s="20" t="s">
        <v>76</v>
      </c>
      <c r="G967" s="20" t="s">
        <v>939</v>
      </c>
      <c r="H967" s="21" t="n">
        <v>314.87</v>
      </c>
      <c r="I967" s="21"/>
      <c r="J967" s="52"/>
      <c r="K967" s="19" t="s">
        <v>3217</v>
      </c>
      <c r="L967" s="20" t="s">
        <v>3218</v>
      </c>
      <c r="M967" s="20" t="s">
        <v>3219</v>
      </c>
      <c r="N967" s="22" t="s">
        <v>91</v>
      </c>
      <c r="O967" s="20"/>
      <c r="P967" s="20" t="s">
        <v>93</v>
      </c>
      <c r="Q967" s="20" t="s">
        <v>942</v>
      </c>
      <c r="R967" s="76" t="s">
        <v>95</v>
      </c>
      <c r="S967" s="0" t="n">
        <f aca="false">IF(Recherche!$B$4="",0,IF(ISNUMBER(SEARCH(Recherche!$B$4,D967))+ISNUMBER(SEARCH(Recherche!$B$4,K967))&gt;0,1,0))</f>
        <v>0</v>
      </c>
      <c r="T967" s="0" t="str">
        <f aca="false">IF(S967=1,SUM($S$2:S967),"")</f>
        <v/>
      </c>
    </row>
    <row r="968" customFormat="false" ht="23.85" hidden="false" customHeight="false" outlineLevel="0" collapsed="false">
      <c r="A968" s="24" t="s">
        <v>3220</v>
      </c>
      <c r="B968" s="24" t="s">
        <v>69</v>
      </c>
      <c r="C968" s="24" t="s">
        <v>3190</v>
      </c>
      <c r="D968" s="23" t="s">
        <v>831</v>
      </c>
      <c r="E968" s="26" t="s">
        <v>91</v>
      </c>
      <c r="F968" s="24" t="s">
        <v>80</v>
      </c>
      <c r="G968" s="24" t="s">
        <v>939</v>
      </c>
      <c r="H968" s="25" t="n">
        <v>261.44</v>
      </c>
      <c r="I968" s="25"/>
      <c r="J968" s="58"/>
      <c r="K968" s="23" t="s">
        <v>832</v>
      </c>
      <c r="L968" s="24"/>
      <c r="M968" s="24" t="s">
        <v>3221</v>
      </c>
      <c r="N968" s="26" t="s">
        <v>91</v>
      </c>
      <c r="O968" s="24"/>
      <c r="P968" s="24" t="s">
        <v>303</v>
      </c>
      <c r="Q968" s="24" t="s">
        <v>942</v>
      </c>
      <c r="R968" s="73" t="s">
        <v>95</v>
      </c>
      <c r="S968" s="0" t="n">
        <f aca="false">IF(Recherche!$B$4="",0,IF(ISNUMBER(SEARCH(Recherche!$B$4,D968))+ISNUMBER(SEARCH(Recherche!$B$4,K968))&gt;0,1,0))</f>
        <v>0</v>
      </c>
      <c r="T968" s="0" t="str">
        <f aca="false">IF(S968=1,SUM($S$2:S968),"")</f>
        <v/>
      </c>
    </row>
    <row r="969" customFormat="false" ht="23.85" hidden="false" customHeight="false" outlineLevel="0" collapsed="false">
      <c r="A969" s="20" t="s">
        <v>3220</v>
      </c>
      <c r="B969" s="20" t="s">
        <v>69</v>
      </c>
      <c r="C969" s="20" t="s">
        <v>3190</v>
      </c>
      <c r="D969" s="19" t="s">
        <v>831</v>
      </c>
      <c r="E969" s="22" t="s">
        <v>91</v>
      </c>
      <c r="F969" s="20" t="s">
        <v>76</v>
      </c>
      <c r="G969" s="20" t="s">
        <v>939</v>
      </c>
      <c r="H969" s="21" t="n">
        <v>501.75</v>
      </c>
      <c r="I969" s="21"/>
      <c r="J969" s="52"/>
      <c r="K969" s="19" t="s">
        <v>3222</v>
      </c>
      <c r="L969" s="20" t="s">
        <v>3008</v>
      </c>
      <c r="M969" s="20" t="s">
        <v>3223</v>
      </c>
      <c r="N969" s="22" t="s">
        <v>91</v>
      </c>
      <c r="O969" s="20"/>
      <c r="P969" s="20" t="s">
        <v>93</v>
      </c>
      <c r="Q969" s="20" t="s">
        <v>942</v>
      </c>
      <c r="R969" s="76" t="s">
        <v>95</v>
      </c>
      <c r="S969" s="0" t="n">
        <f aca="false">IF(Recherche!$B$4="",0,IF(ISNUMBER(SEARCH(Recherche!$B$4,D969))+ISNUMBER(SEARCH(Recherche!$B$4,K969))&gt;0,1,0))</f>
        <v>0</v>
      </c>
      <c r="T969" s="0" t="str">
        <f aca="false">IF(S969=1,SUM($S$2:S969),"")</f>
        <v/>
      </c>
    </row>
    <row r="970" customFormat="false" ht="15" hidden="false" customHeight="false" outlineLevel="0" collapsed="false">
      <c r="A970" s="24" t="s">
        <v>3224</v>
      </c>
      <c r="B970" s="24" t="s">
        <v>70</v>
      </c>
      <c r="C970" s="24" t="s">
        <v>3225</v>
      </c>
      <c r="D970" s="23" t="s">
        <v>833</v>
      </c>
      <c r="E970" s="26" t="s">
        <v>91</v>
      </c>
      <c r="F970" s="24" t="s">
        <v>76</v>
      </c>
      <c r="G970" s="24" t="s">
        <v>939</v>
      </c>
      <c r="H970" s="25" t="n">
        <v>3.12</v>
      </c>
      <c r="I970" s="25"/>
      <c r="J970" s="58"/>
      <c r="K970" s="23" t="s">
        <v>834</v>
      </c>
      <c r="L970" s="24" t="s">
        <v>3226</v>
      </c>
      <c r="M970" s="24" t="s">
        <v>3227</v>
      </c>
      <c r="N970" s="26" t="s">
        <v>91</v>
      </c>
      <c r="O970" s="24"/>
      <c r="P970" s="24" t="s">
        <v>93</v>
      </c>
      <c r="Q970" s="24" t="s">
        <v>963</v>
      </c>
      <c r="R970" s="73" t="s">
        <v>95</v>
      </c>
      <c r="S970" s="0" t="n">
        <f aca="false">IF(Recherche!$B$4="",0,IF(ISNUMBER(SEARCH(Recherche!$B$4,D970))+ISNUMBER(SEARCH(Recherche!$B$4,K970))&gt;0,1,0))</f>
        <v>0</v>
      </c>
      <c r="T970" s="0" t="str">
        <f aca="false">IF(S970=1,SUM($S$2:S970),"")</f>
        <v/>
      </c>
    </row>
    <row r="971" customFormat="false" ht="15" hidden="false" customHeight="false" outlineLevel="0" collapsed="false">
      <c r="A971" s="20" t="s">
        <v>3224</v>
      </c>
      <c r="B971" s="20" t="s">
        <v>70</v>
      </c>
      <c r="C971" s="20" t="s">
        <v>3225</v>
      </c>
      <c r="D971" s="19" t="s">
        <v>833</v>
      </c>
      <c r="E971" s="22" t="s">
        <v>91</v>
      </c>
      <c r="F971" s="20" t="s">
        <v>80</v>
      </c>
      <c r="G971" s="20" t="s">
        <v>939</v>
      </c>
      <c r="H971" s="21" t="n">
        <v>5.6</v>
      </c>
      <c r="I971" s="21"/>
      <c r="J971" s="52"/>
      <c r="K971" s="19" t="s">
        <v>3228</v>
      </c>
      <c r="L971" s="20"/>
      <c r="M971" s="20" t="s">
        <v>3229</v>
      </c>
      <c r="N971" s="22" t="s">
        <v>91</v>
      </c>
      <c r="O971" s="20"/>
      <c r="P971" s="20" t="s">
        <v>303</v>
      </c>
      <c r="Q971" s="20" t="s">
        <v>963</v>
      </c>
      <c r="R971" s="76" t="s">
        <v>95</v>
      </c>
      <c r="S971" s="0" t="n">
        <f aca="false">IF(Recherche!$B$4="",0,IF(ISNUMBER(SEARCH(Recherche!$B$4,D971))+ISNUMBER(SEARCH(Recherche!$B$4,K971))&gt;0,1,0))</f>
        <v>0</v>
      </c>
      <c r="T971" s="0" t="str">
        <f aca="false">IF(S971=1,SUM($S$2:S971),"")</f>
        <v/>
      </c>
    </row>
    <row r="972" customFormat="false" ht="15" hidden="false" customHeight="false" outlineLevel="0" collapsed="false">
      <c r="A972" s="24" t="s">
        <v>3224</v>
      </c>
      <c r="B972" s="24" t="s">
        <v>70</v>
      </c>
      <c r="C972" s="24" t="s">
        <v>3225</v>
      </c>
      <c r="D972" s="23" t="s">
        <v>833</v>
      </c>
      <c r="E972" s="26" t="s">
        <v>91</v>
      </c>
      <c r="F972" s="74" t="s">
        <v>81</v>
      </c>
      <c r="G972" s="74" t="s">
        <v>979</v>
      </c>
      <c r="H972" s="75" t="n">
        <v>27.27</v>
      </c>
      <c r="I972" s="25" t="n">
        <v>28.7</v>
      </c>
      <c r="J972" s="58" t="n">
        <v>5</v>
      </c>
      <c r="K972" s="23" t="s">
        <v>3230</v>
      </c>
      <c r="L972" s="24" t="s">
        <v>1574</v>
      </c>
      <c r="M972" s="24" t="s">
        <v>3231</v>
      </c>
      <c r="N972" s="26" t="s">
        <v>91</v>
      </c>
      <c r="O972" s="24" t="s">
        <v>949</v>
      </c>
      <c r="P972" s="24" t="s">
        <v>169</v>
      </c>
      <c r="Q972" s="24" t="s">
        <v>1016</v>
      </c>
      <c r="R972" s="73" t="s">
        <v>95</v>
      </c>
      <c r="S972" s="0" t="n">
        <f aca="false">IF(Recherche!$B$4="",0,IF(ISNUMBER(SEARCH(Recherche!$B$4,D972))+ISNUMBER(SEARCH(Recherche!$B$4,K972))&gt;0,1,0))</f>
        <v>0</v>
      </c>
      <c r="T972" s="0" t="str">
        <f aca="false">IF(S972=1,SUM($S$2:S972),"")</f>
        <v/>
      </c>
    </row>
    <row r="973" customFormat="false" ht="23.85" hidden="false" customHeight="false" outlineLevel="0" collapsed="false">
      <c r="A973" s="20" t="s">
        <v>3232</v>
      </c>
      <c r="B973" s="20" t="s">
        <v>70</v>
      </c>
      <c r="C973" s="20" t="s">
        <v>3225</v>
      </c>
      <c r="D973" s="19" t="s">
        <v>835</v>
      </c>
      <c r="E973" s="22" t="s">
        <v>91</v>
      </c>
      <c r="F973" s="20" t="s">
        <v>80</v>
      </c>
      <c r="G973" s="20" t="s">
        <v>939</v>
      </c>
      <c r="H973" s="21" t="n">
        <v>31.88</v>
      </c>
      <c r="I973" s="21"/>
      <c r="J973" s="52"/>
      <c r="K973" s="19" t="s">
        <v>3233</v>
      </c>
      <c r="L973" s="20"/>
      <c r="M973" s="20" t="s">
        <v>3234</v>
      </c>
      <c r="N973" s="22" t="s">
        <v>91</v>
      </c>
      <c r="O973" s="20"/>
      <c r="P973" s="20" t="s">
        <v>303</v>
      </c>
      <c r="Q973" s="20" t="s">
        <v>963</v>
      </c>
      <c r="R973" s="76" t="s">
        <v>95</v>
      </c>
      <c r="S973" s="0" t="n">
        <f aca="false">IF(Recherche!$B$4="",0,IF(ISNUMBER(SEARCH(Recherche!$B$4,D973))+ISNUMBER(SEARCH(Recherche!$B$4,K973))&gt;0,1,0))</f>
        <v>0</v>
      </c>
      <c r="T973" s="0" t="str">
        <f aca="false">IF(S973=1,SUM($S$2:S973),"")</f>
        <v/>
      </c>
    </row>
    <row r="974" customFormat="false" ht="23.85" hidden="false" customHeight="false" outlineLevel="0" collapsed="false">
      <c r="A974" s="24" t="s">
        <v>3232</v>
      </c>
      <c r="B974" s="24" t="s">
        <v>70</v>
      </c>
      <c r="C974" s="24" t="s">
        <v>3225</v>
      </c>
      <c r="D974" s="23" t="s">
        <v>835</v>
      </c>
      <c r="E974" s="26" t="s">
        <v>91</v>
      </c>
      <c r="F974" s="74" t="s">
        <v>78</v>
      </c>
      <c r="G974" s="74" t="s">
        <v>943</v>
      </c>
      <c r="H974" s="75" t="n">
        <v>53.51</v>
      </c>
      <c r="I974" s="25"/>
      <c r="J974" s="58"/>
      <c r="K974" s="23" t="s">
        <v>836</v>
      </c>
      <c r="L974" s="24"/>
      <c r="M974" s="24" t="s">
        <v>3235</v>
      </c>
      <c r="N974" s="26" t="s">
        <v>91</v>
      </c>
      <c r="O974" s="24" t="s">
        <v>949</v>
      </c>
      <c r="P974" s="24" t="s">
        <v>93</v>
      </c>
      <c r="Q974" s="24" t="s">
        <v>1016</v>
      </c>
      <c r="R974" s="73" t="s">
        <v>95</v>
      </c>
      <c r="S974" s="0" t="n">
        <f aca="false">IF(Recherche!$B$4="",0,IF(ISNUMBER(SEARCH(Recherche!$B$4,D974))+ISNUMBER(SEARCH(Recherche!$B$4,K974))&gt;0,1,0))</f>
        <v>0</v>
      </c>
      <c r="T974" s="0" t="str">
        <f aca="false">IF(S974=1,SUM($S$2:S974),"")</f>
        <v/>
      </c>
    </row>
    <row r="975" customFormat="false" ht="15" hidden="false" customHeight="false" outlineLevel="0" collapsed="false">
      <c r="A975" s="20" t="s">
        <v>3236</v>
      </c>
      <c r="B975" s="20" t="s">
        <v>70</v>
      </c>
      <c r="C975" s="20" t="s">
        <v>3225</v>
      </c>
      <c r="D975" s="19" t="s">
        <v>837</v>
      </c>
      <c r="E975" s="22" t="s">
        <v>91</v>
      </c>
      <c r="F975" s="20" t="s">
        <v>76</v>
      </c>
      <c r="G975" s="20" t="s">
        <v>939</v>
      </c>
      <c r="H975" s="21" t="n">
        <v>29.97</v>
      </c>
      <c r="I975" s="21"/>
      <c r="J975" s="52"/>
      <c r="K975" s="19" t="s">
        <v>838</v>
      </c>
      <c r="L975" s="20" t="s">
        <v>3237</v>
      </c>
      <c r="M975" s="20" t="s">
        <v>3238</v>
      </c>
      <c r="N975" s="22" t="s">
        <v>91</v>
      </c>
      <c r="O975" s="20"/>
      <c r="P975" s="20" t="s">
        <v>93</v>
      </c>
      <c r="Q975" s="20" t="s">
        <v>1052</v>
      </c>
      <c r="R975" s="76" t="s">
        <v>95</v>
      </c>
      <c r="S975" s="0" t="n">
        <f aca="false">IF(Recherche!$B$4="",0,IF(ISNUMBER(SEARCH(Recherche!$B$4,D975))+ISNUMBER(SEARCH(Recherche!$B$4,K975))&gt;0,1,0))</f>
        <v>0</v>
      </c>
      <c r="T975" s="0" t="str">
        <f aca="false">IF(S975=1,SUM($S$2:S975),"")</f>
        <v/>
      </c>
    </row>
    <row r="976" customFormat="false" ht="23.85" hidden="false" customHeight="false" outlineLevel="0" collapsed="false">
      <c r="A976" s="24" t="s">
        <v>3239</v>
      </c>
      <c r="B976" s="24" t="s">
        <v>70</v>
      </c>
      <c r="C976" s="24" t="s">
        <v>3225</v>
      </c>
      <c r="D976" s="23" t="s">
        <v>839</v>
      </c>
      <c r="E976" s="26" t="s">
        <v>91</v>
      </c>
      <c r="F976" s="74" t="s">
        <v>78</v>
      </c>
      <c r="G976" s="74" t="s">
        <v>943</v>
      </c>
      <c r="H976" s="75" t="n">
        <v>1.21</v>
      </c>
      <c r="I976" s="25"/>
      <c r="J976" s="58"/>
      <c r="K976" s="23" t="s">
        <v>840</v>
      </c>
      <c r="L976" s="24"/>
      <c r="M976" s="24" t="s">
        <v>3240</v>
      </c>
      <c r="N976" s="26" t="s">
        <v>91</v>
      </c>
      <c r="O976" s="24"/>
      <c r="P976" s="24" t="s">
        <v>93</v>
      </c>
      <c r="Q976" s="24" t="s">
        <v>946</v>
      </c>
      <c r="R976" s="73"/>
      <c r="S976" s="0" t="n">
        <f aca="false">IF(Recherche!$B$4="",0,IF(ISNUMBER(SEARCH(Recherche!$B$4,D976))+ISNUMBER(SEARCH(Recherche!$B$4,K976))&gt;0,1,0))</f>
        <v>0</v>
      </c>
      <c r="T976" s="0" t="str">
        <f aca="false">IF(S976=1,SUM($S$2:S976),"")</f>
        <v/>
      </c>
    </row>
    <row r="977" customFormat="false" ht="23.85" hidden="false" customHeight="false" outlineLevel="0" collapsed="false">
      <c r="A977" s="20" t="s">
        <v>3241</v>
      </c>
      <c r="B977" s="20" t="s">
        <v>70</v>
      </c>
      <c r="C977" s="20" t="s">
        <v>3225</v>
      </c>
      <c r="D977" s="19" t="s">
        <v>841</v>
      </c>
      <c r="E977" s="22" t="s">
        <v>91</v>
      </c>
      <c r="F977" s="74" t="s">
        <v>78</v>
      </c>
      <c r="G977" s="74" t="s">
        <v>943</v>
      </c>
      <c r="H977" s="75" t="n">
        <v>93.48</v>
      </c>
      <c r="I977" s="21"/>
      <c r="J977" s="52"/>
      <c r="K977" s="19" t="s">
        <v>842</v>
      </c>
      <c r="L977" s="20"/>
      <c r="M977" s="20" t="s">
        <v>3242</v>
      </c>
      <c r="N977" s="22" t="s">
        <v>91</v>
      </c>
      <c r="O977" s="20" t="s">
        <v>949</v>
      </c>
      <c r="P977" s="20" t="s">
        <v>93</v>
      </c>
      <c r="Q977" s="20" t="s">
        <v>1016</v>
      </c>
      <c r="R977" s="76" t="s">
        <v>95</v>
      </c>
      <c r="S977" s="0" t="n">
        <f aca="false">IF(Recherche!$B$4="",0,IF(ISNUMBER(SEARCH(Recherche!$B$4,D977))+ISNUMBER(SEARCH(Recherche!$B$4,K977))&gt;0,1,0))</f>
        <v>0</v>
      </c>
      <c r="T977" s="0" t="str">
        <f aca="false">IF(S977=1,SUM($S$2:S977),"")</f>
        <v/>
      </c>
    </row>
    <row r="978" customFormat="false" ht="23.85" hidden="false" customHeight="false" outlineLevel="0" collapsed="false">
      <c r="A978" s="24" t="s">
        <v>3243</v>
      </c>
      <c r="B978" s="24" t="s">
        <v>70</v>
      </c>
      <c r="C978" s="24" t="s">
        <v>3225</v>
      </c>
      <c r="D978" s="23" t="s">
        <v>843</v>
      </c>
      <c r="E978" s="26" t="s">
        <v>91</v>
      </c>
      <c r="F978" s="24" t="s">
        <v>76</v>
      </c>
      <c r="G978" s="24" t="s">
        <v>939</v>
      </c>
      <c r="H978" s="25" t="n">
        <v>6.05</v>
      </c>
      <c r="I978" s="25"/>
      <c r="J978" s="58"/>
      <c r="K978" s="23" t="s">
        <v>844</v>
      </c>
      <c r="L978" s="24" t="s">
        <v>969</v>
      </c>
      <c r="M978" s="24" t="s">
        <v>3244</v>
      </c>
      <c r="N978" s="26" t="s">
        <v>91</v>
      </c>
      <c r="O978" s="24"/>
      <c r="P978" s="24" t="s">
        <v>93</v>
      </c>
      <c r="Q978" s="24" t="s">
        <v>942</v>
      </c>
      <c r="R978" s="73" t="s">
        <v>95</v>
      </c>
      <c r="S978" s="0" t="n">
        <f aca="false">IF(Recherche!$B$4="",0,IF(ISNUMBER(SEARCH(Recherche!$B$4,D978))+ISNUMBER(SEARCH(Recherche!$B$4,K978))&gt;0,1,0))</f>
        <v>0</v>
      </c>
      <c r="T978" s="0" t="str">
        <f aca="false">IF(S978=1,SUM($S$2:S978),"")</f>
        <v/>
      </c>
    </row>
    <row r="979" customFormat="false" ht="23.85" hidden="false" customHeight="false" outlineLevel="0" collapsed="false">
      <c r="A979" s="20" t="s">
        <v>3243</v>
      </c>
      <c r="B979" s="20" t="s">
        <v>70</v>
      </c>
      <c r="C979" s="20" t="s">
        <v>3225</v>
      </c>
      <c r="D979" s="19" t="s">
        <v>843</v>
      </c>
      <c r="E979" s="22" t="s">
        <v>91</v>
      </c>
      <c r="F979" s="74" t="s">
        <v>77</v>
      </c>
      <c r="G979" s="74" t="s">
        <v>979</v>
      </c>
      <c r="H979" s="75" t="n">
        <v>135.56</v>
      </c>
      <c r="I979" s="21" t="n">
        <v>152.31</v>
      </c>
      <c r="J979" s="52" t="n">
        <v>11</v>
      </c>
      <c r="K979" s="19" t="s">
        <v>3245</v>
      </c>
      <c r="L979" s="20" t="s">
        <v>981</v>
      </c>
      <c r="M979" s="20" t="s">
        <v>3246</v>
      </c>
      <c r="N979" s="22" t="s">
        <v>91</v>
      </c>
      <c r="O979" s="20"/>
      <c r="P979" s="20" t="s">
        <v>114</v>
      </c>
      <c r="Q979" s="20" t="s">
        <v>983</v>
      </c>
      <c r="R979" s="76"/>
      <c r="S979" s="0" t="n">
        <f aca="false">IF(Recherche!$B$4="",0,IF(ISNUMBER(SEARCH(Recherche!$B$4,D979))+ISNUMBER(SEARCH(Recherche!$B$4,K979))&gt;0,1,0))</f>
        <v>0</v>
      </c>
      <c r="T979" s="0" t="str">
        <f aca="false">IF(S979=1,SUM($S$2:S979),"")</f>
        <v/>
      </c>
    </row>
    <row r="980" customFormat="false" ht="15" hidden="false" customHeight="false" outlineLevel="0" collapsed="false">
      <c r="A980" s="24" t="s">
        <v>3247</v>
      </c>
      <c r="B980" s="24" t="s">
        <v>70</v>
      </c>
      <c r="C980" s="24" t="s">
        <v>3225</v>
      </c>
      <c r="D980" s="23" t="s">
        <v>845</v>
      </c>
      <c r="E980" s="26" t="s">
        <v>91</v>
      </c>
      <c r="F980" s="74" t="s">
        <v>77</v>
      </c>
      <c r="G980" s="74" t="s">
        <v>979</v>
      </c>
      <c r="H980" s="75" t="n">
        <v>5.66</v>
      </c>
      <c r="I980" s="25" t="n">
        <v>6.36</v>
      </c>
      <c r="J980" s="58" t="n">
        <v>11</v>
      </c>
      <c r="K980" s="23" t="s">
        <v>846</v>
      </c>
      <c r="L980" s="24" t="s">
        <v>981</v>
      </c>
      <c r="M980" s="24" t="s">
        <v>3248</v>
      </c>
      <c r="N980" s="26" t="s">
        <v>91</v>
      </c>
      <c r="O980" s="24"/>
      <c r="P980" s="24" t="s">
        <v>114</v>
      </c>
      <c r="Q980" s="24" t="s">
        <v>983</v>
      </c>
      <c r="R980" s="73"/>
      <c r="S980" s="0" t="n">
        <f aca="false">IF(Recherche!$B$4="",0,IF(ISNUMBER(SEARCH(Recherche!$B$4,D980))+ISNUMBER(SEARCH(Recherche!$B$4,K980))&gt;0,1,0))</f>
        <v>0</v>
      </c>
      <c r="T980" s="0" t="str">
        <f aca="false">IF(S980=1,SUM($S$2:S980),"")</f>
        <v/>
      </c>
    </row>
    <row r="981" customFormat="false" ht="15" hidden="false" customHeight="false" outlineLevel="0" collapsed="false">
      <c r="A981" s="20" t="s">
        <v>3247</v>
      </c>
      <c r="B981" s="20" t="s">
        <v>70</v>
      </c>
      <c r="C981" s="20" t="s">
        <v>3225</v>
      </c>
      <c r="D981" s="19" t="s">
        <v>845</v>
      </c>
      <c r="E981" s="22" t="s">
        <v>91</v>
      </c>
      <c r="F981" s="20" t="s">
        <v>76</v>
      </c>
      <c r="G981" s="20" t="s">
        <v>939</v>
      </c>
      <c r="H981" s="21" t="n">
        <v>6.11</v>
      </c>
      <c r="I981" s="21"/>
      <c r="J981" s="52"/>
      <c r="K981" s="19" t="s">
        <v>3249</v>
      </c>
      <c r="L981" s="20"/>
      <c r="M981" s="20" t="s">
        <v>3250</v>
      </c>
      <c r="N981" s="22" t="s">
        <v>91</v>
      </c>
      <c r="O981" s="20"/>
      <c r="P981" s="20" t="s">
        <v>93</v>
      </c>
      <c r="Q981" s="20" t="s">
        <v>942</v>
      </c>
      <c r="R981" s="76" t="s">
        <v>95</v>
      </c>
      <c r="S981" s="0" t="n">
        <f aca="false">IF(Recherche!$B$4="",0,IF(ISNUMBER(SEARCH(Recherche!$B$4,D981))+ISNUMBER(SEARCH(Recherche!$B$4,K981))&gt;0,1,0))</f>
        <v>0</v>
      </c>
      <c r="T981" s="0" t="str">
        <f aca="false">IF(S981=1,SUM($S$2:S981),"")</f>
        <v/>
      </c>
    </row>
    <row r="982" customFormat="false" ht="15" hidden="false" customHeight="false" outlineLevel="0" collapsed="false">
      <c r="A982" s="24" t="s">
        <v>3247</v>
      </c>
      <c r="B982" s="24" t="s">
        <v>70</v>
      </c>
      <c r="C982" s="24" t="s">
        <v>3225</v>
      </c>
      <c r="D982" s="23" t="s">
        <v>845</v>
      </c>
      <c r="E982" s="26" t="s">
        <v>91</v>
      </c>
      <c r="F982" s="24" t="s">
        <v>80</v>
      </c>
      <c r="G982" s="24" t="s">
        <v>939</v>
      </c>
      <c r="H982" s="25" t="n">
        <v>110.99</v>
      </c>
      <c r="I982" s="25"/>
      <c r="J982" s="58"/>
      <c r="K982" s="23" t="s">
        <v>3251</v>
      </c>
      <c r="L982" s="24"/>
      <c r="M982" s="24" t="s">
        <v>3252</v>
      </c>
      <c r="N982" s="26" t="s">
        <v>91</v>
      </c>
      <c r="O982" s="24"/>
      <c r="P982" s="24" t="s">
        <v>303</v>
      </c>
      <c r="Q982" s="24" t="s">
        <v>942</v>
      </c>
      <c r="R982" s="73" t="s">
        <v>95</v>
      </c>
      <c r="S982" s="0" t="n">
        <f aca="false">IF(Recherche!$B$4="",0,IF(ISNUMBER(SEARCH(Recherche!$B$4,D982))+ISNUMBER(SEARCH(Recherche!$B$4,K982))&gt;0,1,0))</f>
        <v>0</v>
      </c>
      <c r="T982" s="0" t="str">
        <f aca="false">IF(S982=1,SUM($S$2:S982),"")</f>
        <v/>
      </c>
    </row>
    <row r="983" customFormat="false" ht="23.85" hidden="false" customHeight="false" outlineLevel="0" collapsed="false">
      <c r="A983" s="20" t="s">
        <v>3253</v>
      </c>
      <c r="B983" s="20" t="s">
        <v>70</v>
      </c>
      <c r="C983" s="20" t="s">
        <v>3254</v>
      </c>
      <c r="D983" s="19" t="s">
        <v>847</v>
      </c>
      <c r="E983" s="22" t="s">
        <v>757</v>
      </c>
      <c r="F983" s="20" t="s">
        <v>76</v>
      </c>
      <c r="G983" s="20" t="s">
        <v>939</v>
      </c>
      <c r="H983" s="21" t="n">
        <v>13.01</v>
      </c>
      <c r="I983" s="21"/>
      <c r="J983" s="52"/>
      <c r="K983" s="19" t="s">
        <v>848</v>
      </c>
      <c r="L983" s="20" t="s">
        <v>3255</v>
      </c>
      <c r="M983" s="20" t="s">
        <v>3256</v>
      </c>
      <c r="N983" s="22" t="s">
        <v>757</v>
      </c>
      <c r="O983" s="20"/>
      <c r="P983" s="20" t="s">
        <v>93</v>
      </c>
      <c r="Q983" s="20" t="s">
        <v>942</v>
      </c>
      <c r="R983" s="76" t="s">
        <v>95</v>
      </c>
      <c r="S983" s="0" t="n">
        <f aca="false">IF(Recherche!$B$4="",0,IF(ISNUMBER(SEARCH(Recherche!$B$4,D983))+ISNUMBER(SEARCH(Recherche!$B$4,K983))&gt;0,1,0))</f>
        <v>0</v>
      </c>
      <c r="T983" s="0" t="str">
        <f aca="false">IF(S983=1,SUM($S$2:S983),"")</f>
        <v/>
      </c>
    </row>
    <row r="984" customFormat="false" ht="23.85" hidden="false" customHeight="false" outlineLevel="0" collapsed="false">
      <c r="A984" s="24" t="s">
        <v>3253</v>
      </c>
      <c r="B984" s="24" t="s">
        <v>70</v>
      </c>
      <c r="C984" s="24" t="s">
        <v>3254</v>
      </c>
      <c r="D984" s="23" t="s">
        <v>847</v>
      </c>
      <c r="E984" s="26" t="s">
        <v>757</v>
      </c>
      <c r="F984" s="24" t="s">
        <v>80</v>
      </c>
      <c r="G984" s="24" t="s">
        <v>939</v>
      </c>
      <c r="H984" s="25" t="n">
        <v>13.78</v>
      </c>
      <c r="I984" s="25"/>
      <c r="J984" s="58"/>
      <c r="K984" s="23" t="s">
        <v>3257</v>
      </c>
      <c r="L984" s="24"/>
      <c r="M984" s="24" t="s">
        <v>3258</v>
      </c>
      <c r="N984" s="26" t="s">
        <v>91</v>
      </c>
      <c r="O984" s="24"/>
      <c r="P984" s="24" t="s">
        <v>303</v>
      </c>
      <c r="Q984" s="24" t="s">
        <v>963</v>
      </c>
      <c r="R984" s="73" t="s">
        <v>95</v>
      </c>
      <c r="S984" s="0" t="n">
        <f aca="false">IF(Recherche!$B$4="",0,IF(ISNUMBER(SEARCH(Recherche!$B$4,D984))+ISNUMBER(SEARCH(Recherche!$B$4,K984))&gt;0,1,0))</f>
        <v>0</v>
      </c>
      <c r="T984" s="0" t="str">
        <f aca="false">IF(S984=1,SUM($S$2:S984),"")</f>
        <v/>
      </c>
    </row>
    <row r="985" customFormat="false" ht="15" hidden="false" customHeight="false" outlineLevel="0" collapsed="false">
      <c r="A985" s="20" t="s">
        <v>3253</v>
      </c>
      <c r="B985" s="20" t="s">
        <v>70</v>
      </c>
      <c r="C985" s="20" t="s">
        <v>3254</v>
      </c>
      <c r="D985" s="19" t="s">
        <v>847</v>
      </c>
      <c r="E985" s="22" t="s">
        <v>757</v>
      </c>
      <c r="F985" s="74" t="s">
        <v>81</v>
      </c>
      <c r="G985" s="74" t="s">
        <v>979</v>
      </c>
      <c r="H985" s="75" t="n">
        <v>14.64</v>
      </c>
      <c r="I985" s="21" t="n">
        <v>15.43</v>
      </c>
      <c r="J985" s="52" t="n">
        <v>5.1</v>
      </c>
      <c r="K985" s="19" t="s">
        <v>3259</v>
      </c>
      <c r="L985" s="20" t="s">
        <v>3260</v>
      </c>
      <c r="M985" s="20" t="s">
        <v>3261</v>
      </c>
      <c r="N985" s="22" t="s">
        <v>91</v>
      </c>
      <c r="O985" s="20" t="s">
        <v>949</v>
      </c>
      <c r="P985" s="20" t="s">
        <v>119</v>
      </c>
      <c r="Q985" s="20" t="s">
        <v>1016</v>
      </c>
      <c r="R985" s="76" t="s">
        <v>95</v>
      </c>
      <c r="S985" s="0" t="n">
        <f aca="false">IF(Recherche!$B$4="",0,IF(ISNUMBER(SEARCH(Recherche!$B$4,D985))+ISNUMBER(SEARCH(Recherche!$B$4,K985))&gt;0,1,0))</f>
        <v>0</v>
      </c>
      <c r="T985" s="0" t="str">
        <f aca="false">IF(S985=1,SUM($S$2:S985),"")</f>
        <v/>
      </c>
    </row>
    <row r="986" customFormat="false" ht="23.85" hidden="false" customHeight="false" outlineLevel="0" collapsed="false">
      <c r="A986" s="24" t="s">
        <v>3262</v>
      </c>
      <c r="B986" s="24" t="s">
        <v>70</v>
      </c>
      <c r="C986" s="24" t="s">
        <v>3254</v>
      </c>
      <c r="D986" s="23" t="s">
        <v>849</v>
      </c>
      <c r="E986" s="26" t="s">
        <v>519</v>
      </c>
      <c r="F986" s="24" t="s">
        <v>80</v>
      </c>
      <c r="G986" s="24" t="s">
        <v>939</v>
      </c>
      <c r="H986" s="25" t="n">
        <v>3.89</v>
      </c>
      <c r="I986" s="25"/>
      <c r="J986" s="58"/>
      <c r="K986" s="23" t="s">
        <v>3263</v>
      </c>
      <c r="L986" s="24"/>
      <c r="M986" s="24" t="s">
        <v>3264</v>
      </c>
      <c r="N986" s="26" t="s">
        <v>91</v>
      </c>
      <c r="O986" s="24"/>
      <c r="P986" s="24" t="s">
        <v>303</v>
      </c>
      <c r="Q986" s="24" t="s">
        <v>942</v>
      </c>
      <c r="R986" s="73" t="s">
        <v>95</v>
      </c>
      <c r="S986" s="0" t="n">
        <f aca="false">IF(Recherche!$B$4="",0,IF(ISNUMBER(SEARCH(Recherche!$B$4,D986))+ISNUMBER(SEARCH(Recherche!$B$4,K986))&gt;0,1,0))</f>
        <v>0</v>
      </c>
      <c r="T986" s="0" t="str">
        <f aca="false">IF(S986=1,SUM($S$2:S986),"")</f>
        <v/>
      </c>
    </row>
    <row r="987" customFormat="false" ht="15" hidden="false" customHeight="false" outlineLevel="0" collapsed="false">
      <c r="A987" s="20" t="s">
        <v>3262</v>
      </c>
      <c r="B987" s="20" t="s">
        <v>70</v>
      </c>
      <c r="C987" s="20" t="s">
        <v>3254</v>
      </c>
      <c r="D987" s="19" t="s">
        <v>849</v>
      </c>
      <c r="E987" s="22" t="s">
        <v>519</v>
      </c>
      <c r="F987" s="74" t="s">
        <v>81</v>
      </c>
      <c r="G987" s="74" t="s">
        <v>979</v>
      </c>
      <c r="H987" s="75" t="n">
        <v>16.5</v>
      </c>
      <c r="I987" s="21" t="n">
        <v>17.37</v>
      </c>
      <c r="J987" s="52" t="n">
        <v>5</v>
      </c>
      <c r="K987" s="19" t="s">
        <v>3265</v>
      </c>
      <c r="L987" s="20" t="s">
        <v>3260</v>
      </c>
      <c r="M987" s="20" t="s">
        <v>3266</v>
      </c>
      <c r="N987" s="22" t="s">
        <v>91</v>
      </c>
      <c r="O987" s="20" t="s">
        <v>949</v>
      </c>
      <c r="P987" s="20" t="s">
        <v>119</v>
      </c>
      <c r="Q987" s="20" t="s">
        <v>1007</v>
      </c>
      <c r="R987" s="76" t="s">
        <v>95</v>
      </c>
      <c r="S987" s="0" t="n">
        <f aca="false">IF(Recherche!$B$4="",0,IF(ISNUMBER(SEARCH(Recherche!$B$4,D987))+ISNUMBER(SEARCH(Recherche!$B$4,K987))&gt;0,1,0))</f>
        <v>0</v>
      </c>
      <c r="T987" s="0" t="str">
        <f aca="false">IF(S987=1,SUM($S$2:S987),"")</f>
        <v/>
      </c>
    </row>
    <row r="988" customFormat="false" ht="15" hidden="false" customHeight="false" outlineLevel="0" collapsed="false">
      <c r="A988" s="24" t="s">
        <v>3262</v>
      </c>
      <c r="B988" s="24" t="s">
        <v>70</v>
      </c>
      <c r="C988" s="24" t="s">
        <v>3254</v>
      </c>
      <c r="D988" s="23" t="s">
        <v>849</v>
      </c>
      <c r="E988" s="26" t="s">
        <v>519</v>
      </c>
      <c r="F988" s="24" t="s">
        <v>76</v>
      </c>
      <c r="G988" s="24" t="s">
        <v>939</v>
      </c>
      <c r="H988" s="25" t="n">
        <v>24.63</v>
      </c>
      <c r="I988" s="25"/>
      <c r="J988" s="58"/>
      <c r="K988" s="23" t="s">
        <v>850</v>
      </c>
      <c r="L988" s="24" t="s">
        <v>3226</v>
      </c>
      <c r="M988" s="24" t="s">
        <v>3267</v>
      </c>
      <c r="N988" s="26" t="s">
        <v>519</v>
      </c>
      <c r="O988" s="24"/>
      <c r="P988" s="24" t="s">
        <v>93</v>
      </c>
      <c r="Q988" s="24" t="s">
        <v>1085</v>
      </c>
      <c r="R988" s="73" t="s">
        <v>95</v>
      </c>
      <c r="S988" s="0" t="n">
        <f aca="false">IF(Recherche!$B$4="",0,IF(ISNUMBER(SEARCH(Recherche!$B$4,D988))+ISNUMBER(SEARCH(Recherche!$B$4,K988))&gt;0,1,0))</f>
        <v>0</v>
      </c>
      <c r="T988" s="0" t="str">
        <f aca="false">IF(S988=1,SUM($S$2:S988),"")</f>
        <v/>
      </c>
    </row>
    <row r="989" customFormat="false" ht="15" hidden="false" customHeight="false" outlineLevel="0" collapsed="false">
      <c r="A989" s="20" t="s">
        <v>3268</v>
      </c>
      <c r="B989" s="20" t="s">
        <v>70</v>
      </c>
      <c r="C989" s="20" t="s">
        <v>3254</v>
      </c>
      <c r="D989" s="19" t="s">
        <v>851</v>
      </c>
      <c r="E989" s="22" t="s">
        <v>757</v>
      </c>
      <c r="F989" s="74" t="s">
        <v>81</v>
      </c>
      <c r="G989" s="74" t="s">
        <v>979</v>
      </c>
      <c r="H989" s="75" t="n">
        <v>13.5</v>
      </c>
      <c r="I989" s="21" t="n">
        <v>14.23</v>
      </c>
      <c r="J989" s="52" t="n">
        <v>5.1</v>
      </c>
      <c r="K989" s="19" t="s">
        <v>852</v>
      </c>
      <c r="L989" s="20" t="s">
        <v>3260</v>
      </c>
      <c r="M989" s="20" t="s">
        <v>3269</v>
      </c>
      <c r="N989" s="22" t="s">
        <v>757</v>
      </c>
      <c r="O989" s="20" t="s">
        <v>3270</v>
      </c>
      <c r="P989" s="20" t="s">
        <v>169</v>
      </c>
      <c r="Q989" s="20" t="s">
        <v>1016</v>
      </c>
      <c r="R989" s="76" t="s">
        <v>95</v>
      </c>
      <c r="S989" s="0" t="n">
        <f aca="false">IF(Recherche!$B$4="",0,IF(ISNUMBER(SEARCH(Recherche!$B$4,D989))+ISNUMBER(SEARCH(Recherche!$B$4,K989))&gt;0,1,0))</f>
        <v>0</v>
      </c>
      <c r="T989" s="0" t="str">
        <f aca="false">IF(S989=1,SUM($S$2:S989),"")</f>
        <v/>
      </c>
    </row>
    <row r="990" customFormat="false" ht="15" hidden="false" customHeight="false" outlineLevel="0" collapsed="false">
      <c r="A990" s="24" t="s">
        <v>3268</v>
      </c>
      <c r="B990" s="24" t="s">
        <v>70</v>
      </c>
      <c r="C990" s="24" t="s">
        <v>3254</v>
      </c>
      <c r="D990" s="23" t="s">
        <v>851</v>
      </c>
      <c r="E990" s="26" t="s">
        <v>757</v>
      </c>
      <c r="F990" s="24" t="s">
        <v>76</v>
      </c>
      <c r="G990" s="24" t="s">
        <v>939</v>
      </c>
      <c r="H990" s="25" t="n">
        <v>20.29</v>
      </c>
      <c r="I990" s="25"/>
      <c r="J990" s="58"/>
      <c r="K990" s="23" t="s">
        <v>3271</v>
      </c>
      <c r="L990" s="24" t="s">
        <v>3255</v>
      </c>
      <c r="M990" s="24" t="s">
        <v>3272</v>
      </c>
      <c r="N990" s="26" t="s">
        <v>91</v>
      </c>
      <c r="O990" s="24"/>
      <c r="P990" s="24" t="s">
        <v>93</v>
      </c>
      <c r="Q990" s="24" t="s">
        <v>942</v>
      </c>
      <c r="R990" s="73" t="s">
        <v>95</v>
      </c>
      <c r="S990" s="0" t="n">
        <f aca="false">IF(Recherche!$B$4="",0,IF(ISNUMBER(SEARCH(Recherche!$B$4,D990))+ISNUMBER(SEARCH(Recherche!$B$4,K990))&gt;0,1,0))</f>
        <v>0</v>
      </c>
      <c r="T990" s="0" t="str">
        <f aca="false">IF(S990=1,SUM($S$2:S990),"")</f>
        <v/>
      </c>
    </row>
    <row r="991" customFormat="false" ht="23.85" hidden="false" customHeight="false" outlineLevel="0" collapsed="false">
      <c r="A991" s="20" t="s">
        <v>3273</v>
      </c>
      <c r="B991" s="20" t="s">
        <v>70</v>
      </c>
      <c r="C991" s="20" t="s">
        <v>3254</v>
      </c>
      <c r="D991" s="19" t="s">
        <v>853</v>
      </c>
      <c r="E991" s="22" t="s">
        <v>647</v>
      </c>
      <c r="F991" s="20" t="s">
        <v>80</v>
      </c>
      <c r="G991" s="20" t="s">
        <v>939</v>
      </c>
      <c r="H991" s="21" t="n">
        <v>11.78</v>
      </c>
      <c r="I991" s="21"/>
      <c r="J991" s="52"/>
      <c r="K991" s="19" t="s">
        <v>3274</v>
      </c>
      <c r="L991" s="20"/>
      <c r="M991" s="20" t="s">
        <v>3275</v>
      </c>
      <c r="N991" s="22" t="s">
        <v>91</v>
      </c>
      <c r="O991" s="20"/>
      <c r="P991" s="20" t="s">
        <v>303</v>
      </c>
      <c r="Q991" s="20" t="s">
        <v>963</v>
      </c>
      <c r="R991" s="76" t="s">
        <v>95</v>
      </c>
      <c r="S991" s="0" t="n">
        <f aca="false">IF(Recherche!$B$4="",0,IF(ISNUMBER(SEARCH(Recherche!$B$4,D991))+ISNUMBER(SEARCH(Recherche!$B$4,K991))&gt;0,1,0))</f>
        <v>0</v>
      </c>
      <c r="T991" s="0" t="str">
        <f aca="false">IF(S991=1,SUM($S$2:S991),"")</f>
        <v/>
      </c>
    </row>
    <row r="992" customFormat="false" ht="23.85" hidden="false" customHeight="false" outlineLevel="0" collapsed="false">
      <c r="A992" s="24" t="s">
        <v>3273</v>
      </c>
      <c r="B992" s="24" t="s">
        <v>70</v>
      </c>
      <c r="C992" s="24" t="s">
        <v>3254</v>
      </c>
      <c r="D992" s="23" t="s">
        <v>853</v>
      </c>
      <c r="E992" s="26" t="s">
        <v>647</v>
      </c>
      <c r="F992" s="74" t="s">
        <v>81</v>
      </c>
      <c r="G992" s="74" t="s">
        <v>979</v>
      </c>
      <c r="H992" s="75" t="n">
        <v>16.87</v>
      </c>
      <c r="I992" s="25" t="n">
        <v>17.7</v>
      </c>
      <c r="J992" s="58" t="n">
        <v>4.7</v>
      </c>
      <c r="K992" s="23" t="s">
        <v>3276</v>
      </c>
      <c r="L992" s="24" t="s">
        <v>3277</v>
      </c>
      <c r="M992" s="24" t="s">
        <v>3278</v>
      </c>
      <c r="N992" s="26" t="s">
        <v>91</v>
      </c>
      <c r="O992" s="24" t="s">
        <v>949</v>
      </c>
      <c r="P992" s="24" t="s">
        <v>169</v>
      </c>
      <c r="Q992" s="24" t="s">
        <v>1016</v>
      </c>
      <c r="R992" s="73" t="s">
        <v>95</v>
      </c>
      <c r="S992" s="0" t="n">
        <f aca="false">IF(Recherche!$B$4="",0,IF(ISNUMBER(SEARCH(Recherche!$B$4,D992))+ISNUMBER(SEARCH(Recherche!$B$4,K992))&gt;0,1,0))</f>
        <v>0</v>
      </c>
      <c r="T992" s="0" t="str">
        <f aca="false">IF(S992=1,SUM($S$2:S992),"")</f>
        <v/>
      </c>
    </row>
    <row r="993" customFormat="false" ht="15" hidden="false" customHeight="false" outlineLevel="0" collapsed="false">
      <c r="A993" s="20" t="s">
        <v>3273</v>
      </c>
      <c r="B993" s="20" t="s">
        <v>70</v>
      </c>
      <c r="C993" s="20" t="s">
        <v>3254</v>
      </c>
      <c r="D993" s="19" t="s">
        <v>853</v>
      </c>
      <c r="E993" s="22" t="s">
        <v>647</v>
      </c>
      <c r="F993" s="20" t="s">
        <v>76</v>
      </c>
      <c r="G993" s="20" t="s">
        <v>939</v>
      </c>
      <c r="H993" s="21" t="n">
        <v>82.51</v>
      </c>
      <c r="I993" s="21"/>
      <c r="J993" s="52"/>
      <c r="K993" s="19" t="s">
        <v>854</v>
      </c>
      <c r="L993" s="20" t="s">
        <v>3279</v>
      </c>
      <c r="M993" s="20" t="s">
        <v>3280</v>
      </c>
      <c r="N993" s="22" t="s">
        <v>647</v>
      </c>
      <c r="O993" s="20"/>
      <c r="P993" s="20" t="s">
        <v>93</v>
      </c>
      <c r="Q993" s="20" t="s">
        <v>963</v>
      </c>
      <c r="R993" s="76" t="s">
        <v>95</v>
      </c>
      <c r="S993" s="0" t="n">
        <f aca="false">IF(Recherche!$B$4="",0,IF(ISNUMBER(SEARCH(Recherche!$B$4,D993))+ISNUMBER(SEARCH(Recherche!$B$4,K993))&gt;0,1,0))</f>
        <v>0</v>
      </c>
      <c r="T993" s="0" t="str">
        <f aca="false">IF(S993=1,SUM($S$2:S993),"")</f>
        <v/>
      </c>
    </row>
    <row r="994" customFormat="false" ht="15" hidden="false" customHeight="false" outlineLevel="0" collapsed="false">
      <c r="A994" s="24" t="s">
        <v>3281</v>
      </c>
      <c r="B994" s="24" t="s">
        <v>70</v>
      </c>
      <c r="C994" s="24" t="s">
        <v>3254</v>
      </c>
      <c r="D994" s="23" t="s">
        <v>855</v>
      </c>
      <c r="E994" s="26" t="s">
        <v>91</v>
      </c>
      <c r="F994" s="74" t="s">
        <v>82</v>
      </c>
      <c r="G994" s="74" t="s">
        <v>943</v>
      </c>
      <c r="H994" s="75" t="n">
        <v>184</v>
      </c>
      <c r="I994" s="25"/>
      <c r="J994" s="58"/>
      <c r="K994" s="23" t="s">
        <v>856</v>
      </c>
      <c r="L994" s="24"/>
      <c r="M994" s="24" t="s">
        <v>3282</v>
      </c>
      <c r="N994" s="26" t="s">
        <v>91</v>
      </c>
      <c r="O994" s="24"/>
      <c r="P994" s="24" t="s">
        <v>290</v>
      </c>
      <c r="Q994" s="24" t="s">
        <v>1016</v>
      </c>
      <c r="R994" s="73" t="s">
        <v>95</v>
      </c>
      <c r="S994" s="0" t="n">
        <f aca="false">IF(Recherche!$B$4="",0,IF(ISNUMBER(SEARCH(Recherche!$B$4,D994))+ISNUMBER(SEARCH(Recherche!$B$4,K994))&gt;0,1,0))</f>
        <v>0</v>
      </c>
      <c r="T994" s="0" t="str">
        <f aca="false">IF(S994=1,SUM($S$2:S994),"")</f>
        <v/>
      </c>
    </row>
    <row r="995" customFormat="false" ht="15" hidden="false" customHeight="false" outlineLevel="0" collapsed="false">
      <c r="A995" s="20" t="s">
        <v>3283</v>
      </c>
      <c r="B995" s="20" t="s">
        <v>70</v>
      </c>
      <c r="C995" s="20" t="s">
        <v>3254</v>
      </c>
      <c r="D995" s="19" t="s">
        <v>857</v>
      </c>
      <c r="E995" s="22" t="s">
        <v>91</v>
      </c>
      <c r="F995" s="20" t="s">
        <v>76</v>
      </c>
      <c r="G995" s="20" t="s">
        <v>939</v>
      </c>
      <c r="H995" s="21" t="n">
        <v>60.5</v>
      </c>
      <c r="I995" s="21"/>
      <c r="J995" s="52"/>
      <c r="K995" s="19" t="s">
        <v>858</v>
      </c>
      <c r="L995" s="20" t="s">
        <v>3284</v>
      </c>
      <c r="M995" s="20" t="s">
        <v>3285</v>
      </c>
      <c r="N995" s="22" t="s">
        <v>91</v>
      </c>
      <c r="O995" s="20"/>
      <c r="P995" s="20" t="s">
        <v>93</v>
      </c>
      <c r="Q995" s="20" t="s">
        <v>963</v>
      </c>
      <c r="R995" s="76" t="s">
        <v>95</v>
      </c>
      <c r="S995" s="0" t="n">
        <f aca="false">IF(Recherche!$B$4="",0,IF(ISNUMBER(SEARCH(Recherche!$B$4,D995))+ISNUMBER(SEARCH(Recherche!$B$4,K995))&gt;0,1,0))</f>
        <v>0</v>
      </c>
      <c r="T995" s="0" t="str">
        <f aca="false">IF(S995=1,SUM($S$2:S995),"")</f>
        <v/>
      </c>
    </row>
    <row r="996" customFormat="false" ht="15" hidden="false" customHeight="false" outlineLevel="0" collapsed="false">
      <c r="A996" s="24" t="s">
        <v>3286</v>
      </c>
      <c r="B996" s="24" t="s">
        <v>70</v>
      </c>
      <c r="C996" s="24" t="s">
        <v>3287</v>
      </c>
      <c r="D996" s="23" t="s">
        <v>859</v>
      </c>
      <c r="E996" s="26" t="s">
        <v>860</v>
      </c>
      <c r="F996" s="74" t="s">
        <v>81</v>
      </c>
      <c r="G996" s="74" t="s">
        <v>979</v>
      </c>
      <c r="H996" s="75" t="n">
        <v>4.84</v>
      </c>
      <c r="I996" s="25" t="n">
        <v>5.09</v>
      </c>
      <c r="J996" s="58" t="n">
        <v>4.9</v>
      </c>
      <c r="K996" s="23" t="s">
        <v>3288</v>
      </c>
      <c r="L996" s="24" t="s">
        <v>1335</v>
      </c>
      <c r="M996" s="24" t="s">
        <v>3289</v>
      </c>
      <c r="N996" s="26" t="s">
        <v>91</v>
      </c>
      <c r="O996" s="24" t="s">
        <v>949</v>
      </c>
      <c r="P996" s="24" t="s">
        <v>169</v>
      </c>
      <c r="Q996" s="24" t="s">
        <v>1007</v>
      </c>
      <c r="R996" s="73" t="s">
        <v>95</v>
      </c>
      <c r="S996" s="0" t="n">
        <f aca="false">IF(Recherche!$B$4="",0,IF(ISNUMBER(SEARCH(Recherche!$B$4,D996))+ISNUMBER(SEARCH(Recherche!$B$4,K996))&gt;0,1,0))</f>
        <v>0</v>
      </c>
      <c r="T996" s="0" t="str">
        <f aca="false">IF(S996=1,SUM($S$2:S996),"")</f>
        <v/>
      </c>
    </row>
    <row r="997" customFormat="false" ht="15" hidden="false" customHeight="false" outlineLevel="0" collapsed="false">
      <c r="A997" s="20" t="s">
        <v>3286</v>
      </c>
      <c r="B997" s="20" t="s">
        <v>70</v>
      </c>
      <c r="C997" s="20" t="s">
        <v>3287</v>
      </c>
      <c r="D997" s="19" t="s">
        <v>859</v>
      </c>
      <c r="E997" s="22" t="s">
        <v>860</v>
      </c>
      <c r="F997" s="20" t="s">
        <v>76</v>
      </c>
      <c r="G997" s="20" t="s">
        <v>939</v>
      </c>
      <c r="H997" s="21" t="n">
        <v>5.93</v>
      </c>
      <c r="I997" s="21"/>
      <c r="J997" s="52"/>
      <c r="K997" s="19" t="s">
        <v>861</v>
      </c>
      <c r="L997" s="20" t="s">
        <v>3290</v>
      </c>
      <c r="M997" s="20" t="s">
        <v>3291</v>
      </c>
      <c r="N997" s="22" t="s">
        <v>860</v>
      </c>
      <c r="O997" s="20"/>
      <c r="P997" s="20" t="s">
        <v>93</v>
      </c>
      <c r="Q997" s="20" t="s">
        <v>1085</v>
      </c>
      <c r="R997" s="76" t="s">
        <v>95</v>
      </c>
      <c r="S997" s="0" t="n">
        <f aca="false">IF(Recherche!$B$4="",0,IF(ISNUMBER(SEARCH(Recherche!$B$4,D997))+ISNUMBER(SEARCH(Recherche!$B$4,K997))&gt;0,1,0))</f>
        <v>0</v>
      </c>
      <c r="T997" s="0" t="str">
        <f aca="false">IF(S997=1,SUM($S$2:S997),"")</f>
        <v/>
      </c>
    </row>
    <row r="998" customFormat="false" ht="15" hidden="false" customHeight="false" outlineLevel="0" collapsed="false">
      <c r="A998" s="24" t="s">
        <v>3286</v>
      </c>
      <c r="B998" s="24" t="s">
        <v>70</v>
      </c>
      <c r="C998" s="24" t="s">
        <v>3287</v>
      </c>
      <c r="D998" s="23" t="s">
        <v>859</v>
      </c>
      <c r="E998" s="26" t="s">
        <v>860</v>
      </c>
      <c r="F998" s="74" t="s">
        <v>77</v>
      </c>
      <c r="G998" s="74" t="s">
        <v>979</v>
      </c>
      <c r="H998" s="75" t="n">
        <v>10.05</v>
      </c>
      <c r="I998" s="25" t="n">
        <v>15.23</v>
      </c>
      <c r="J998" s="58" t="n">
        <v>34</v>
      </c>
      <c r="K998" s="23" t="s">
        <v>3292</v>
      </c>
      <c r="L998" s="24" t="s">
        <v>3293</v>
      </c>
      <c r="M998" s="24" t="s">
        <v>3294</v>
      </c>
      <c r="N998" s="26" t="s">
        <v>91</v>
      </c>
      <c r="O998" s="24"/>
      <c r="P998" s="24" t="s">
        <v>114</v>
      </c>
      <c r="Q998" s="24" t="s">
        <v>983</v>
      </c>
      <c r="R998" s="73"/>
      <c r="S998" s="0" t="n">
        <f aca="false">IF(Recherche!$B$4="",0,IF(ISNUMBER(SEARCH(Recherche!$B$4,D998))+ISNUMBER(SEARCH(Recherche!$B$4,K998))&gt;0,1,0))</f>
        <v>0</v>
      </c>
      <c r="T998" s="0" t="str">
        <f aca="false">IF(S998=1,SUM($S$2:S998),"")</f>
        <v/>
      </c>
    </row>
    <row r="999" customFormat="false" ht="23.85" hidden="false" customHeight="false" outlineLevel="0" collapsed="false">
      <c r="A999" s="20" t="s">
        <v>3295</v>
      </c>
      <c r="B999" s="20" t="s">
        <v>70</v>
      </c>
      <c r="C999" s="20" t="s">
        <v>3287</v>
      </c>
      <c r="D999" s="19" t="s">
        <v>862</v>
      </c>
      <c r="E999" s="22" t="s">
        <v>91</v>
      </c>
      <c r="F999" s="20" t="s">
        <v>80</v>
      </c>
      <c r="G999" s="20" t="s">
        <v>939</v>
      </c>
      <c r="H999" s="21" t="n">
        <v>3.91</v>
      </c>
      <c r="I999" s="21"/>
      <c r="J999" s="52"/>
      <c r="K999" s="19" t="s">
        <v>3296</v>
      </c>
      <c r="L999" s="20"/>
      <c r="M999" s="20" t="s">
        <v>3297</v>
      </c>
      <c r="N999" s="22" t="s">
        <v>91</v>
      </c>
      <c r="O999" s="20"/>
      <c r="P999" s="20" t="s">
        <v>303</v>
      </c>
      <c r="Q999" s="20" t="s">
        <v>1085</v>
      </c>
      <c r="R999" s="76" t="s">
        <v>95</v>
      </c>
      <c r="S999" s="0" t="n">
        <f aca="false">IF(Recherche!$B$4="",0,IF(ISNUMBER(SEARCH(Recherche!$B$4,D999))+ISNUMBER(SEARCH(Recherche!$B$4,K999))&gt;0,1,0))</f>
        <v>0</v>
      </c>
      <c r="T999" s="0" t="str">
        <f aca="false">IF(S999=1,SUM($S$2:S999),"")</f>
        <v/>
      </c>
    </row>
    <row r="1000" customFormat="false" ht="15" hidden="false" customHeight="false" outlineLevel="0" collapsed="false">
      <c r="A1000" s="24" t="s">
        <v>3295</v>
      </c>
      <c r="B1000" s="24" t="s">
        <v>70</v>
      </c>
      <c r="C1000" s="24" t="s">
        <v>3287</v>
      </c>
      <c r="D1000" s="23" t="s">
        <v>862</v>
      </c>
      <c r="E1000" s="26" t="s">
        <v>91</v>
      </c>
      <c r="F1000" s="24" t="s">
        <v>76</v>
      </c>
      <c r="G1000" s="24" t="s">
        <v>939</v>
      </c>
      <c r="H1000" s="25" t="n">
        <v>5.17</v>
      </c>
      <c r="I1000" s="25"/>
      <c r="J1000" s="58"/>
      <c r="K1000" s="23" t="s">
        <v>863</v>
      </c>
      <c r="L1000" s="24" t="s">
        <v>3290</v>
      </c>
      <c r="M1000" s="24" t="s">
        <v>3298</v>
      </c>
      <c r="N1000" s="26" t="s">
        <v>91</v>
      </c>
      <c r="O1000" s="24"/>
      <c r="P1000" s="24" t="s">
        <v>93</v>
      </c>
      <c r="Q1000" s="24" t="s">
        <v>1085</v>
      </c>
      <c r="R1000" s="73" t="s">
        <v>95</v>
      </c>
      <c r="S1000" s="0" t="n">
        <f aca="false">IF(Recherche!$B$4="",0,IF(ISNUMBER(SEARCH(Recherche!$B$4,D1000))+ISNUMBER(SEARCH(Recherche!$B$4,K1000))&gt;0,1,0))</f>
        <v>0</v>
      </c>
      <c r="T1000" s="0" t="str">
        <f aca="false">IF(S1000=1,SUM($S$2:S1000),"")</f>
        <v/>
      </c>
    </row>
    <row r="1001" customFormat="false" ht="15" hidden="false" customHeight="false" outlineLevel="0" collapsed="false">
      <c r="A1001" s="20" t="s">
        <v>3295</v>
      </c>
      <c r="B1001" s="20" t="s">
        <v>70</v>
      </c>
      <c r="C1001" s="20" t="s">
        <v>3287</v>
      </c>
      <c r="D1001" s="19" t="s">
        <v>862</v>
      </c>
      <c r="E1001" s="22" t="s">
        <v>91</v>
      </c>
      <c r="F1001" s="74" t="s">
        <v>77</v>
      </c>
      <c r="G1001" s="74" t="s">
        <v>979</v>
      </c>
      <c r="H1001" s="75" t="n">
        <v>11.93</v>
      </c>
      <c r="I1001" s="21" t="n">
        <v>15.9</v>
      </c>
      <c r="J1001" s="52" t="n">
        <v>25</v>
      </c>
      <c r="K1001" s="19" t="s">
        <v>3299</v>
      </c>
      <c r="L1001" s="20" t="s">
        <v>3300</v>
      </c>
      <c r="M1001" s="20" t="s">
        <v>3301</v>
      </c>
      <c r="N1001" s="22" t="s">
        <v>91</v>
      </c>
      <c r="O1001" s="20"/>
      <c r="P1001" s="20" t="s">
        <v>114</v>
      </c>
      <c r="Q1001" s="20" t="s">
        <v>983</v>
      </c>
      <c r="R1001" s="76"/>
      <c r="S1001" s="0" t="n">
        <f aca="false">IF(Recherche!$B$4="",0,IF(ISNUMBER(SEARCH(Recherche!$B$4,D1001))+ISNUMBER(SEARCH(Recherche!$B$4,K1001))&gt;0,1,0))</f>
        <v>0</v>
      </c>
      <c r="T1001" s="0" t="str">
        <f aca="false">IF(S1001=1,SUM($S$2:S1001),"")</f>
        <v/>
      </c>
    </row>
    <row r="1002" customFormat="false" ht="23.85" hidden="false" customHeight="false" outlineLevel="0" collapsed="false">
      <c r="A1002" s="24" t="s">
        <v>3302</v>
      </c>
      <c r="B1002" s="24" t="s">
        <v>70</v>
      </c>
      <c r="C1002" s="24" t="s">
        <v>3287</v>
      </c>
      <c r="D1002" s="23" t="s">
        <v>864</v>
      </c>
      <c r="E1002" s="26" t="s">
        <v>91</v>
      </c>
      <c r="F1002" s="24" t="s">
        <v>80</v>
      </c>
      <c r="G1002" s="24" t="s">
        <v>939</v>
      </c>
      <c r="H1002" s="25" t="n">
        <v>9.63</v>
      </c>
      <c r="I1002" s="25"/>
      <c r="J1002" s="58"/>
      <c r="K1002" s="23" t="s">
        <v>3303</v>
      </c>
      <c r="L1002" s="24"/>
      <c r="M1002" s="24" t="s">
        <v>3304</v>
      </c>
      <c r="N1002" s="26" t="s">
        <v>91</v>
      </c>
      <c r="O1002" s="24"/>
      <c r="P1002" s="24" t="s">
        <v>303</v>
      </c>
      <c r="Q1002" s="24" t="s">
        <v>963</v>
      </c>
      <c r="R1002" s="73" t="s">
        <v>95</v>
      </c>
      <c r="S1002" s="0" t="n">
        <f aca="false">IF(Recherche!$B$4="",0,IF(ISNUMBER(SEARCH(Recherche!$B$4,D1002))+ISNUMBER(SEARCH(Recherche!$B$4,K1002))&gt;0,1,0))</f>
        <v>0</v>
      </c>
      <c r="T1002" s="0" t="str">
        <f aca="false">IF(S1002=1,SUM($S$2:S1002),"")</f>
        <v/>
      </c>
    </row>
    <row r="1003" customFormat="false" ht="23.85" hidden="false" customHeight="false" outlineLevel="0" collapsed="false">
      <c r="A1003" s="20" t="s">
        <v>3302</v>
      </c>
      <c r="B1003" s="20" t="s">
        <v>70</v>
      </c>
      <c r="C1003" s="20" t="s">
        <v>3287</v>
      </c>
      <c r="D1003" s="19" t="s">
        <v>864</v>
      </c>
      <c r="E1003" s="22" t="s">
        <v>91</v>
      </c>
      <c r="F1003" s="20" t="s">
        <v>76</v>
      </c>
      <c r="G1003" s="20" t="s">
        <v>939</v>
      </c>
      <c r="H1003" s="21" t="n">
        <v>430.18</v>
      </c>
      <c r="I1003" s="21"/>
      <c r="J1003" s="52"/>
      <c r="K1003" s="19" t="s">
        <v>865</v>
      </c>
      <c r="L1003" s="20" t="s">
        <v>3117</v>
      </c>
      <c r="M1003" s="20" t="s">
        <v>3305</v>
      </c>
      <c r="N1003" s="22" t="s">
        <v>91</v>
      </c>
      <c r="O1003" s="20"/>
      <c r="P1003" s="20" t="s">
        <v>93</v>
      </c>
      <c r="Q1003" s="20" t="s">
        <v>963</v>
      </c>
      <c r="R1003" s="76" t="s">
        <v>95</v>
      </c>
      <c r="S1003" s="0" t="n">
        <f aca="false">IF(Recherche!$B$4="",0,IF(ISNUMBER(SEARCH(Recherche!$B$4,D1003))+ISNUMBER(SEARCH(Recherche!$B$4,K1003))&gt;0,1,0))</f>
        <v>0</v>
      </c>
      <c r="T1003" s="0" t="str">
        <f aca="false">IF(S1003=1,SUM($S$2:S1003),"")</f>
        <v/>
      </c>
    </row>
    <row r="1004" customFormat="false" ht="23.85" hidden="false" customHeight="false" outlineLevel="0" collapsed="false">
      <c r="A1004" s="24" t="s">
        <v>3306</v>
      </c>
      <c r="B1004" s="24" t="s">
        <v>71</v>
      </c>
      <c r="C1004" s="24" t="s">
        <v>3307</v>
      </c>
      <c r="D1004" s="23" t="s">
        <v>3308</v>
      </c>
      <c r="E1004" s="26" t="s">
        <v>91</v>
      </c>
      <c r="F1004" s="24" t="s">
        <v>3309</v>
      </c>
      <c r="G1004" s="24" t="s">
        <v>939</v>
      </c>
      <c r="H1004" s="25" t="n">
        <v>28.84</v>
      </c>
      <c r="I1004" s="26"/>
      <c r="J1004" s="26"/>
      <c r="K1004" s="23" t="s">
        <v>3308</v>
      </c>
      <c r="L1004" s="24"/>
      <c r="M1004" s="24"/>
      <c r="N1004" s="26" t="s">
        <v>91</v>
      </c>
      <c r="O1004" s="24"/>
      <c r="P1004" s="24" t="s">
        <v>3310</v>
      </c>
      <c r="Q1004" s="24" t="s">
        <v>942</v>
      </c>
      <c r="R1004" s="73" t="s">
        <v>95</v>
      </c>
      <c r="S1004" s="0" t="n">
        <f aca="false">IF(Recherche!$B$4="",0,IF(ISNUMBER(SEARCH(Recherche!$B$4,D1004))+ISNUMBER(SEARCH(Recherche!$B$4,K1004))&gt;0,1,0))</f>
        <v>0</v>
      </c>
      <c r="T1004" s="0" t="str">
        <f aca="false">IF(S1004=1,SUM($S$2:S1004),"")</f>
        <v/>
      </c>
    </row>
    <row r="1005" customFormat="false" ht="23.85" hidden="false" customHeight="false" outlineLevel="0" collapsed="false">
      <c r="A1005" s="20" t="s">
        <v>3311</v>
      </c>
      <c r="B1005" s="20" t="s">
        <v>71</v>
      </c>
      <c r="C1005" s="20" t="s">
        <v>3307</v>
      </c>
      <c r="D1005" s="19" t="s">
        <v>3312</v>
      </c>
      <c r="E1005" s="22" t="s">
        <v>91</v>
      </c>
      <c r="F1005" s="20" t="s">
        <v>3309</v>
      </c>
      <c r="G1005" s="20" t="s">
        <v>939</v>
      </c>
      <c r="H1005" s="21" t="n">
        <v>63</v>
      </c>
      <c r="I1005" s="22"/>
      <c r="J1005" s="22"/>
      <c r="K1005" s="19" t="s">
        <v>3312</v>
      </c>
      <c r="L1005" s="20"/>
      <c r="M1005" s="20"/>
      <c r="N1005" s="22" t="s">
        <v>91</v>
      </c>
      <c r="O1005" s="20"/>
      <c r="P1005" s="20" t="s">
        <v>3310</v>
      </c>
      <c r="Q1005" s="20" t="s">
        <v>942</v>
      </c>
      <c r="R1005" s="76" t="s">
        <v>95</v>
      </c>
      <c r="S1005" s="0" t="n">
        <f aca="false">IF(Recherche!$B$4="",0,IF(ISNUMBER(SEARCH(Recherche!$B$4,D1005))+ISNUMBER(SEARCH(Recherche!$B$4,K1005))&gt;0,1,0))</f>
        <v>0</v>
      </c>
      <c r="T1005" s="0" t="str">
        <f aca="false">IF(S1005=1,SUM($S$2:S1005),"")</f>
        <v/>
      </c>
    </row>
    <row r="1006" customFormat="false" ht="23.85" hidden="false" customHeight="false" outlineLevel="0" collapsed="false">
      <c r="A1006" s="24" t="s">
        <v>3313</v>
      </c>
      <c r="B1006" s="24" t="s">
        <v>71</v>
      </c>
      <c r="C1006" s="24" t="s">
        <v>3307</v>
      </c>
      <c r="D1006" s="23" t="s">
        <v>3314</v>
      </c>
      <c r="E1006" s="26" t="s">
        <v>91</v>
      </c>
      <c r="F1006" s="24" t="s">
        <v>3309</v>
      </c>
      <c r="G1006" s="24" t="s">
        <v>939</v>
      </c>
      <c r="H1006" s="25" t="n">
        <v>99.52</v>
      </c>
      <c r="I1006" s="26"/>
      <c r="J1006" s="26"/>
      <c r="K1006" s="23" t="s">
        <v>3314</v>
      </c>
      <c r="L1006" s="24"/>
      <c r="M1006" s="24"/>
      <c r="N1006" s="26" t="s">
        <v>91</v>
      </c>
      <c r="O1006" s="24"/>
      <c r="P1006" s="24" t="s">
        <v>3310</v>
      </c>
      <c r="Q1006" s="24" t="s">
        <v>942</v>
      </c>
      <c r="R1006" s="73" t="s">
        <v>95</v>
      </c>
      <c r="S1006" s="0" t="n">
        <f aca="false">IF(Recherche!$B$4="",0,IF(ISNUMBER(SEARCH(Recherche!$B$4,D1006))+ISNUMBER(SEARCH(Recherche!$B$4,K1006))&gt;0,1,0))</f>
        <v>0</v>
      </c>
      <c r="T1006" s="0" t="str">
        <f aca="false">IF(S1006=1,SUM($S$2:S1006),"")</f>
        <v/>
      </c>
    </row>
    <row r="1007" customFormat="false" ht="23.85" hidden="false" customHeight="false" outlineLevel="0" collapsed="false">
      <c r="A1007" s="20" t="s">
        <v>3315</v>
      </c>
      <c r="B1007" s="20" t="s">
        <v>71</v>
      </c>
      <c r="C1007" s="20" t="s">
        <v>3307</v>
      </c>
      <c r="D1007" s="19" t="s">
        <v>3316</v>
      </c>
      <c r="E1007" s="22" t="s">
        <v>91</v>
      </c>
      <c r="F1007" s="20" t="s">
        <v>3309</v>
      </c>
      <c r="G1007" s="20" t="s">
        <v>939</v>
      </c>
      <c r="H1007" s="21" t="n">
        <v>121.75</v>
      </c>
      <c r="I1007" s="22"/>
      <c r="J1007" s="22"/>
      <c r="K1007" s="19" t="s">
        <v>3316</v>
      </c>
      <c r="L1007" s="20"/>
      <c r="M1007" s="20"/>
      <c r="N1007" s="22" t="s">
        <v>91</v>
      </c>
      <c r="O1007" s="20"/>
      <c r="P1007" s="20" t="s">
        <v>3310</v>
      </c>
      <c r="Q1007" s="20" t="s">
        <v>942</v>
      </c>
      <c r="R1007" s="76" t="s">
        <v>95</v>
      </c>
      <c r="S1007" s="0" t="n">
        <f aca="false">IF(Recherche!$B$4="",0,IF(ISNUMBER(SEARCH(Recherche!$B$4,D1007))+ISNUMBER(SEARCH(Recherche!$B$4,K1007))&gt;0,1,0))</f>
        <v>0</v>
      </c>
      <c r="T1007" s="0" t="str">
        <f aca="false">IF(S1007=1,SUM($S$2:S1007),"")</f>
        <v/>
      </c>
    </row>
    <row r="1008" customFormat="false" ht="23.85" hidden="false" customHeight="false" outlineLevel="0" collapsed="false">
      <c r="A1008" s="24" t="s">
        <v>3317</v>
      </c>
      <c r="B1008" s="24" t="s">
        <v>71</v>
      </c>
      <c r="C1008" s="24" t="s">
        <v>3307</v>
      </c>
      <c r="D1008" s="23" t="s">
        <v>3318</v>
      </c>
      <c r="E1008" s="26" t="s">
        <v>91</v>
      </c>
      <c r="F1008" s="24" t="s">
        <v>3309</v>
      </c>
      <c r="G1008" s="24" t="s">
        <v>939</v>
      </c>
      <c r="H1008" s="25" t="n">
        <v>1.36</v>
      </c>
      <c r="I1008" s="26"/>
      <c r="J1008" s="26"/>
      <c r="K1008" s="23" t="s">
        <v>3319</v>
      </c>
      <c r="L1008" s="24"/>
      <c r="M1008" s="24"/>
      <c r="N1008" s="26" t="s">
        <v>91</v>
      </c>
      <c r="O1008" s="24"/>
      <c r="P1008" s="24" t="s">
        <v>3310</v>
      </c>
      <c r="Q1008" s="24" t="s">
        <v>942</v>
      </c>
      <c r="R1008" s="73" t="s">
        <v>95</v>
      </c>
      <c r="S1008" s="0" t="n">
        <f aca="false">IF(Recherche!$B$4="",0,IF(ISNUMBER(SEARCH(Recherche!$B$4,D1008))+ISNUMBER(SEARCH(Recherche!$B$4,K1008))&gt;0,1,0))</f>
        <v>0</v>
      </c>
      <c r="T1008" s="0" t="str">
        <f aca="false">IF(S1008=1,SUM($S$2:S1008),"")</f>
        <v/>
      </c>
    </row>
    <row r="1009" customFormat="false" ht="23.85" hidden="false" customHeight="false" outlineLevel="0" collapsed="false">
      <c r="A1009" s="20" t="s">
        <v>3320</v>
      </c>
      <c r="B1009" s="20" t="s">
        <v>71</v>
      </c>
      <c r="C1009" s="20" t="s">
        <v>3307</v>
      </c>
      <c r="D1009" s="19" t="s">
        <v>3321</v>
      </c>
      <c r="E1009" s="22" t="s">
        <v>91</v>
      </c>
      <c r="F1009" s="20" t="s">
        <v>3309</v>
      </c>
      <c r="G1009" s="20" t="s">
        <v>939</v>
      </c>
      <c r="H1009" s="21" t="n">
        <v>1.56</v>
      </c>
      <c r="I1009" s="22"/>
      <c r="J1009" s="22"/>
      <c r="K1009" s="19" t="s">
        <v>3322</v>
      </c>
      <c r="L1009" s="20"/>
      <c r="M1009" s="20"/>
      <c r="N1009" s="22" t="s">
        <v>91</v>
      </c>
      <c r="O1009" s="20"/>
      <c r="P1009" s="20" t="s">
        <v>3310</v>
      </c>
      <c r="Q1009" s="20" t="s">
        <v>942</v>
      </c>
      <c r="R1009" s="76" t="s">
        <v>95</v>
      </c>
      <c r="S1009" s="0" t="n">
        <f aca="false">IF(Recherche!$B$4="",0,IF(ISNUMBER(SEARCH(Recherche!$B$4,D1009))+ISNUMBER(SEARCH(Recherche!$B$4,K1009))&gt;0,1,0))</f>
        <v>0</v>
      </c>
      <c r="T1009" s="0" t="str">
        <f aca="false">IF(S1009=1,SUM($S$2:S1009),"")</f>
        <v/>
      </c>
    </row>
    <row r="1010" customFormat="false" ht="23.85" hidden="false" customHeight="false" outlineLevel="0" collapsed="false">
      <c r="A1010" s="24" t="s">
        <v>3323</v>
      </c>
      <c r="B1010" s="24" t="s">
        <v>71</v>
      </c>
      <c r="C1010" s="24" t="s">
        <v>3307</v>
      </c>
      <c r="D1010" s="23" t="s">
        <v>3324</v>
      </c>
      <c r="E1010" s="26" t="s">
        <v>91</v>
      </c>
      <c r="F1010" s="24" t="s">
        <v>3309</v>
      </c>
      <c r="G1010" s="24" t="s">
        <v>939</v>
      </c>
      <c r="H1010" s="25" t="n">
        <v>139.9</v>
      </c>
      <c r="I1010" s="26"/>
      <c r="J1010" s="26"/>
      <c r="K1010" s="23" t="s">
        <v>3324</v>
      </c>
      <c r="L1010" s="24"/>
      <c r="M1010" s="24"/>
      <c r="N1010" s="26" t="s">
        <v>91</v>
      </c>
      <c r="O1010" s="24"/>
      <c r="P1010" s="24" t="s">
        <v>3310</v>
      </c>
      <c r="Q1010" s="24" t="s">
        <v>942</v>
      </c>
      <c r="R1010" s="73" t="s">
        <v>95</v>
      </c>
      <c r="S1010" s="0" t="n">
        <f aca="false">IF(Recherche!$B$4="",0,IF(ISNUMBER(SEARCH(Recherche!$B$4,D1010))+ISNUMBER(SEARCH(Recherche!$B$4,K1010))&gt;0,1,0))</f>
        <v>0</v>
      </c>
      <c r="T1010" s="0" t="str">
        <f aca="false">IF(S1010=1,SUM($S$2:S1010),"")</f>
        <v/>
      </c>
    </row>
    <row r="1011" customFormat="false" ht="23.85" hidden="false" customHeight="false" outlineLevel="0" collapsed="false">
      <c r="A1011" s="20" t="s">
        <v>3325</v>
      </c>
      <c r="B1011" s="20" t="s">
        <v>71</v>
      </c>
      <c r="C1011" s="20" t="s">
        <v>3307</v>
      </c>
      <c r="D1011" s="19" t="s">
        <v>3326</v>
      </c>
      <c r="E1011" s="22" t="s">
        <v>91</v>
      </c>
      <c r="F1011" s="20" t="s">
        <v>3309</v>
      </c>
      <c r="G1011" s="20" t="s">
        <v>939</v>
      </c>
      <c r="H1011" s="21" t="n">
        <v>123.88</v>
      </c>
      <c r="I1011" s="22"/>
      <c r="J1011" s="22"/>
      <c r="K1011" s="19" t="s">
        <v>3326</v>
      </c>
      <c r="L1011" s="20"/>
      <c r="M1011" s="20"/>
      <c r="N1011" s="22" t="s">
        <v>91</v>
      </c>
      <c r="O1011" s="20"/>
      <c r="P1011" s="20" t="s">
        <v>3310</v>
      </c>
      <c r="Q1011" s="20" t="s">
        <v>942</v>
      </c>
      <c r="R1011" s="76" t="s">
        <v>95</v>
      </c>
      <c r="S1011" s="0" t="n">
        <f aca="false">IF(Recherche!$B$4="",0,IF(ISNUMBER(SEARCH(Recherche!$B$4,D1011))+ISNUMBER(SEARCH(Recherche!$B$4,K1011))&gt;0,1,0))</f>
        <v>0</v>
      </c>
      <c r="T1011" s="0" t="str">
        <f aca="false">IF(S1011=1,SUM($S$2:S1011),"")</f>
        <v/>
      </c>
    </row>
    <row r="1012" customFormat="false" ht="23.85" hidden="false" customHeight="false" outlineLevel="0" collapsed="false">
      <c r="A1012" s="24" t="s">
        <v>3327</v>
      </c>
      <c r="B1012" s="24" t="s">
        <v>71</v>
      </c>
      <c r="C1012" s="24" t="s">
        <v>3307</v>
      </c>
      <c r="D1012" s="23" t="s">
        <v>3328</v>
      </c>
      <c r="E1012" s="26" t="s">
        <v>91</v>
      </c>
      <c r="F1012" s="24" t="s">
        <v>3309</v>
      </c>
      <c r="G1012" s="24" t="s">
        <v>939</v>
      </c>
      <c r="H1012" s="25" t="n">
        <v>139.9</v>
      </c>
      <c r="I1012" s="26"/>
      <c r="J1012" s="26"/>
      <c r="K1012" s="23" t="s">
        <v>3329</v>
      </c>
      <c r="L1012" s="24"/>
      <c r="M1012" s="24"/>
      <c r="N1012" s="26" t="s">
        <v>91</v>
      </c>
      <c r="O1012" s="24"/>
      <c r="P1012" s="24" t="s">
        <v>3310</v>
      </c>
      <c r="Q1012" s="24" t="s">
        <v>942</v>
      </c>
      <c r="R1012" s="73" t="s">
        <v>95</v>
      </c>
      <c r="S1012" s="0" t="n">
        <f aca="false">IF(Recherche!$B$4="",0,IF(ISNUMBER(SEARCH(Recherche!$B$4,D1012))+ISNUMBER(SEARCH(Recherche!$B$4,K1012))&gt;0,1,0))</f>
        <v>0</v>
      </c>
      <c r="T1012" s="0" t="str">
        <f aca="false">IF(S1012=1,SUM($S$2:S1012),"")</f>
        <v/>
      </c>
    </row>
    <row r="1013" customFormat="false" ht="23.85" hidden="false" customHeight="false" outlineLevel="0" collapsed="false">
      <c r="A1013" s="20" t="s">
        <v>3330</v>
      </c>
      <c r="B1013" s="20" t="s">
        <v>71</v>
      </c>
      <c r="C1013" s="20" t="s">
        <v>3331</v>
      </c>
      <c r="D1013" s="19" t="s">
        <v>3332</v>
      </c>
      <c r="E1013" s="22" t="s">
        <v>91</v>
      </c>
      <c r="F1013" s="20" t="s">
        <v>3309</v>
      </c>
      <c r="G1013" s="20" t="s">
        <v>939</v>
      </c>
      <c r="H1013" s="21" t="n">
        <v>6.42</v>
      </c>
      <c r="I1013" s="22"/>
      <c r="J1013" s="22"/>
      <c r="K1013" s="19" t="s">
        <v>3332</v>
      </c>
      <c r="L1013" s="20"/>
      <c r="M1013" s="20"/>
      <c r="N1013" s="22" t="s">
        <v>91</v>
      </c>
      <c r="O1013" s="20"/>
      <c r="P1013" s="20" t="s">
        <v>3310</v>
      </c>
      <c r="Q1013" s="20" t="s">
        <v>942</v>
      </c>
      <c r="R1013" s="76" t="s">
        <v>95</v>
      </c>
      <c r="S1013" s="0" t="n">
        <f aca="false">IF(Recherche!$B$4="",0,IF(ISNUMBER(SEARCH(Recherche!$B$4,D1013))+ISNUMBER(SEARCH(Recherche!$B$4,K1013))&gt;0,1,0))</f>
        <v>0</v>
      </c>
      <c r="T1013" s="0" t="str">
        <f aca="false">IF(S1013=1,SUM($S$2:S1013),"")</f>
        <v/>
      </c>
    </row>
    <row r="1014" customFormat="false" ht="23.85" hidden="false" customHeight="false" outlineLevel="0" collapsed="false">
      <c r="A1014" s="24" t="s">
        <v>3333</v>
      </c>
      <c r="B1014" s="24" t="s">
        <v>71</v>
      </c>
      <c r="C1014" s="24" t="s">
        <v>3331</v>
      </c>
      <c r="D1014" s="23" t="s">
        <v>3334</v>
      </c>
      <c r="E1014" s="26" t="s">
        <v>91</v>
      </c>
      <c r="F1014" s="24" t="s">
        <v>3309</v>
      </c>
      <c r="G1014" s="24" t="s">
        <v>939</v>
      </c>
      <c r="H1014" s="25" t="n">
        <v>5.05</v>
      </c>
      <c r="I1014" s="26"/>
      <c r="J1014" s="26"/>
      <c r="K1014" s="23" t="s">
        <v>3334</v>
      </c>
      <c r="L1014" s="24"/>
      <c r="M1014" s="24"/>
      <c r="N1014" s="26" t="s">
        <v>91</v>
      </c>
      <c r="O1014" s="24"/>
      <c r="P1014" s="24" t="s">
        <v>3310</v>
      </c>
      <c r="Q1014" s="24" t="s">
        <v>942</v>
      </c>
      <c r="R1014" s="73" t="s">
        <v>95</v>
      </c>
      <c r="S1014" s="0" t="n">
        <f aca="false">IF(Recherche!$B$4="",0,IF(ISNUMBER(SEARCH(Recherche!$B$4,D1014))+ISNUMBER(SEARCH(Recherche!$B$4,K1014))&gt;0,1,0))</f>
        <v>0</v>
      </c>
      <c r="T1014" s="0" t="str">
        <f aca="false">IF(S1014=1,SUM($S$2:S1014),"")</f>
        <v/>
      </c>
    </row>
    <row r="1015" customFormat="false" ht="23.85" hidden="false" customHeight="false" outlineLevel="0" collapsed="false">
      <c r="A1015" s="20" t="s">
        <v>3335</v>
      </c>
      <c r="B1015" s="20" t="s">
        <v>71</v>
      </c>
      <c r="C1015" s="20" t="s">
        <v>3331</v>
      </c>
      <c r="D1015" s="19" t="s">
        <v>3336</v>
      </c>
      <c r="E1015" s="22" t="s">
        <v>91</v>
      </c>
      <c r="F1015" s="20" t="s">
        <v>3309</v>
      </c>
      <c r="G1015" s="20" t="s">
        <v>939</v>
      </c>
      <c r="H1015" s="21" t="n">
        <v>8.04</v>
      </c>
      <c r="I1015" s="22"/>
      <c r="J1015" s="22"/>
      <c r="K1015" s="19" t="s">
        <v>3336</v>
      </c>
      <c r="L1015" s="20"/>
      <c r="M1015" s="20"/>
      <c r="N1015" s="22" t="s">
        <v>91</v>
      </c>
      <c r="O1015" s="20"/>
      <c r="P1015" s="20" t="s">
        <v>3310</v>
      </c>
      <c r="Q1015" s="20" t="s">
        <v>942</v>
      </c>
      <c r="R1015" s="76" t="s">
        <v>95</v>
      </c>
      <c r="S1015" s="0" t="n">
        <f aca="false">IF(Recherche!$B$4="",0,IF(ISNUMBER(SEARCH(Recherche!$B$4,D1015))+ISNUMBER(SEARCH(Recherche!$B$4,K1015))&gt;0,1,0))</f>
        <v>0</v>
      </c>
      <c r="T1015" s="0" t="str">
        <f aca="false">IF(S1015=1,SUM($S$2:S1015),"")</f>
        <v/>
      </c>
    </row>
    <row r="1016" customFormat="false" ht="23.85" hidden="false" customHeight="false" outlineLevel="0" collapsed="false">
      <c r="A1016" s="24" t="s">
        <v>3337</v>
      </c>
      <c r="B1016" s="24" t="s">
        <v>71</v>
      </c>
      <c r="C1016" s="24" t="s">
        <v>3331</v>
      </c>
      <c r="D1016" s="23" t="s">
        <v>3338</v>
      </c>
      <c r="E1016" s="26" t="s">
        <v>91</v>
      </c>
      <c r="F1016" s="24" t="s">
        <v>3309</v>
      </c>
      <c r="G1016" s="24" t="s">
        <v>939</v>
      </c>
      <c r="H1016" s="25" t="n">
        <v>7.06</v>
      </c>
      <c r="I1016" s="26"/>
      <c r="J1016" s="26"/>
      <c r="K1016" s="23" t="s">
        <v>3338</v>
      </c>
      <c r="L1016" s="24"/>
      <c r="M1016" s="24"/>
      <c r="N1016" s="26" t="s">
        <v>91</v>
      </c>
      <c r="O1016" s="24"/>
      <c r="P1016" s="24" t="s">
        <v>3310</v>
      </c>
      <c r="Q1016" s="24" t="s">
        <v>942</v>
      </c>
      <c r="R1016" s="73" t="s">
        <v>95</v>
      </c>
      <c r="S1016" s="0" t="n">
        <f aca="false">IF(Recherche!$B$4="",0,IF(ISNUMBER(SEARCH(Recherche!$B$4,D1016))+ISNUMBER(SEARCH(Recherche!$B$4,K1016))&gt;0,1,0))</f>
        <v>0</v>
      </c>
      <c r="T1016" s="0" t="str">
        <f aca="false">IF(S1016=1,SUM($S$2:S1016),"")</f>
        <v/>
      </c>
    </row>
    <row r="1017" customFormat="false" ht="15" hidden="false" customHeight="false" outlineLevel="0" collapsed="false">
      <c r="A1017" s="20" t="s">
        <v>3339</v>
      </c>
      <c r="B1017" s="20" t="s">
        <v>71</v>
      </c>
      <c r="C1017" s="20" t="s">
        <v>3331</v>
      </c>
      <c r="D1017" s="19" t="s">
        <v>3340</v>
      </c>
      <c r="E1017" s="22" t="s">
        <v>91</v>
      </c>
      <c r="F1017" s="20" t="s">
        <v>3309</v>
      </c>
      <c r="G1017" s="20" t="s">
        <v>939</v>
      </c>
      <c r="H1017" s="21" t="n">
        <v>3.14</v>
      </c>
      <c r="I1017" s="22"/>
      <c r="J1017" s="22"/>
      <c r="K1017" s="19" t="s">
        <v>3340</v>
      </c>
      <c r="L1017" s="20"/>
      <c r="M1017" s="20"/>
      <c r="N1017" s="22" t="s">
        <v>91</v>
      </c>
      <c r="O1017" s="20"/>
      <c r="P1017" s="20" t="s">
        <v>3310</v>
      </c>
      <c r="Q1017" s="20" t="s">
        <v>942</v>
      </c>
      <c r="R1017" s="76" t="s">
        <v>95</v>
      </c>
      <c r="S1017" s="0" t="n">
        <f aca="false">IF(Recherche!$B$4="",0,IF(ISNUMBER(SEARCH(Recherche!$B$4,D1017))+ISNUMBER(SEARCH(Recherche!$B$4,K1017))&gt;0,1,0))</f>
        <v>0</v>
      </c>
      <c r="T1017" s="0" t="str">
        <f aca="false">IF(S1017=1,SUM($S$2:S1017),"")</f>
        <v/>
      </c>
    </row>
    <row r="1018" customFormat="false" ht="23.85" hidden="false" customHeight="false" outlineLevel="0" collapsed="false">
      <c r="A1018" s="24" t="s">
        <v>3341</v>
      </c>
      <c r="B1018" s="24" t="s">
        <v>71</v>
      </c>
      <c r="C1018" s="24" t="s">
        <v>3331</v>
      </c>
      <c r="D1018" s="23" t="s">
        <v>3342</v>
      </c>
      <c r="E1018" s="26" t="s">
        <v>91</v>
      </c>
      <c r="F1018" s="24" t="s">
        <v>3309</v>
      </c>
      <c r="G1018" s="24" t="s">
        <v>939</v>
      </c>
      <c r="H1018" s="25" t="n">
        <v>8.22</v>
      </c>
      <c r="I1018" s="26"/>
      <c r="J1018" s="26"/>
      <c r="K1018" s="23" t="s">
        <v>3343</v>
      </c>
      <c r="L1018" s="24"/>
      <c r="M1018" s="24"/>
      <c r="N1018" s="26" t="s">
        <v>91</v>
      </c>
      <c r="O1018" s="24"/>
      <c r="P1018" s="24" t="s">
        <v>3310</v>
      </c>
      <c r="Q1018" s="24" t="s">
        <v>942</v>
      </c>
      <c r="R1018" s="73" t="s">
        <v>95</v>
      </c>
      <c r="S1018" s="0" t="n">
        <f aca="false">IF(Recherche!$B$4="",0,IF(ISNUMBER(SEARCH(Recherche!$B$4,D1018))+ISNUMBER(SEARCH(Recherche!$B$4,K1018))&gt;0,1,0))</f>
        <v>0</v>
      </c>
      <c r="T1018" s="0" t="str">
        <f aca="false">IF(S1018=1,SUM($S$2:S1018),"")</f>
        <v/>
      </c>
    </row>
    <row r="1019" customFormat="false" ht="15" hidden="false" customHeight="false" outlineLevel="0" collapsed="false">
      <c r="A1019" s="20" t="s">
        <v>3344</v>
      </c>
      <c r="B1019" s="20" t="s">
        <v>71</v>
      </c>
      <c r="C1019" s="20" t="s">
        <v>3331</v>
      </c>
      <c r="D1019" s="19" t="s">
        <v>3345</v>
      </c>
      <c r="E1019" s="22" t="s">
        <v>91</v>
      </c>
      <c r="F1019" s="20" t="s">
        <v>3309</v>
      </c>
      <c r="G1019" s="20" t="s">
        <v>939</v>
      </c>
      <c r="H1019" s="21" t="n">
        <v>7.87</v>
      </c>
      <c r="I1019" s="22"/>
      <c r="J1019" s="22"/>
      <c r="K1019" s="19" t="s">
        <v>3345</v>
      </c>
      <c r="L1019" s="20"/>
      <c r="M1019" s="20"/>
      <c r="N1019" s="22" t="s">
        <v>91</v>
      </c>
      <c r="O1019" s="20"/>
      <c r="P1019" s="20" t="s">
        <v>3310</v>
      </c>
      <c r="Q1019" s="20" t="s">
        <v>942</v>
      </c>
      <c r="R1019" s="76" t="s">
        <v>95</v>
      </c>
      <c r="S1019" s="0" t="n">
        <f aca="false">IF(Recherche!$B$4="",0,IF(ISNUMBER(SEARCH(Recherche!$B$4,D1019))+ISNUMBER(SEARCH(Recherche!$B$4,K1019))&gt;0,1,0))</f>
        <v>0</v>
      </c>
      <c r="T1019" s="0" t="str">
        <f aca="false">IF(S1019=1,SUM($S$2:S1019),"")</f>
        <v/>
      </c>
    </row>
    <row r="1020" customFormat="false" ht="23.85" hidden="false" customHeight="false" outlineLevel="0" collapsed="false">
      <c r="A1020" s="24" t="s">
        <v>3346</v>
      </c>
      <c r="B1020" s="24" t="s">
        <v>71</v>
      </c>
      <c r="C1020" s="24" t="s">
        <v>3331</v>
      </c>
      <c r="D1020" s="23" t="s">
        <v>3347</v>
      </c>
      <c r="E1020" s="26" t="s">
        <v>91</v>
      </c>
      <c r="F1020" s="24" t="s">
        <v>3309</v>
      </c>
      <c r="G1020" s="24" t="s">
        <v>939</v>
      </c>
      <c r="H1020" s="25" t="n">
        <v>3.58</v>
      </c>
      <c r="I1020" s="26"/>
      <c r="J1020" s="26"/>
      <c r="K1020" s="23" t="s">
        <v>3347</v>
      </c>
      <c r="L1020" s="24"/>
      <c r="M1020" s="24"/>
      <c r="N1020" s="26" t="s">
        <v>91</v>
      </c>
      <c r="O1020" s="24"/>
      <c r="P1020" s="24" t="s">
        <v>3310</v>
      </c>
      <c r="Q1020" s="24" t="s">
        <v>942</v>
      </c>
      <c r="R1020" s="73" t="s">
        <v>95</v>
      </c>
      <c r="S1020" s="0" t="n">
        <f aca="false">IF(Recherche!$B$4="",0,IF(ISNUMBER(SEARCH(Recherche!$B$4,D1020))+ISNUMBER(SEARCH(Recherche!$B$4,K1020))&gt;0,1,0))</f>
        <v>0</v>
      </c>
      <c r="T1020" s="0" t="str">
        <f aca="false">IF(S1020=1,SUM($S$2:S1020),"")</f>
        <v/>
      </c>
    </row>
    <row r="1021" customFormat="false" ht="23.85" hidden="false" customHeight="false" outlineLevel="0" collapsed="false">
      <c r="A1021" s="20" t="s">
        <v>3348</v>
      </c>
      <c r="B1021" s="20" t="s">
        <v>71</v>
      </c>
      <c r="C1021" s="20" t="s">
        <v>3331</v>
      </c>
      <c r="D1021" s="19" t="s">
        <v>3349</v>
      </c>
      <c r="E1021" s="22" t="s">
        <v>91</v>
      </c>
      <c r="F1021" s="20" t="s">
        <v>3309</v>
      </c>
      <c r="G1021" s="20" t="s">
        <v>939</v>
      </c>
      <c r="H1021" s="21" t="n">
        <v>19.2</v>
      </c>
      <c r="I1021" s="22"/>
      <c r="J1021" s="22"/>
      <c r="K1021" s="19" t="s">
        <v>3350</v>
      </c>
      <c r="L1021" s="20"/>
      <c r="M1021" s="20"/>
      <c r="N1021" s="22" t="s">
        <v>91</v>
      </c>
      <c r="O1021" s="20"/>
      <c r="P1021" s="20" t="s">
        <v>3310</v>
      </c>
      <c r="Q1021" s="20" t="s">
        <v>942</v>
      </c>
      <c r="R1021" s="76" t="s">
        <v>95</v>
      </c>
      <c r="S1021" s="0" t="n">
        <f aca="false">IF(Recherche!$B$4="",0,IF(ISNUMBER(SEARCH(Recherche!$B$4,D1021))+ISNUMBER(SEARCH(Recherche!$B$4,K1021))&gt;0,1,0))</f>
        <v>0</v>
      </c>
      <c r="T1021" s="0" t="str">
        <f aca="false">IF(S1021=1,SUM($S$2:S1021),"")</f>
        <v/>
      </c>
    </row>
    <row r="1022" customFormat="false" ht="23.85" hidden="false" customHeight="false" outlineLevel="0" collapsed="false">
      <c r="A1022" s="24" t="s">
        <v>3351</v>
      </c>
      <c r="B1022" s="24" t="s">
        <v>71</v>
      </c>
      <c r="C1022" s="24" t="s">
        <v>3331</v>
      </c>
      <c r="D1022" s="23" t="s">
        <v>3352</v>
      </c>
      <c r="E1022" s="26" t="s">
        <v>91</v>
      </c>
      <c r="F1022" s="24" t="s">
        <v>3309</v>
      </c>
      <c r="G1022" s="24" t="s">
        <v>939</v>
      </c>
      <c r="H1022" s="25" t="n">
        <v>30.55</v>
      </c>
      <c r="I1022" s="26"/>
      <c r="J1022" s="26"/>
      <c r="K1022" s="23" t="s">
        <v>3353</v>
      </c>
      <c r="L1022" s="24"/>
      <c r="M1022" s="24"/>
      <c r="N1022" s="26" t="s">
        <v>91</v>
      </c>
      <c r="O1022" s="24"/>
      <c r="P1022" s="24" t="s">
        <v>3310</v>
      </c>
      <c r="Q1022" s="24" t="s">
        <v>942</v>
      </c>
      <c r="R1022" s="73" t="s">
        <v>95</v>
      </c>
      <c r="S1022" s="0" t="n">
        <f aca="false">IF(Recherche!$B$4="",0,IF(ISNUMBER(SEARCH(Recherche!$B$4,D1022))+ISNUMBER(SEARCH(Recherche!$B$4,K1022))&gt;0,1,0))</f>
        <v>0</v>
      </c>
      <c r="T1022" s="0" t="str">
        <f aca="false">IF(S1022=1,SUM($S$2:S1022),"")</f>
        <v/>
      </c>
    </row>
    <row r="1023" customFormat="false" ht="23.85" hidden="false" customHeight="false" outlineLevel="0" collapsed="false">
      <c r="A1023" s="20" t="s">
        <v>3354</v>
      </c>
      <c r="B1023" s="20" t="s">
        <v>71</v>
      </c>
      <c r="C1023" s="20" t="s">
        <v>3331</v>
      </c>
      <c r="D1023" s="19" t="s">
        <v>3355</v>
      </c>
      <c r="E1023" s="22" t="s">
        <v>91</v>
      </c>
      <c r="F1023" s="20" t="s">
        <v>3309</v>
      </c>
      <c r="G1023" s="20" t="s">
        <v>939</v>
      </c>
      <c r="H1023" s="21" t="n">
        <v>0.8</v>
      </c>
      <c r="I1023" s="22"/>
      <c r="J1023" s="22"/>
      <c r="K1023" s="19" t="s">
        <v>3356</v>
      </c>
      <c r="L1023" s="20"/>
      <c r="M1023" s="20"/>
      <c r="N1023" s="22" t="s">
        <v>91</v>
      </c>
      <c r="O1023" s="20"/>
      <c r="P1023" s="20" t="s">
        <v>3310</v>
      </c>
      <c r="Q1023" s="20" t="s">
        <v>942</v>
      </c>
      <c r="R1023" s="76" t="s">
        <v>95</v>
      </c>
      <c r="S1023" s="0" t="n">
        <f aca="false">IF(Recherche!$B$4="",0,IF(ISNUMBER(SEARCH(Recherche!$B$4,D1023))+ISNUMBER(SEARCH(Recherche!$B$4,K1023))&gt;0,1,0))</f>
        <v>0</v>
      </c>
      <c r="T1023" s="0" t="str">
        <f aca="false">IF(S1023=1,SUM($S$2:S1023),"")</f>
        <v/>
      </c>
    </row>
    <row r="1024" customFormat="false" ht="23.85" hidden="false" customHeight="false" outlineLevel="0" collapsed="false">
      <c r="A1024" s="24" t="s">
        <v>3357</v>
      </c>
      <c r="B1024" s="24" t="s">
        <v>71</v>
      </c>
      <c r="C1024" s="24" t="s">
        <v>3331</v>
      </c>
      <c r="D1024" s="23" t="s">
        <v>3358</v>
      </c>
      <c r="E1024" s="26" t="s">
        <v>91</v>
      </c>
      <c r="F1024" s="24" t="s">
        <v>3309</v>
      </c>
      <c r="G1024" s="24" t="s">
        <v>939</v>
      </c>
      <c r="H1024" s="25" t="n">
        <v>3.23</v>
      </c>
      <c r="I1024" s="26"/>
      <c r="J1024" s="26"/>
      <c r="K1024" s="23" t="s">
        <v>3359</v>
      </c>
      <c r="L1024" s="24"/>
      <c r="M1024" s="24"/>
      <c r="N1024" s="26" t="s">
        <v>91</v>
      </c>
      <c r="O1024" s="24"/>
      <c r="P1024" s="24" t="s">
        <v>3310</v>
      </c>
      <c r="Q1024" s="24" t="s">
        <v>942</v>
      </c>
      <c r="R1024" s="73" t="s">
        <v>95</v>
      </c>
      <c r="S1024" s="0" t="n">
        <f aca="false">IF(Recherche!$B$4="",0,IF(ISNUMBER(SEARCH(Recherche!$B$4,D1024))+ISNUMBER(SEARCH(Recherche!$B$4,K1024))&gt;0,1,0))</f>
        <v>0</v>
      </c>
      <c r="T1024" s="0" t="str">
        <f aca="false">IF(S1024=1,SUM($S$2:S1024),"")</f>
        <v/>
      </c>
    </row>
    <row r="1025" customFormat="false" ht="23.85" hidden="false" customHeight="false" outlineLevel="0" collapsed="false">
      <c r="A1025" s="20" t="s">
        <v>3360</v>
      </c>
      <c r="B1025" s="20" t="s">
        <v>71</v>
      </c>
      <c r="C1025" s="20" t="s">
        <v>3331</v>
      </c>
      <c r="D1025" s="19" t="s">
        <v>3361</v>
      </c>
      <c r="E1025" s="22" t="s">
        <v>91</v>
      </c>
      <c r="F1025" s="20" t="s">
        <v>3309</v>
      </c>
      <c r="G1025" s="20" t="s">
        <v>939</v>
      </c>
      <c r="H1025" s="21" t="n">
        <v>22.27</v>
      </c>
      <c r="I1025" s="22"/>
      <c r="J1025" s="22"/>
      <c r="K1025" s="19" t="s">
        <v>3361</v>
      </c>
      <c r="L1025" s="20"/>
      <c r="M1025" s="20"/>
      <c r="N1025" s="22" t="s">
        <v>91</v>
      </c>
      <c r="O1025" s="20"/>
      <c r="P1025" s="20" t="s">
        <v>3310</v>
      </c>
      <c r="Q1025" s="20" t="s">
        <v>942</v>
      </c>
      <c r="R1025" s="76" t="s">
        <v>95</v>
      </c>
      <c r="S1025" s="0" t="n">
        <f aca="false">IF(Recherche!$B$4="",0,IF(ISNUMBER(SEARCH(Recherche!$B$4,D1025))+ISNUMBER(SEARCH(Recherche!$B$4,K1025))&gt;0,1,0))</f>
        <v>0</v>
      </c>
      <c r="T1025" s="0" t="str">
        <f aca="false">IF(S1025=1,SUM($S$2:S1025),"")</f>
        <v/>
      </c>
    </row>
    <row r="1026" customFormat="false" ht="23.85" hidden="false" customHeight="false" outlineLevel="0" collapsed="false">
      <c r="A1026" s="24" t="s">
        <v>3362</v>
      </c>
      <c r="B1026" s="24" t="s">
        <v>71</v>
      </c>
      <c r="C1026" s="24" t="s">
        <v>3331</v>
      </c>
      <c r="D1026" s="23" t="s">
        <v>3363</v>
      </c>
      <c r="E1026" s="26" t="s">
        <v>91</v>
      </c>
      <c r="F1026" s="24" t="s">
        <v>3309</v>
      </c>
      <c r="G1026" s="24" t="s">
        <v>939</v>
      </c>
      <c r="H1026" s="25" t="n">
        <v>9.75</v>
      </c>
      <c r="I1026" s="26"/>
      <c r="J1026" s="26"/>
      <c r="K1026" s="23" t="s">
        <v>3364</v>
      </c>
      <c r="L1026" s="24"/>
      <c r="M1026" s="24"/>
      <c r="N1026" s="26" t="s">
        <v>91</v>
      </c>
      <c r="O1026" s="24"/>
      <c r="P1026" s="24" t="s">
        <v>3310</v>
      </c>
      <c r="Q1026" s="24" t="s">
        <v>942</v>
      </c>
      <c r="R1026" s="73" t="s">
        <v>95</v>
      </c>
      <c r="S1026" s="0" t="n">
        <f aca="false">IF(Recherche!$B$4="",0,IF(ISNUMBER(SEARCH(Recherche!$B$4,D1026))+ISNUMBER(SEARCH(Recherche!$B$4,K1026))&gt;0,1,0))</f>
        <v>0</v>
      </c>
      <c r="T1026" s="0" t="str">
        <f aca="false">IF(S1026=1,SUM($S$2:S1026),"")</f>
        <v/>
      </c>
    </row>
    <row r="1027" customFormat="false" ht="23.85" hidden="false" customHeight="false" outlineLevel="0" collapsed="false">
      <c r="A1027" s="20" t="s">
        <v>3365</v>
      </c>
      <c r="B1027" s="20" t="s">
        <v>71</v>
      </c>
      <c r="C1027" s="20" t="s">
        <v>3331</v>
      </c>
      <c r="D1027" s="19" t="s">
        <v>3366</v>
      </c>
      <c r="E1027" s="22" t="s">
        <v>91</v>
      </c>
      <c r="F1027" s="20" t="s">
        <v>3309</v>
      </c>
      <c r="G1027" s="20" t="s">
        <v>939</v>
      </c>
      <c r="H1027" s="21" t="n">
        <v>17.48</v>
      </c>
      <c r="I1027" s="22"/>
      <c r="J1027" s="22"/>
      <c r="K1027" s="19" t="s">
        <v>3366</v>
      </c>
      <c r="L1027" s="20"/>
      <c r="M1027" s="20"/>
      <c r="N1027" s="22" t="s">
        <v>91</v>
      </c>
      <c r="O1027" s="20"/>
      <c r="P1027" s="20" t="s">
        <v>3310</v>
      </c>
      <c r="Q1027" s="20" t="s">
        <v>942</v>
      </c>
      <c r="R1027" s="76" t="s">
        <v>95</v>
      </c>
      <c r="S1027" s="0" t="n">
        <f aca="false">IF(Recherche!$B$4="",0,IF(ISNUMBER(SEARCH(Recherche!$B$4,D1027))+ISNUMBER(SEARCH(Recherche!$B$4,K1027))&gt;0,1,0))</f>
        <v>0</v>
      </c>
      <c r="T1027" s="0" t="str">
        <f aca="false">IF(S1027=1,SUM($S$2:S1027),"")</f>
        <v/>
      </c>
    </row>
    <row r="1028" customFormat="false" ht="23.85" hidden="false" customHeight="false" outlineLevel="0" collapsed="false">
      <c r="A1028" s="24" t="s">
        <v>3367</v>
      </c>
      <c r="B1028" s="24" t="s">
        <v>71</v>
      </c>
      <c r="C1028" s="24" t="s">
        <v>3331</v>
      </c>
      <c r="D1028" s="23" t="s">
        <v>3368</v>
      </c>
      <c r="E1028" s="26" t="s">
        <v>91</v>
      </c>
      <c r="F1028" s="24" t="s">
        <v>3309</v>
      </c>
      <c r="G1028" s="24" t="s">
        <v>939</v>
      </c>
      <c r="H1028" s="25" t="n">
        <v>7.19</v>
      </c>
      <c r="I1028" s="26"/>
      <c r="J1028" s="26"/>
      <c r="K1028" s="23" t="s">
        <v>3369</v>
      </c>
      <c r="L1028" s="24"/>
      <c r="M1028" s="24"/>
      <c r="N1028" s="26" t="s">
        <v>91</v>
      </c>
      <c r="O1028" s="24"/>
      <c r="P1028" s="24" t="s">
        <v>3310</v>
      </c>
      <c r="Q1028" s="24" t="s">
        <v>942</v>
      </c>
      <c r="R1028" s="73" t="s">
        <v>95</v>
      </c>
      <c r="S1028" s="0" t="n">
        <f aca="false">IF(Recherche!$B$4="",0,IF(ISNUMBER(SEARCH(Recherche!$B$4,D1028))+ISNUMBER(SEARCH(Recherche!$B$4,K1028))&gt;0,1,0))</f>
        <v>0</v>
      </c>
      <c r="T1028" s="0" t="str">
        <f aca="false">IF(S1028=1,SUM($S$2:S1028),"")</f>
        <v/>
      </c>
    </row>
    <row r="1029" customFormat="false" ht="23.85" hidden="false" customHeight="false" outlineLevel="0" collapsed="false">
      <c r="A1029" s="20" t="s">
        <v>3370</v>
      </c>
      <c r="B1029" s="20" t="s">
        <v>71</v>
      </c>
      <c r="C1029" s="20" t="s">
        <v>3331</v>
      </c>
      <c r="D1029" s="19" t="s">
        <v>3371</v>
      </c>
      <c r="E1029" s="22" t="s">
        <v>91</v>
      </c>
      <c r="F1029" s="20" t="s">
        <v>3309</v>
      </c>
      <c r="G1029" s="20" t="s">
        <v>939</v>
      </c>
      <c r="H1029" s="21" t="n">
        <v>15.77</v>
      </c>
      <c r="I1029" s="22"/>
      <c r="J1029" s="22"/>
      <c r="K1029" s="19" t="s">
        <v>3372</v>
      </c>
      <c r="L1029" s="20"/>
      <c r="M1029" s="20"/>
      <c r="N1029" s="22" t="s">
        <v>91</v>
      </c>
      <c r="O1029" s="20"/>
      <c r="P1029" s="20" t="s">
        <v>3310</v>
      </c>
      <c r="Q1029" s="20" t="s">
        <v>942</v>
      </c>
      <c r="R1029" s="76" t="s">
        <v>95</v>
      </c>
      <c r="S1029" s="0" t="n">
        <f aca="false">IF(Recherche!$B$4="",0,IF(ISNUMBER(SEARCH(Recherche!$B$4,D1029))+ISNUMBER(SEARCH(Recherche!$B$4,K1029))&gt;0,1,0))</f>
        <v>0</v>
      </c>
      <c r="T1029" s="0" t="str">
        <f aca="false">IF(S1029=1,SUM($S$2:S1029),"")</f>
        <v/>
      </c>
    </row>
    <row r="1030" customFormat="false" ht="23.85" hidden="false" customHeight="false" outlineLevel="0" collapsed="false">
      <c r="A1030" s="24" t="s">
        <v>3373</v>
      </c>
      <c r="B1030" s="24" t="s">
        <v>71</v>
      </c>
      <c r="C1030" s="24" t="s">
        <v>3331</v>
      </c>
      <c r="D1030" s="23" t="s">
        <v>3374</v>
      </c>
      <c r="E1030" s="26" t="s">
        <v>91</v>
      </c>
      <c r="F1030" s="24" t="s">
        <v>3309</v>
      </c>
      <c r="G1030" s="24" t="s">
        <v>939</v>
      </c>
      <c r="H1030" s="25" t="n">
        <v>6.99</v>
      </c>
      <c r="I1030" s="26"/>
      <c r="J1030" s="26"/>
      <c r="K1030" s="23" t="s">
        <v>3375</v>
      </c>
      <c r="L1030" s="24"/>
      <c r="M1030" s="24"/>
      <c r="N1030" s="26" t="s">
        <v>91</v>
      </c>
      <c r="O1030" s="24"/>
      <c r="P1030" s="24" t="s">
        <v>3310</v>
      </c>
      <c r="Q1030" s="24" t="s">
        <v>942</v>
      </c>
      <c r="R1030" s="73" t="s">
        <v>95</v>
      </c>
      <c r="S1030" s="0" t="n">
        <f aca="false">IF(Recherche!$B$4="",0,IF(ISNUMBER(SEARCH(Recherche!$B$4,D1030))+ISNUMBER(SEARCH(Recherche!$B$4,K1030))&gt;0,1,0))</f>
        <v>0</v>
      </c>
      <c r="T1030" s="0" t="str">
        <f aca="false">IF(S1030=1,SUM($S$2:S1030),"")</f>
        <v/>
      </c>
    </row>
    <row r="1031" customFormat="false" ht="23.85" hidden="false" customHeight="false" outlineLevel="0" collapsed="false">
      <c r="A1031" s="20" t="s">
        <v>3376</v>
      </c>
      <c r="B1031" s="20" t="s">
        <v>71</v>
      </c>
      <c r="C1031" s="20" t="s">
        <v>3331</v>
      </c>
      <c r="D1031" s="19" t="s">
        <v>3377</v>
      </c>
      <c r="E1031" s="22" t="s">
        <v>91</v>
      </c>
      <c r="F1031" s="20" t="s">
        <v>3309</v>
      </c>
      <c r="G1031" s="20" t="s">
        <v>939</v>
      </c>
      <c r="H1031" s="21" t="n">
        <v>5.69</v>
      </c>
      <c r="I1031" s="22"/>
      <c r="J1031" s="22"/>
      <c r="K1031" s="19" t="s">
        <v>3378</v>
      </c>
      <c r="L1031" s="20"/>
      <c r="M1031" s="20"/>
      <c r="N1031" s="22" t="s">
        <v>91</v>
      </c>
      <c r="O1031" s="20"/>
      <c r="P1031" s="20" t="s">
        <v>3310</v>
      </c>
      <c r="Q1031" s="20" t="s">
        <v>942</v>
      </c>
      <c r="R1031" s="76" t="s">
        <v>95</v>
      </c>
      <c r="S1031" s="0" t="n">
        <f aca="false">IF(Recherche!$B$4="",0,IF(ISNUMBER(SEARCH(Recherche!$B$4,D1031))+ISNUMBER(SEARCH(Recherche!$B$4,K1031))&gt;0,1,0))</f>
        <v>0</v>
      </c>
      <c r="T1031" s="0" t="str">
        <f aca="false">IF(S1031=1,SUM($S$2:S1031),"")</f>
        <v/>
      </c>
    </row>
    <row r="1032" customFormat="false" ht="23.85" hidden="false" customHeight="false" outlineLevel="0" collapsed="false">
      <c r="A1032" s="24" t="s">
        <v>3379</v>
      </c>
      <c r="B1032" s="24" t="s">
        <v>71</v>
      </c>
      <c r="C1032" s="24" t="s">
        <v>3331</v>
      </c>
      <c r="D1032" s="23" t="s">
        <v>3380</v>
      </c>
      <c r="E1032" s="26" t="s">
        <v>91</v>
      </c>
      <c r="F1032" s="24" t="s">
        <v>3309</v>
      </c>
      <c r="G1032" s="24" t="s">
        <v>939</v>
      </c>
      <c r="H1032" s="25" t="n">
        <v>10.99</v>
      </c>
      <c r="I1032" s="26"/>
      <c r="J1032" s="26"/>
      <c r="K1032" s="23" t="s">
        <v>3381</v>
      </c>
      <c r="L1032" s="24"/>
      <c r="M1032" s="24"/>
      <c r="N1032" s="26" t="s">
        <v>91</v>
      </c>
      <c r="O1032" s="24"/>
      <c r="P1032" s="24" t="s">
        <v>3310</v>
      </c>
      <c r="Q1032" s="24" t="s">
        <v>942</v>
      </c>
      <c r="R1032" s="73" t="s">
        <v>95</v>
      </c>
      <c r="S1032" s="0" t="n">
        <f aca="false">IF(Recherche!$B$4="",0,IF(ISNUMBER(SEARCH(Recherche!$B$4,D1032))+ISNUMBER(SEARCH(Recherche!$B$4,K1032))&gt;0,1,0))</f>
        <v>0</v>
      </c>
      <c r="T1032" s="0" t="str">
        <f aca="false">IF(S1032=1,SUM($S$2:S1032),"")</f>
        <v/>
      </c>
    </row>
    <row r="1033" customFormat="false" ht="23.85" hidden="false" customHeight="false" outlineLevel="0" collapsed="false">
      <c r="A1033" s="20" t="s">
        <v>3382</v>
      </c>
      <c r="B1033" s="20" t="s">
        <v>71</v>
      </c>
      <c r="C1033" s="20" t="s">
        <v>3331</v>
      </c>
      <c r="D1033" s="19" t="s">
        <v>3383</v>
      </c>
      <c r="E1033" s="22" t="s">
        <v>91</v>
      </c>
      <c r="F1033" s="20" t="s">
        <v>3309</v>
      </c>
      <c r="G1033" s="20" t="s">
        <v>939</v>
      </c>
      <c r="H1033" s="21" t="n">
        <v>13.51</v>
      </c>
      <c r="I1033" s="22"/>
      <c r="J1033" s="22"/>
      <c r="K1033" s="19" t="s">
        <v>3384</v>
      </c>
      <c r="L1033" s="20"/>
      <c r="M1033" s="20"/>
      <c r="N1033" s="22" t="s">
        <v>91</v>
      </c>
      <c r="O1033" s="20"/>
      <c r="P1033" s="20" t="s">
        <v>3310</v>
      </c>
      <c r="Q1033" s="20" t="s">
        <v>942</v>
      </c>
      <c r="R1033" s="76" t="s">
        <v>95</v>
      </c>
      <c r="S1033" s="0" t="n">
        <f aca="false">IF(Recherche!$B$4="",0,IF(ISNUMBER(SEARCH(Recherche!$B$4,D1033))+ISNUMBER(SEARCH(Recherche!$B$4,K1033))&gt;0,1,0))</f>
        <v>0</v>
      </c>
      <c r="T1033" s="0" t="str">
        <f aca="false">IF(S1033=1,SUM($S$2:S1033),"")</f>
        <v/>
      </c>
    </row>
    <row r="1034" customFormat="false" ht="23.85" hidden="false" customHeight="false" outlineLevel="0" collapsed="false">
      <c r="A1034" s="24" t="s">
        <v>3385</v>
      </c>
      <c r="B1034" s="24" t="s">
        <v>71</v>
      </c>
      <c r="C1034" s="24" t="s">
        <v>3331</v>
      </c>
      <c r="D1034" s="23" t="s">
        <v>3386</v>
      </c>
      <c r="E1034" s="26" t="s">
        <v>91</v>
      </c>
      <c r="F1034" s="24" t="s">
        <v>3309</v>
      </c>
      <c r="G1034" s="24" t="s">
        <v>939</v>
      </c>
      <c r="H1034" s="25" t="n">
        <v>13.81</v>
      </c>
      <c r="I1034" s="26"/>
      <c r="J1034" s="26"/>
      <c r="K1034" s="23" t="s">
        <v>3387</v>
      </c>
      <c r="L1034" s="24"/>
      <c r="M1034" s="24"/>
      <c r="N1034" s="26" t="s">
        <v>91</v>
      </c>
      <c r="O1034" s="24"/>
      <c r="P1034" s="24" t="s">
        <v>3310</v>
      </c>
      <c r="Q1034" s="24" t="s">
        <v>942</v>
      </c>
      <c r="R1034" s="73" t="s">
        <v>95</v>
      </c>
      <c r="S1034" s="0" t="n">
        <f aca="false">IF(Recherche!$B$4="",0,IF(ISNUMBER(SEARCH(Recherche!$B$4,D1034))+ISNUMBER(SEARCH(Recherche!$B$4,K1034))&gt;0,1,0))</f>
        <v>0</v>
      </c>
      <c r="T1034" s="0" t="str">
        <f aca="false">IF(S1034=1,SUM($S$2:S1034),"")</f>
        <v/>
      </c>
    </row>
    <row r="1035" customFormat="false" ht="23.85" hidden="false" customHeight="false" outlineLevel="0" collapsed="false">
      <c r="A1035" s="20" t="s">
        <v>3388</v>
      </c>
      <c r="B1035" s="20" t="s">
        <v>71</v>
      </c>
      <c r="C1035" s="20" t="s">
        <v>3331</v>
      </c>
      <c r="D1035" s="19" t="s">
        <v>3389</v>
      </c>
      <c r="E1035" s="22" t="s">
        <v>91</v>
      </c>
      <c r="F1035" s="20" t="s">
        <v>3309</v>
      </c>
      <c r="G1035" s="20" t="s">
        <v>939</v>
      </c>
      <c r="H1035" s="21" t="n">
        <v>4.09</v>
      </c>
      <c r="I1035" s="22"/>
      <c r="J1035" s="22"/>
      <c r="K1035" s="19" t="s">
        <v>3390</v>
      </c>
      <c r="L1035" s="20"/>
      <c r="M1035" s="20"/>
      <c r="N1035" s="22" t="s">
        <v>91</v>
      </c>
      <c r="O1035" s="20"/>
      <c r="P1035" s="20" t="s">
        <v>3310</v>
      </c>
      <c r="Q1035" s="20" t="s">
        <v>942</v>
      </c>
      <c r="R1035" s="76" t="s">
        <v>95</v>
      </c>
      <c r="S1035" s="0" t="n">
        <f aca="false">IF(Recherche!$B$4="",0,IF(ISNUMBER(SEARCH(Recherche!$B$4,D1035))+ISNUMBER(SEARCH(Recherche!$B$4,K1035))&gt;0,1,0))</f>
        <v>0</v>
      </c>
      <c r="T1035" s="0" t="str">
        <f aca="false">IF(S1035=1,SUM($S$2:S1035),"")</f>
        <v/>
      </c>
    </row>
    <row r="1036" customFormat="false" ht="23.85" hidden="false" customHeight="false" outlineLevel="0" collapsed="false">
      <c r="A1036" s="24" t="s">
        <v>3391</v>
      </c>
      <c r="B1036" s="24" t="s">
        <v>71</v>
      </c>
      <c r="C1036" s="24" t="s">
        <v>3331</v>
      </c>
      <c r="D1036" s="23" t="s">
        <v>3392</v>
      </c>
      <c r="E1036" s="26" t="s">
        <v>91</v>
      </c>
      <c r="F1036" s="24" t="s">
        <v>3309</v>
      </c>
      <c r="G1036" s="24" t="s">
        <v>939</v>
      </c>
      <c r="H1036" s="25" t="n">
        <v>15.99</v>
      </c>
      <c r="I1036" s="26"/>
      <c r="J1036" s="26"/>
      <c r="K1036" s="23" t="s">
        <v>3393</v>
      </c>
      <c r="L1036" s="24"/>
      <c r="M1036" s="24"/>
      <c r="N1036" s="26" t="s">
        <v>91</v>
      </c>
      <c r="O1036" s="24"/>
      <c r="P1036" s="24" t="s">
        <v>3310</v>
      </c>
      <c r="Q1036" s="24" t="s">
        <v>942</v>
      </c>
      <c r="R1036" s="73" t="s">
        <v>95</v>
      </c>
      <c r="S1036" s="0" t="n">
        <f aca="false">IF(Recherche!$B$4="",0,IF(ISNUMBER(SEARCH(Recherche!$B$4,D1036))+ISNUMBER(SEARCH(Recherche!$B$4,K1036))&gt;0,1,0))</f>
        <v>0</v>
      </c>
      <c r="T1036" s="0" t="str">
        <f aca="false">IF(S1036=1,SUM($S$2:S1036),"")</f>
        <v/>
      </c>
    </row>
    <row r="1037" customFormat="false" ht="23.85" hidden="false" customHeight="false" outlineLevel="0" collapsed="false">
      <c r="A1037" s="20" t="s">
        <v>3394</v>
      </c>
      <c r="B1037" s="20" t="s">
        <v>71</v>
      </c>
      <c r="C1037" s="20" t="s">
        <v>3395</v>
      </c>
      <c r="D1037" s="19" t="s">
        <v>3332</v>
      </c>
      <c r="E1037" s="22" t="s">
        <v>91</v>
      </c>
      <c r="F1037" s="20" t="s">
        <v>3309</v>
      </c>
      <c r="G1037" s="20" t="s">
        <v>939</v>
      </c>
      <c r="H1037" s="21" t="n">
        <v>6.42</v>
      </c>
      <c r="I1037" s="22"/>
      <c r="J1037" s="22"/>
      <c r="K1037" s="19" t="s">
        <v>3332</v>
      </c>
      <c r="L1037" s="20"/>
      <c r="M1037" s="20"/>
      <c r="N1037" s="22" t="s">
        <v>91</v>
      </c>
      <c r="O1037" s="20"/>
      <c r="P1037" s="20" t="s">
        <v>3310</v>
      </c>
      <c r="Q1037" s="20" t="s">
        <v>942</v>
      </c>
      <c r="R1037" s="76" t="s">
        <v>95</v>
      </c>
      <c r="S1037" s="0" t="n">
        <f aca="false">IF(Recherche!$B$4="",0,IF(ISNUMBER(SEARCH(Recherche!$B$4,D1037))+ISNUMBER(SEARCH(Recherche!$B$4,K1037))&gt;0,1,0))</f>
        <v>0</v>
      </c>
      <c r="T1037" s="0" t="str">
        <f aca="false">IF(S1037=1,SUM($S$2:S1037),"")</f>
        <v/>
      </c>
    </row>
    <row r="1038" customFormat="false" ht="23.85" hidden="false" customHeight="false" outlineLevel="0" collapsed="false">
      <c r="A1038" s="24" t="s">
        <v>3396</v>
      </c>
      <c r="B1038" s="24" t="s">
        <v>71</v>
      </c>
      <c r="C1038" s="24" t="s">
        <v>3395</v>
      </c>
      <c r="D1038" s="23" t="s">
        <v>3338</v>
      </c>
      <c r="E1038" s="26" t="s">
        <v>91</v>
      </c>
      <c r="F1038" s="24" t="s">
        <v>3309</v>
      </c>
      <c r="G1038" s="24" t="s">
        <v>939</v>
      </c>
      <c r="H1038" s="25" t="n">
        <v>7.06</v>
      </c>
      <c r="I1038" s="26"/>
      <c r="J1038" s="26"/>
      <c r="K1038" s="23" t="s">
        <v>3338</v>
      </c>
      <c r="L1038" s="24"/>
      <c r="M1038" s="24"/>
      <c r="N1038" s="26" t="s">
        <v>91</v>
      </c>
      <c r="O1038" s="24"/>
      <c r="P1038" s="24" t="s">
        <v>3310</v>
      </c>
      <c r="Q1038" s="24" t="s">
        <v>942</v>
      </c>
      <c r="R1038" s="73" t="s">
        <v>95</v>
      </c>
      <c r="S1038" s="0" t="n">
        <f aca="false">IF(Recherche!$B$4="",0,IF(ISNUMBER(SEARCH(Recherche!$B$4,D1038))+ISNUMBER(SEARCH(Recherche!$B$4,K1038))&gt;0,1,0))</f>
        <v>0</v>
      </c>
      <c r="T1038" s="0" t="str">
        <f aca="false">IF(S1038=1,SUM($S$2:S1038),"")</f>
        <v/>
      </c>
    </row>
    <row r="1039" customFormat="false" ht="15" hidden="false" customHeight="false" outlineLevel="0" collapsed="false">
      <c r="A1039" s="20" t="s">
        <v>3397</v>
      </c>
      <c r="B1039" s="20" t="s">
        <v>71</v>
      </c>
      <c r="C1039" s="20" t="s">
        <v>3395</v>
      </c>
      <c r="D1039" s="19" t="s">
        <v>3340</v>
      </c>
      <c r="E1039" s="22" t="s">
        <v>91</v>
      </c>
      <c r="F1039" s="20" t="s">
        <v>3309</v>
      </c>
      <c r="G1039" s="20" t="s">
        <v>939</v>
      </c>
      <c r="H1039" s="21" t="n">
        <v>3.14</v>
      </c>
      <c r="I1039" s="22"/>
      <c r="J1039" s="22"/>
      <c r="K1039" s="19" t="s">
        <v>3340</v>
      </c>
      <c r="L1039" s="20"/>
      <c r="M1039" s="20"/>
      <c r="N1039" s="22" t="s">
        <v>91</v>
      </c>
      <c r="O1039" s="20"/>
      <c r="P1039" s="20" t="s">
        <v>3310</v>
      </c>
      <c r="Q1039" s="20" t="s">
        <v>942</v>
      </c>
      <c r="R1039" s="76" t="s">
        <v>95</v>
      </c>
      <c r="S1039" s="0" t="n">
        <f aca="false">IF(Recherche!$B$4="",0,IF(ISNUMBER(SEARCH(Recherche!$B$4,D1039))+ISNUMBER(SEARCH(Recherche!$B$4,K1039))&gt;0,1,0))</f>
        <v>0</v>
      </c>
      <c r="T1039" s="0" t="str">
        <f aca="false">IF(S1039=1,SUM($S$2:S1039),"")</f>
        <v/>
      </c>
    </row>
    <row r="1040" customFormat="false" ht="15" hidden="false" customHeight="false" outlineLevel="0" collapsed="false">
      <c r="A1040" s="24" t="s">
        <v>3398</v>
      </c>
      <c r="B1040" s="24" t="s">
        <v>71</v>
      </c>
      <c r="C1040" s="24" t="s">
        <v>3395</v>
      </c>
      <c r="D1040" s="23" t="s">
        <v>3345</v>
      </c>
      <c r="E1040" s="26" t="s">
        <v>91</v>
      </c>
      <c r="F1040" s="24" t="s">
        <v>3309</v>
      </c>
      <c r="G1040" s="24" t="s">
        <v>939</v>
      </c>
      <c r="H1040" s="25" t="n">
        <v>7.87</v>
      </c>
      <c r="I1040" s="26"/>
      <c r="J1040" s="26"/>
      <c r="K1040" s="23" t="s">
        <v>3345</v>
      </c>
      <c r="L1040" s="24"/>
      <c r="M1040" s="24"/>
      <c r="N1040" s="26" t="s">
        <v>91</v>
      </c>
      <c r="O1040" s="24"/>
      <c r="P1040" s="24" t="s">
        <v>3310</v>
      </c>
      <c r="Q1040" s="24" t="s">
        <v>942</v>
      </c>
      <c r="R1040" s="73" t="s">
        <v>95</v>
      </c>
      <c r="S1040" s="0" t="n">
        <f aca="false">IF(Recherche!$B$4="",0,IF(ISNUMBER(SEARCH(Recherche!$B$4,D1040))+ISNUMBER(SEARCH(Recherche!$B$4,K1040))&gt;0,1,0))</f>
        <v>0</v>
      </c>
      <c r="T1040" s="0" t="str">
        <f aca="false">IF(S1040=1,SUM($S$2:S1040),"")</f>
        <v/>
      </c>
    </row>
    <row r="1041" customFormat="false" ht="23.85" hidden="false" customHeight="false" outlineLevel="0" collapsed="false">
      <c r="A1041" s="20" t="s">
        <v>3399</v>
      </c>
      <c r="B1041" s="20" t="s">
        <v>71</v>
      </c>
      <c r="C1041" s="20" t="s">
        <v>3395</v>
      </c>
      <c r="D1041" s="19" t="s">
        <v>3400</v>
      </c>
      <c r="E1041" s="22" t="s">
        <v>91</v>
      </c>
      <c r="F1041" s="20" t="s">
        <v>3309</v>
      </c>
      <c r="G1041" s="20" t="s">
        <v>939</v>
      </c>
      <c r="H1041" s="21" t="n">
        <v>12.12</v>
      </c>
      <c r="I1041" s="22"/>
      <c r="J1041" s="22"/>
      <c r="K1041" s="19" t="s">
        <v>3401</v>
      </c>
      <c r="L1041" s="20"/>
      <c r="M1041" s="20"/>
      <c r="N1041" s="22" t="s">
        <v>91</v>
      </c>
      <c r="O1041" s="20"/>
      <c r="P1041" s="20" t="s">
        <v>3310</v>
      </c>
      <c r="Q1041" s="20" t="s">
        <v>942</v>
      </c>
      <c r="R1041" s="76" t="s">
        <v>95</v>
      </c>
      <c r="S1041" s="0" t="n">
        <f aca="false">IF(Recherche!$B$4="",0,IF(ISNUMBER(SEARCH(Recherche!$B$4,D1041))+ISNUMBER(SEARCH(Recherche!$B$4,K1041))&gt;0,1,0))</f>
        <v>0</v>
      </c>
      <c r="T1041" s="0" t="str">
        <f aca="false">IF(S1041=1,SUM($S$2:S1041),"")</f>
        <v/>
      </c>
    </row>
    <row r="1042" customFormat="false" ht="23.85" hidden="false" customHeight="false" outlineLevel="0" collapsed="false">
      <c r="A1042" s="24" t="s">
        <v>3402</v>
      </c>
      <c r="B1042" s="24" t="s">
        <v>71</v>
      </c>
      <c r="C1042" s="24" t="s">
        <v>3395</v>
      </c>
      <c r="D1042" s="23" t="s">
        <v>3403</v>
      </c>
      <c r="E1042" s="26" t="s">
        <v>91</v>
      </c>
      <c r="F1042" s="24" t="s">
        <v>3309</v>
      </c>
      <c r="G1042" s="24" t="s">
        <v>939</v>
      </c>
      <c r="H1042" s="25" t="n">
        <v>6.95</v>
      </c>
      <c r="I1042" s="26"/>
      <c r="J1042" s="26"/>
      <c r="K1042" s="23" t="s">
        <v>3404</v>
      </c>
      <c r="L1042" s="24"/>
      <c r="M1042" s="24"/>
      <c r="N1042" s="26" t="s">
        <v>91</v>
      </c>
      <c r="O1042" s="24"/>
      <c r="P1042" s="24" t="s">
        <v>3310</v>
      </c>
      <c r="Q1042" s="24" t="s">
        <v>942</v>
      </c>
      <c r="R1042" s="73" t="s">
        <v>95</v>
      </c>
      <c r="S1042" s="0" t="n">
        <f aca="false">IF(Recherche!$B$4="",0,IF(ISNUMBER(SEARCH(Recherche!$B$4,D1042))+ISNUMBER(SEARCH(Recherche!$B$4,K1042))&gt;0,1,0))</f>
        <v>0</v>
      </c>
      <c r="T1042" s="0" t="str">
        <f aca="false">IF(S1042=1,SUM($S$2:S1042),"")</f>
        <v/>
      </c>
    </row>
    <row r="1043" customFormat="false" ht="23.85" hidden="false" customHeight="false" outlineLevel="0" collapsed="false">
      <c r="A1043" s="20" t="s">
        <v>3405</v>
      </c>
      <c r="B1043" s="20" t="s">
        <v>71</v>
      </c>
      <c r="C1043" s="20" t="s">
        <v>3395</v>
      </c>
      <c r="D1043" s="19" t="s">
        <v>3406</v>
      </c>
      <c r="E1043" s="22" t="s">
        <v>91</v>
      </c>
      <c r="F1043" s="20" t="s">
        <v>3309</v>
      </c>
      <c r="G1043" s="20" t="s">
        <v>939</v>
      </c>
      <c r="H1043" s="21" t="n">
        <v>5.4</v>
      </c>
      <c r="I1043" s="22"/>
      <c r="J1043" s="22"/>
      <c r="K1043" s="19" t="s">
        <v>3406</v>
      </c>
      <c r="L1043" s="20"/>
      <c r="M1043" s="20"/>
      <c r="N1043" s="22" t="s">
        <v>91</v>
      </c>
      <c r="O1043" s="20"/>
      <c r="P1043" s="20" t="s">
        <v>3310</v>
      </c>
      <c r="Q1043" s="20" t="s">
        <v>942</v>
      </c>
      <c r="R1043" s="76" t="s">
        <v>95</v>
      </c>
      <c r="S1043" s="0" t="n">
        <f aca="false">IF(Recherche!$B$4="",0,IF(ISNUMBER(SEARCH(Recherche!$B$4,D1043))+ISNUMBER(SEARCH(Recherche!$B$4,K1043))&gt;0,1,0))</f>
        <v>0</v>
      </c>
      <c r="T1043" s="0" t="str">
        <f aca="false">IF(S1043=1,SUM($S$2:S1043),"")</f>
        <v/>
      </c>
    </row>
    <row r="1044" customFormat="false" ht="23.85" hidden="false" customHeight="false" outlineLevel="0" collapsed="false">
      <c r="A1044" s="24" t="s">
        <v>3407</v>
      </c>
      <c r="B1044" s="24" t="s">
        <v>71</v>
      </c>
      <c r="C1044" s="24" t="s">
        <v>3395</v>
      </c>
      <c r="D1044" s="23" t="s">
        <v>3408</v>
      </c>
      <c r="E1044" s="26" t="s">
        <v>91</v>
      </c>
      <c r="F1044" s="24" t="s">
        <v>3309</v>
      </c>
      <c r="G1044" s="24" t="s">
        <v>939</v>
      </c>
      <c r="H1044" s="25" t="n">
        <v>15.95</v>
      </c>
      <c r="I1044" s="26"/>
      <c r="J1044" s="26"/>
      <c r="K1044" s="23" t="s">
        <v>3408</v>
      </c>
      <c r="L1044" s="24"/>
      <c r="M1044" s="24"/>
      <c r="N1044" s="26" t="s">
        <v>91</v>
      </c>
      <c r="O1044" s="24"/>
      <c r="P1044" s="24" t="s">
        <v>3310</v>
      </c>
      <c r="Q1044" s="24" t="s">
        <v>942</v>
      </c>
      <c r="R1044" s="73" t="s">
        <v>95</v>
      </c>
      <c r="S1044" s="0" t="n">
        <f aca="false">IF(Recherche!$B$4="",0,IF(ISNUMBER(SEARCH(Recherche!$B$4,D1044))+ISNUMBER(SEARCH(Recherche!$B$4,K1044))&gt;0,1,0))</f>
        <v>0</v>
      </c>
      <c r="T1044" s="0" t="str">
        <f aca="false">IF(S1044=1,SUM($S$2:S1044),"")</f>
        <v/>
      </c>
    </row>
    <row r="1045" customFormat="false" ht="23.85" hidden="false" customHeight="false" outlineLevel="0" collapsed="false">
      <c r="A1045" s="20" t="s">
        <v>3409</v>
      </c>
      <c r="B1045" s="20" t="s">
        <v>71</v>
      </c>
      <c r="C1045" s="20" t="s">
        <v>3395</v>
      </c>
      <c r="D1045" s="19" t="s">
        <v>3410</v>
      </c>
      <c r="E1045" s="22" t="s">
        <v>91</v>
      </c>
      <c r="F1045" s="20" t="s">
        <v>3309</v>
      </c>
      <c r="G1045" s="20" t="s">
        <v>939</v>
      </c>
      <c r="H1045" s="21" t="n">
        <v>10.55</v>
      </c>
      <c r="I1045" s="22"/>
      <c r="J1045" s="22"/>
      <c r="K1045" s="19" t="s">
        <v>3410</v>
      </c>
      <c r="L1045" s="20"/>
      <c r="M1045" s="20"/>
      <c r="N1045" s="22" t="s">
        <v>91</v>
      </c>
      <c r="O1045" s="20"/>
      <c r="P1045" s="20" t="s">
        <v>3310</v>
      </c>
      <c r="Q1045" s="20" t="s">
        <v>942</v>
      </c>
      <c r="R1045" s="76" t="s">
        <v>95</v>
      </c>
      <c r="S1045" s="0" t="n">
        <f aca="false">IF(Recherche!$B$4="",0,IF(ISNUMBER(SEARCH(Recherche!$B$4,D1045))+ISNUMBER(SEARCH(Recherche!$B$4,K1045))&gt;0,1,0))</f>
        <v>0</v>
      </c>
      <c r="T1045" s="0" t="str">
        <f aca="false">IF(S1045=1,SUM($S$2:S1045),"")</f>
        <v/>
      </c>
    </row>
    <row r="1046" customFormat="false" ht="23.85" hidden="false" customHeight="false" outlineLevel="0" collapsed="false">
      <c r="A1046" s="24" t="s">
        <v>3411</v>
      </c>
      <c r="B1046" s="24" t="s">
        <v>71</v>
      </c>
      <c r="C1046" s="24" t="s">
        <v>3395</v>
      </c>
      <c r="D1046" s="23" t="s">
        <v>3412</v>
      </c>
      <c r="E1046" s="26" t="s">
        <v>91</v>
      </c>
      <c r="F1046" s="24" t="s">
        <v>3309</v>
      </c>
      <c r="G1046" s="24" t="s">
        <v>939</v>
      </c>
      <c r="H1046" s="25" t="n">
        <v>10.95</v>
      </c>
      <c r="I1046" s="26"/>
      <c r="J1046" s="26"/>
      <c r="K1046" s="23" t="s">
        <v>3412</v>
      </c>
      <c r="L1046" s="24"/>
      <c r="M1046" s="24"/>
      <c r="N1046" s="26" t="s">
        <v>91</v>
      </c>
      <c r="O1046" s="24"/>
      <c r="P1046" s="24" t="s">
        <v>3310</v>
      </c>
      <c r="Q1046" s="24" t="s">
        <v>942</v>
      </c>
      <c r="R1046" s="73" t="s">
        <v>95</v>
      </c>
      <c r="S1046" s="0" t="n">
        <f aca="false">IF(Recherche!$B$4="",0,IF(ISNUMBER(SEARCH(Recherche!$B$4,D1046))+ISNUMBER(SEARCH(Recherche!$B$4,K1046))&gt;0,1,0))</f>
        <v>0</v>
      </c>
      <c r="T1046" s="0" t="str">
        <f aca="false">IF(S1046=1,SUM($S$2:S1046),"")</f>
        <v/>
      </c>
    </row>
    <row r="1047" customFormat="false" ht="23.85" hidden="false" customHeight="false" outlineLevel="0" collapsed="false">
      <c r="A1047" s="20" t="s">
        <v>3413</v>
      </c>
      <c r="B1047" s="20" t="s">
        <v>71</v>
      </c>
      <c r="C1047" s="20" t="s">
        <v>3395</v>
      </c>
      <c r="D1047" s="19" t="s">
        <v>3414</v>
      </c>
      <c r="E1047" s="22" t="s">
        <v>91</v>
      </c>
      <c r="F1047" s="20" t="s">
        <v>3309</v>
      </c>
      <c r="G1047" s="20" t="s">
        <v>939</v>
      </c>
      <c r="H1047" s="21" t="n">
        <v>9.86</v>
      </c>
      <c r="I1047" s="22"/>
      <c r="J1047" s="22"/>
      <c r="K1047" s="19" t="s">
        <v>3414</v>
      </c>
      <c r="L1047" s="20"/>
      <c r="M1047" s="20"/>
      <c r="N1047" s="22" t="s">
        <v>91</v>
      </c>
      <c r="O1047" s="20"/>
      <c r="P1047" s="20" t="s">
        <v>3310</v>
      </c>
      <c r="Q1047" s="20" t="s">
        <v>942</v>
      </c>
      <c r="R1047" s="76" t="s">
        <v>95</v>
      </c>
      <c r="S1047" s="0" t="n">
        <f aca="false">IF(Recherche!$B$4="",0,IF(ISNUMBER(SEARCH(Recherche!$B$4,D1047))+ISNUMBER(SEARCH(Recherche!$B$4,K1047))&gt;0,1,0))</f>
        <v>0</v>
      </c>
      <c r="T1047" s="0" t="str">
        <f aca="false">IF(S1047=1,SUM($S$2:S1047),"")</f>
        <v/>
      </c>
    </row>
    <row r="1048" customFormat="false" ht="23.85" hidden="false" customHeight="false" outlineLevel="0" collapsed="false">
      <c r="A1048" s="24" t="s">
        <v>3415</v>
      </c>
      <c r="B1048" s="24" t="s">
        <v>71</v>
      </c>
      <c r="C1048" s="24" t="s">
        <v>3395</v>
      </c>
      <c r="D1048" s="23" t="s">
        <v>3416</v>
      </c>
      <c r="E1048" s="26" t="s">
        <v>91</v>
      </c>
      <c r="F1048" s="24" t="s">
        <v>3309</v>
      </c>
      <c r="G1048" s="24" t="s">
        <v>939</v>
      </c>
      <c r="H1048" s="25" t="n">
        <v>9.86</v>
      </c>
      <c r="I1048" s="26"/>
      <c r="J1048" s="26"/>
      <c r="K1048" s="23" t="s">
        <v>3416</v>
      </c>
      <c r="L1048" s="24"/>
      <c r="M1048" s="24"/>
      <c r="N1048" s="26" t="s">
        <v>91</v>
      </c>
      <c r="O1048" s="24"/>
      <c r="P1048" s="24" t="s">
        <v>3310</v>
      </c>
      <c r="Q1048" s="24" t="s">
        <v>942</v>
      </c>
      <c r="R1048" s="73" t="s">
        <v>95</v>
      </c>
      <c r="S1048" s="0" t="n">
        <f aca="false">IF(Recherche!$B$4="",0,IF(ISNUMBER(SEARCH(Recherche!$B$4,D1048))+ISNUMBER(SEARCH(Recherche!$B$4,K1048))&gt;0,1,0))</f>
        <v>0</v>
      </c>
      <c r="T1048" s="0" t="str">
        <f aca="false">IF(S1048=1,SUM($S$2:S1048),"")</f>
        <v/>
      </c>
    </row>
    <row r="1049" customFormat="false" ht="23.85" hidden="false" customHeight="false" outlineLevel="0" collapsed="false">
      <c r="A1049" s="20" t="s">
        <v>3417</v>
      </c>
      <c r="B1049" s="20" t="s">
        <v>71</v>
      </c>
      <c r="C1049" s="20" t="s">
        <v>3395</v>
      </c>
      <c r="D1049" s="19" t="s">
        <v>3418</v>
      </c>
      <c r="E1049" s="22" t="s">
        <v>91</v>
      </c>
      <c r="F1049" s="20" t="s">
        <v>3309</v>
      </c>
      <c r="G1049" s="20" t="s">
        <v>939</v>
      </c>
      <c r="H1049" s="21" t="n">
        <v>5.87</v>
      </c>
      <c r="I1049" s="22"/>
      <c r="J1049" s="22"/>
      <c r="K1049" s="19" t="s">
        <v>3418</v>
      </c>
      <c r="L1049" s="20"/>
      <c r="M1049" s="20"/>
      <c r="N1049" s="22" t="s">
        <v>91</v>
      </c>
      <c r="O1049" s="20"/>
      <c r="P1049" s="20" t="s">
        <v>3310</v>
      </c>
      <c r="Q1049" s="20" t="s">
        <v>942</v>
      </c>
      <c r="R1049" s="76" t="s">
        <v>95</v>
      </c>
      <c r="S1049" s="0" t="n">
        <f aca="false">IF(Recherche!$B$4="",0,IF(ISNUMBER(SEARCH(Recherche!$B$4,D1049))+ISNUMBER(SEARCH(Recherche!$B$4,K1049))&gt;0,1,0))</f>
        <v>0</v>
      </c>
      <c r="T1049" s="0" t="str">
        <f aca="false">IF(S1049=1,SUM($S$2:S1049),"")</f>
        <v/>
      </c>
    </row>
    <row r="1050" customFormat="false" ht="23.85" hidden="false" customHeight="false" outlineLevel="0" collapsed="false">
      <c r="A1050" s="24" t="s">
        <v>3419</v>
      </c>
      <c r="B1050" s="24" t="s">
        <v>71</v>
      </c>
      <c r="C1050" s="24" t="s">
        <v>3395</v>
      </c>
      <c r="D1050" s="23" t="s">
        <v>3420</v>
      </c>
      <c r="E1050" s="26" t="s">
        <v>91</v>
      </c>
      <c r="F1050" s="24" t="s">
        <v>3309</v>
      </c>
      <c r="G1050" s="24" t="s">
        <v>939</v>
      </c>
      <c r="H1050" s="25" t="n">
        <v>13.17</v>
      </c>
      <c r="I1050" s="26"/>
      <c r="J1050" s="26"/>
      <c r="K1050" s="23" t="s">
        <v>3421</v>
      </c>
      <c r="L1050" s="24"/>
      <c r="M1050" s="24"/>
      <c r="N1050" s="26" t="s">
        <v>91</v>
      </c>
      <c r="O1050" s="24"/>
      <c r="P1050" s="24" t="s">
        <v>3310</v>
      </c>
      <c r="Q1050" s="24" t="s">
        <v>942</v>
      </c>
      <c r="R1050" s="73" t="s">
        <v>95</v>
      </c>
      <c r="S1050" s="0" t="n">
        <f aca="false">IF(Recherche!$B$4="",0,IF(ISNUMBER(SEARCH(Recherche!$B$4,D1050))+ISNUMBER(SEARCH(Recherche!$B$4,K1050))&gt;0,1,0))</f>
        <v>0</v>
      </c>
      <c r="T1050" s="0" t="str">
        <f aca="false">IF(S1050=1,SUM($S$2:S1050),"")</f>
        <v/>
      </c>
    </row>
    <row r="1051" customFormat="false" ht="23.85" hidden="false" customHeight="false" outlineLevel="0" collapsed="false">
      <c r="A1051" s="20" t="s">
        <v>3422</v>
      </c>
      <c r="B1051" s="20" t="s">
        <v>71</v>
      </c>
      <c r="C1051" s="20" t="s">
        <v>3395</v>
      </c>
      <c r="D1051" s="19" t="s">
        <v>3423</v>
      </c>
      <c r="E1051" s="22" t="s">
        <v>91</v>
      </c>
      <c r="F1051" s="20" t="s">
        <v>3309</v>
      </c>
      <c r="G1051" s="20" t="s">
        <v>939</v>
      </c>
      <c r="H1051" s="21" t="n">
        <v>6.65</v>
      </c>
      <c r="I1051" s="22"/>
      <c r="J1051" s="22"/>
      <c r="K1051" s="19" t="s">
        <v>3424</v>
      </c>
      <c r="L1051" s="20"/>
      <c r="M1051" s="20"/>
      <c r="N1051" s="22" t="s">
        <v>91</v>
      </c>
      <c r="O1051" s="20"/>
      <c r="P1051" s="20" t="s">
        <v>3310</v>
      </c>
      <c r="Q1051" s="20" t="s">
        <v>942</v>
      </c>
      <c r="R1051" s="76" t="s">
        <v>95</v>
      </c>
      <c r="S1051" s="0" t="n">
        <f aca="false">IF(Recherche!$B$4="",0,IF(ISNUMBER(SEARCH(Recherche!$B$4,D1051))+ISNUMBER(SEARCH(Recherche!$B$4,K1051))&gt;0,1,0))</f>
        <v>0</v>
      </c>
      <c r="T1051" s="0" t="str">
        <f aca="false">IF(S1051=1,SUM($S$2:S1051),"")</f>
        <v/>
      </c>
    </row>
    <row r="1052" customFormat="false" ht="23.85" hidden="false" customHeight="false" outlineLevel="0" collapsed="false">
      <c r="A1052" s="24" t="s">
        <v>3425</v>
      </c>
      <c r="B1052" s="24" t="s">
        <v>71</v>
      </c>
      <c r="C1052" s="24" t="s">
        <v>3395</v>
      </c>
      <c r="D1052" s="23" t="s">
        <v>3426</v>
      </c>
      <c r="E1052" s="26" t="s">
        <v>91</v>
      </c>
      <c r="F1052" s="24" t="s">
        <v>3309</v>
      </c>
      <c r="G1052" s="24" t="s">
        <v>939</v>
      </c>
      <c r="H1052" s="25" t="n">
        <v>6.43</v>
      </c>
      <c r="I1052" s="26"/>
      <c r="J1052" s="26"/>
      <c r="K1052" s="23" t="s">
        <v>3427</v>
      </c>
      <c r="L1052" s="24"/>
      <c r="M1052" s="24"/>
      <c r="N1052" s="26" t="s">
        <v>91</v>
      </c>
      <c r="O1052" s="24"/>
      <c r="P1052" s="24" t="s">
        <v>3310</v>
      </c>
      <c r="Q1052" s="24" t="s">
        <v>942</v>
      </c>
      <c r="R1052" s="73" t="s">
        <v>95</v>
      </c>
      <c r="S1052" s="0" t="n">
        <f aca="false">IF(Recherche!$B$4="",0,IF(ISNUMBER(SEARCH(Recherche!$B$4,D1052))+ISNUMBER(SEARCH(Recherche!$B$4,K1052))&gt;0,1,0))</f>
        <v>0</v>
      </c>
      <c r="T1052" s="0" t="str">
        <f aca="false">IF(S1052=1,SUM($S$2:S1052),"")</f>
        <v/>
      </c>
    </row>
    <row r="1053" customFormat="false" ht="23.85" hidden="false" customHeight="false" outlineLevel="0" collapsed="false">
      <c r="A1053" s="20" t="s">
        <v>3428</v>
      </c>
      <c r="B1053" s="20" t="s">
        <v>71</v>
      </c>
      <c r="C1053" s="20" t="s">
        <v>3395</v>
      </c>
      <c r="D1053" s="19" t="s">
        <v>3429</v>
      </c>
      <c r="E1053" s="22" t="s">
        <v>91</v>
      </c>
      <c r="F1053" s="20" t="s">
        <v>3309</v>
      </c>
      <c r="G1053" s="20" t="s">
        <v>939</v>
      </c>
      <c r="H1053" s="21" t="n">
        <v>28.19</v>
      </c>
      <c r="I1053" s="22"/>
      <c r="J1053" s="22"/>
      <c r="K1053" s="19" t="s">
        <v>3430</v>
      </c>
      <c r="L1053" s="20"/>
      <c r="M1053" s="20"/>
      <c r="N1053" s="22" t="s">
        <v>91</v>
      </c>
      <c r="O1053" s="20"/>
      <c r="P1053" s="20" t="s">
        <v>3310</v>
      </c>
      <c r="Q1053" s="20" t="s">
        <v>942</v>
      </c>
      <c r="R1053" s="76" t="s">
        <v>95</v>
      </c>
      <c r="S1053" s="0" t="n">
        <f aca="false">IF(Recherche!$B$4="",0,IF(ISNUMBER(SEARCH(Recherche!$B$4,D1053))+ISNUMBER(SEARCH(Recherche!$B$4,K1053))&gt;0,1,0))</f>
        <v>0</v>
      </c>
      <c r="T1053" s="0" t="str">
        <f aca="false">IF(S1053=1,SUM($S$2:S1053),"")</f>
        <v/>
      </c>
    </row>
    <row r="1054" customFormat="false" ht="23.85" hidden="false" customHeight="false" outlineLevel="0" collapsed="false">
      <c r="A1054" s="24" t="s">
        <v>3431</v>
      </c>
      <c r="B1054" s="24" t="s">
        <v>71</v>
      </c>
      <c r="C1054" s="24" t="s">
        <v>3395</v>
      </c>
      <c r="D1054" s="23" t="s">
        <v>3432</v>
      </c>
      <c r="E1054" s="26" t="s">
        <v>91</v>
      </c>
      <c r="F1054" s="24" t="s">
        <v>3309</v>
      </c>
      <c r="G1054" s="24" t="s">
        <v>939</v>
      </c>
      <c r="H1054" s="25" t="n">
        <v>5.9</v>
      </c>
      <c r="I1054" s="26"/>
      <c r="J1054" s="26"/>
      <c r="K1054" s="23" t="s">
        <v>3432</v>
      </c>
      <c r="L1054" s="24"/>
      <c r="M1054" s="24"/>
      <c r="N1054" s="26" t="s">
        <v>91</v>
      </c>
      <c r="O1054" s="24"/>
      <c r="P1054" s="24" t="s">
        <v>3310</v>
      </c>
      <c r="Q1054" s="24" t="s">
        <v>942</v>
      </c>
      <c r="R1054" s="73" t="s">
        <v>95</v>
      </c>
      <c r="S1054" s="0" t="n">
        <f aca="false">IF(Recherche!$B$4="",0,IF(ISNUMBER(SEARCH(Recherche!$B$4,D1054))+ISNUMBER(SEARCH(Recherche!$B$4,K1054))&gt;0,1,0))</f>
        <v>0</v>
      </c>
      <c r="T1054" s="0" t="str">
        <f aca="false">IF(S1054=1,SUM($S$2:S1054),"")</f>
        <v/>
      </c>
    </row>
    <row r="1055" customFormat="false" ht="23.85" hidden="false" customHeight="false" outlineLevel="0" collapsed="false">
      <c r="A1055" s="20" t="s">
        <v>3433</v>
      </c>
      <c r="B1055" s="20" t="s">
        <v>71</v>
      </c>
      <c r="C1055" s="20" t="s">
        <v>3395</v>
      </c>
      <c r="D1055" s="19" t="s">
        <v>3434</v>
      </c>
      <c r="E1055" s="22" t="s">
        <v>91</v>
      </c>
      <c r="F1055" s="20" t="s">
        <v>3309</v>
      </c>
      <c r="G1055" s="20" t="s">
        <v>939</v>
      </c>
      <c r="H1055" s="21" t="n">
        <v>14.67</v>
      </c>
      <c r="I1055" s="22"/>
      <c r="J1055" s="22"/>
      <c r="K1055" s="19" t="s">
        <v>3434</v>
      </c>
      <c r="L1055" s="20"/>
      <c r="M1055" s="20"/>
      <c r="N1055" s="22" t="s">
        <v>91</v>
      </c>
      <c r="O1055" s="20"/>
      <c r="P1055" s="20" t="s">
        <v>3310</v>
      </c>
      <c r="Q1055" s="20" t="s">
        <v>942</v>
      </c>
      <c r="R1055" s="76" t="s">
        <v>95</v>
      </c>
      <c r="S1055" s="0" t="n">
        <f aca="false">IF(Recherche!$B$4="",0,IF(ISNUMBER(SEARCH(Recherche!$B$4,D1055))+ISNUMBER(SEARCH(Recherche!$B$4,K1055))&gt;0,1,0))</f>
        <v>0</v>
      </c>
      <c r="T1055" s="0" t="str">
        <f aca="false">IF(S1055=1,SUM($S$2:S1055),"")</f>
        <v/>
      </c>
    </row>
    <row r="1056" customFormat="false" ht="23.85" hidden="false" customHeight="false" outlineLevel="0" collapsed="false">
      <c r="A1056" s="24" t="s">
        <v>3435</v>
      </c>
      <c r="B1056" s="24" t="s">
        <v>71</v>
      </c>
      <c r="C1056" s="24" t="s">
        <v>3395</v>
      </c>
      <c r="D1056" s="23" t="s">
        <v>3436</v>
      </c>
      <c r="E1056" s="26" t="s">
        <v>91</v>
      </c>
      <c r="F1056" s="24" t="s">
        <v>3309</v>
      </c>
      <c r="G1056" s="24" t="s">
        <v>939</v>
      </c>
      <c r="H1056" s="25" t="n">
        <v>15.55</v>
      </c>
      <c r="I1056" s="26"/>
      <c r="J1056" s="26"/>
      <c r="K1056" s="23" t="s">
        <v>3436</v>
      </c>
      <c r="L1056" s="24"/>
      <c r="M1056" s="24"/>
      <c r="N1056" s="26" t="s">
        <v>91</v>
      </c>
      <c r="O1056" s="24"/>
      <c r="P1056" s="24" t="s">
        <v>3310</v>
      </c>
      <c r="Q1056" s="24" t="s">
        <v>942</v>
      </c>
      <c r="R1056" s="73" t="s">
        <v>95</v>
      </c>
      <c r="S1056" s="0" t="n">
        <f aca="false">IF(Recherche!$B$4="",0,IF(ISNUMBER(SEARCH(Recherche!$B$4,D1056))+ISNUMBER(SEARCH(Recherche!$B$4,K1056))&gt;0,1,0))</f>
        <v>0</v>
      </c>
      <c r="T1056" s="0" t="str">
        <f aca="false">IF(S1056=1,SUM($S$2:S1056),"")</f>
        <v/>
      </c>
    </row>
    <row r="1057" customFormat="false" ht="23.85" hidden="false" customHeight="false" outlineLevel="0" collapsed="false">
      <c r="A1057" s="20" t="s">
        <v>3437</v>
      </c>
      <c r="B1057" s="20" t="s">
        <v>71</v>
      </c>
      <c r="C1057" s="20" t="s">
        <v>3395</v>
      </c>
      <c r="D1057" s="19" t="s">
        <v>3438</v>
      </c>
      <c r="E1057" s="22" t="s">
        <v>91</v>
      </c>
      <c r="F1057" s="20" t="s">
        <v>3309</v>
      </c>
      <c r="G1057" s="20" t="s">
        <v>939</v>
      </c>
      <c r="H1057" s="21" t="n">
        <v>4.34</v>
      </c>
      <c r="I1057" s="22"/>
      <c r="J1057" s="22"/>
      <c r="K1057" s="19" t="s">
        <v>3438</v>
      </c>
      <c r="L1057" s="20"/>
      <c r="M1057" s="20"/>
      <c r="N1057" s="22" t="s">
        <v>91</v>
      </c>
      <c r="O1057" s="20"/>
      <c r="P1057" s="20" t="s">
        <v>3310</v>
      </c>
      <c r="Q1057" s="20" t="s">
        <v>942</v>
      </c>
      <c r="R1057" s="76" t="s">
        <v>95</v>
      </c>
      <c r="S1057" s="0" t="n">
        <f aca="false">IF(Recherche!$B$4="",0,IF(ISNUMBER(SEARCH(Recherche!$B$4,D1057))+ISNUMBER(SEARCH(Recherche!$B$4,K1057))&gt;0,1,0))</f>
        <v>0</v>
      </c>
      <c r="T1057" s="0" t="str">
        <f aca="false">IF(S1057=1,SUM($S$2:S1057),"")</f>
        <v/>
      </c>
    </row>
    <row r="1058" customFormat="false" ht="23.85" hidden="false" customHeight="false" outlineLevel="0" collapsed="false">
      <c r="A1058" s="24" t="s">
        <v>3439</v>
      </c>
      <c r="B1058" s="24" t="s">
        <v>71</v>
      </c>
      <c r="C1058" s="24" t="s">
        <v>3395</v>
      </c>
      <c r="D1058" s="23" t="s">
        <v>3440</v>
      </c>
      <c r="E1058" s="26" t="s">
        <v>91</v>
      </c>
      <c r="F1058" s="24" t="s">
        <v>3309</v>
      </c>
      <c r="G1058" s="24" t="s">
        <v>939</v>
      </c>
      <c r="H1058" s="25" t="n">
        <v>6.4</v>
      </c>
      <c r="I1058" s="26"/>
      <c r="J1058" s="26"/>
      <c r="K1058" s="23" t="s">
        <v>3440</v>
      </c>
      <c r="L1058" s="24"/>
      <c r="M1058" s="24"/>
      <c r="N1058" s="26" t="s">
        <v>91</v>
      </c>
      <c r="O1058" s="24"/>
      <c r="P1058" s="24" t="s">
        <v>3310</v>
      </c>
      <c r="Q1058" s="24" t="s">
        <v>942</v>
      </c>
      <c r="R1058" s="73" t="s">
        <v>95</v>
      </c>
      <c r="S1058" s="0" t="n">
        <f aca="false">IF(Recherche!$B$4="",0,IF(ISNUMBER(SEARCH(Recherche!$B$4,D1058))+ISNUMBER(SEARCH(Recherche!$B$4,K1058))&gt;0,1,0))</f>
        <v>0</v>
      </c>
      <c r="T1058" s="0" t="str">
        <f aca="false">IF(S1058=1,SUM($S$2:S1058),"")</f>
        <v/>
      </c>
    </row>
    <row r="1059" customFormat="false" ht="23.85" hidden="false" customHeight="false" outlineLevel="0" collapsed="false">
      <c r="A1059" s="20" t="s">
        <v>3441</v>
      </c>
      <c r="B1059" s="20" t="s">
        <v>71</v>
      </c>
      <c r="C1059" s="20" t="s">
        <v>3395</v>
      </c>
      <c r="D1059" s="19" t="s">
        <v>3442</v>
      </c>
      <c r="E1059" s="22" t="s">
        <v>91</v>
      </c>
      <c r="F1059" s="20" t="s">
        <v>3309</v>
      </c>
      <c r="G1059" s="20" t="s">
        <v>939</v>
      </c>
      <c r="H1059" s="21" t="n">
        <v>8.85</v>
      </c>
      <c r="I1059" s="22"/>
      <c r="J1059" s="22"/>
      <c r="K1059" s="19" t="s">
        <v>3442</v>
      </c>
      <c r="L1059" s="20"/>
      <c r="M1059" s="20"/>
      <c r="N1059" s="22" t="s">
        <v>91</v>
      </c>
      <c r="O1059" s="20"/>
      <c r="P1059" s="20" t="s">
        <v>3310</v>
      </c>
      <c r="Q1059" s="20" t="s">
        <v>942</v>
      </c>
      <c r="R1059" s="76" t="s">
        <v>95</v>
      </c>
      <c r="S1059" s="0" t="n">
        <f aca="false">IF(Recherche!$B$4="",0,IF(ISNUMBER(SEARCH(Recherche!$B$4,D1059))+ISNUMBER(SEARCH(Recherche!$B$4,K1059))&gt;0,1,0))</f>
        <v>0</v>
      </c>
      <c r="T1059" s="0" t="str">
        <f aca="false">IF(S1059=1,SUM($S$2:S1059),"")</f>
        <v/>
      </c>
    </row>
    <row r="1060" customFormat="false" ht="23.85" hidden="false" customHeight="false" outlineLevel="0" collapsed="false">
      <c r="A1060" s="24" t="s">
        <v>3443</v>
      </c>
      <c r="B1060" s="24" t="s">
        <v>71</v>
      </c>
      <c r="C1060" s="24" t="s">
        <v>3395</v>
      </c>
      <c r="D1060" s="23" t="s">
        <v>3444</v>
      </c>
      <c r="E1060" s="26" t="s">
        <v>91</v>
      </c>
      <c r="F1060" s="24" t="s">
        <v>3309</v>
      </c>
      <c r="G1060" s="24" t="s">
        <v>939</v>
      </c>
      <c r="H1060" s="25" t="n">
        <v>14.75</v>
      </c>
      <c r="I1060" s="26"/>
      <c r="J1060" s="26"/>
      <c r="K1060" s="23" t="s">
        <v>3444</v>
      </c>
      <c r="L1060" s="24"/>
      <c r="M1060" s="24"/>
      <c r="N1060" s="26" t="s">
        <v>91</v>
      </c>
      <c r="O1060" s="24"/>
      <c r="P1060" s="24" t="s">
        <v>3310</v>
      </c>
      <c r="Q1060" s="24" t="s">
        <v>942</v>
      </c>
      <c r="R1060" s="73" t="s">
        <v>95</v>
      </c>
      <c r="S1060" s="0" t="n">
        <f aca="false">IF(Recherche!$B$4="",0,IF(ISNUMBER(SEARCH(Recherche!$B$4,D1060))+ISNUMBER(SEARCH(Recherche!$B$4,K1060))&gt;0,1,0))</f>
        <v>0</v>
      </c>
      <c r="T1060" s="0" t="str">
        <f aca="false">IF(S1060=1,SUM($S$2:S1060),"")</f>
        <v/>
      </c>
    </row>
    <row r="1061" customFormat="false" ht="23.85" hidden="false" customHeight="false" outlineLevel="0" collapsed="false">
      <c r="A1061" s="20" t="s">
        <v>3445</v>
      </c>
      <c r="B1061" s="20" t="s">
        <v>71</v>
      </c>
      <c r="C1061" s="20" t="s">
        <v>3446</v>
      </c>
      <c r="D1061" s="19" t="s">
        <v>3447</v>
      </c>
      <c r="E1061" s="22" t="s">
        <v>91</v>
      </c>
      <c r="F1061" s="20" t="s">
        <v>3309</v>
      </c>
      <c r="G1061" s="20" t="s">
        <v>939</v>
      </c>
      <c r="H1061" s="21" t="n">
        <v>1.72</v>
      </c>
      <c r="I1061" s="22"/>
      <c r="J1061" s="22"/>
      <c r="K1061" s="19" t="s">
        <v>3447</v>
      </c>
      <c r="L1061" s="20"/>
      <c r="M1061" s="20"/>
      <c r="N1061" s="22" t="s">
        <v>91</v>
      </c>
      <c r="O1061" s="20"/>
      <c r="P1061" s="20" t="s">
        <v>3310</v>
      </c>
      <c r="Q1061" s="20" t="s">
        <v>942</v>
      </c>
      <c r="R1061" s="76" t="s">
        <v>95</v>
      </c>
      <c r="S1061" s="0" t="n">
        <f aca="false">IF(Recherche!$B$4="",0,IF(ISNUMBER(SEARCH(Recherche!$B$4,D1061))+ISNUMBER(SEARCH(Recherche!$B$4,K1061))&gt;0,1,0))</f>
        <v>0</v>
      </c>
      <c r="T1061" s="0" t="str">
        <f aca="false">IF(S1061=1,SUM($S$2:S1061),"")</f>
        <v/>
      </c>
    </row>
    <row r="1062" customFormat="false" ht="23.85" hidden="false" customHeight="false" outlineLevel="0" collapsed="false">
      <c r="A1062" s="24" t="s">
        <v>3448</v>
      </c>
      <c r="B1062" s="24" t="s">
        <v>71</v>
      </c>
      <c r="C1062" s="24" t="s">
        <v>3446</v>
      </c>
      <c r="D1062" s="23" t="s">
        <v>3449</v>
      </c>
      <c r="E1062" s="26" t="s">
        <v>91</v>
      </c>
      <c r="F1062" s="24" t="s">
        <v>3309</v>
      </c>
      <c r="G1062" s="24" t="s">
        <v>939</v>
      </c>
      <c r="H1062" s="25" t="n">
        <v>1.61</v>
      </c>
      <c r="I1062" s="26"/>
      <c r="J1062" s="26"/>
      <c r="K1062" s="23" t="s">
        <v>3449</v>
      </c>
      <c r="L1062" s="24"/>
      <c r="M1062" s="24"/>
      <c r="N1062" s="26" t="s">
        <v>91</v>
      </c>
      <c r="O1062" s="24"/>
      <c r="P1062" s="24" t="s">
        <v>3310</v>
      </c>
      <c r="Q1062" s="24" t="s">
        <v>942</v>
      </c>
      <c r="R1062" s="73" t="s">
        <v>95</v>
      </c>
      <c r="S1062" s="0" t="n">
        <f aca="false">IF(Recherche!$B$4="",0,IF(ISNUMBER(SEARCH(Recherche!$B$4,D1062))+ISNUMBER(SEARCH(Recherche!$B$4,K1062))&gt;0,1,0))</f>
        <v>0</v>
      </c>
      <c r="T1062" s="0" t="str">
        <f aca="false">IF(S1062=1,SUM($S$2:S1062),"")</f>
        <v/>
      </c>
    </row>
    <row r="1063" customFormat="false" ht="23.85" hidden="false" customHeight="false" outlineLevel="0" collapsed="false">
      <c r="A1063" s="20" t="s">
        <v>3450</v>
      </c>
      <c r="B1063" s="20" t="s">
        <v>71</v>
      </c>
      <c r="C1063" s="20" t="s">
        <v>3446</v>
      </c>
      <c r="D1063" s="19" t="s">
        <v>3451</v>
      </c>
      <c r="E1063" s="22" t="s">
        <v>91</v>
      </c>
      <c r="F1063" s="20" t="s">
        <v>3309</v>
      </c>
      <c r="G1063" s="20" t="s">
        <v>939</v>
      </c>
      <c r="H1063" s="21" t="n">
        <v>1.64</v>
      </c>
      <c r="I1063" s="22"/>
      <c r="J1063" s="22"/>
      <c r="K1063" s="19" t="s">
        <v>3451</v>
      </c>
      <c r="L1063" s="20"/>
      <c r="M1063" s="20"/>
      <c r="N1063" s="22" t="s">
        <v>91</v>
      </c>
      <c r="O1063" s="20"/>
      <c r="P1063" s="20" t="s">
        <v>3310</v>
      </c>
      <c r="Q1063" s="20" t="s">
        <v>942</v>
      </c>
      <c r="R1063" s="76" t="s">
        <v>95</v>
      </c>
      <c r="S1063" s="0" t="n">
        <f aca="false">IF(Recherche!$B$4="",0,IF(ISNUMBER(SEARCH(Recherche!$B$4,D1063))+ISNUMBER(SEARCH(Recherche!$B$4,K1063))&gt;0,1,0))</f>
        <v>0</v>
      </c>
      <c r="T1063" s="0" t="str">
        <f aca="false">IF(S1063=1,SUM($S$2:S1063),"")</f>
        <v/>
      </c>
    </row>
    <row r="1064" customFormat="false" ht="23.85" hidden="false" customHeight="false" outlineLevel="0" collapsed="false">
      <c r="A1064" s="24" t="s">
        <v>3452</v>
      </c>
      <c r="B1064" s="24" t="s">
        <v>71</v>
      </c>
      <c r="C1064" s="24" t="s">
        <v>3446</v>
      </c>
      <c r="D1064" s="23" t="s">
        <v>3453</v>
      </c>
      <c r="E1064" s="26" t="s">
        <v>91</v>
      </c>
      <c r="F1064" s="24" t="s">
        <v>3309</v>
      </c>
      <c r="G1064" s="24" t="s">
        <v>939</v>
      </c>
      <c r="H1064" s="25" t="n">
        <v>1.47</v>
      </c>
      <c r="I1064" s="26"/>
      <c r="J1064" s="26"/>
      <c r="K1064" s="23" t="s">
        <v>3453</v>
      </c>
      <c r="L1064" s="24"/>
      <c r="M1064" s="24"/>
      <c r="N1064" s="26" t="s">
        <v>91</v>
      </c>
      <c r="O1064" s="24"/>
      <c r="P1064" s="24" t="s">
        <v>3310</v>
      </c>
      <c r="Q1064" s="24" t="s">
        <v>942</v>
      </c>
      <c r="R1064" s="73" t="s">
        <v>95</v>
      </c>
      <c r="S1064" s="0" t="n">
        <f aca="false">IF(Recherche!$B$4="",0,IF(ISNUMBER(SEARCH(Recherche!$B$4,D1064))+ISNUMBER(SEARCH(Recherche!$B$4,K1064))&gt;0,1,0))</f>
        <v>0</v>
      </c>
      <c r="T1064" s="0" t="str">
        <f aca="false">IF(S1064=1,SUM($S$2:S1064),"")</f>
        <v/>
      </c>
    </row>
    <row r="1065" customFormat="false" ht="23.85" hidden="false" customHeight="false" outlineLevel="0" collapsed="false">
      <c r="A1065" s="20" t="s">
        <v>3454</v>
      </c>
      <c r="B1065" s="20" t="s">
        <v>71</v>
      </c>
      <c r="C1065" s="20" t="s">
        <v>3446</v>
      </c>
      <c r="D1065" s="19" t="s">
        <v>3455</v>
      </c>
      <c r="E1065" s="22" t="s">
        <v>91</v>
      </c>
      <c r="F1065" s="20" t="s">
        <v>3309</v>
      </c>
      <c r="G1065" s="20" t="s">
        <v>939</v>
      </c>
      <c r="H1065" s="21" t="n">
        <v>17.96</v>
      </c>
      <c r="I1065" s="22"/>
      <c r="J1065" s="22"/>
      <c r="K1065" s="19" t="s">
        <v>3456</v>
      </c>
      <c r="L1065" s="20"/>
      <c r="M1065" s="20"/>
      <c r="N1065" s="22" t="s">
        <v>91</v>
      </c>
      <c r="O1065" s="20"/>
      <c r="P1065" s="20" t="s">
        <v>3310</v>
      </c>
      <c r="Q1065" s="20" t="s">
        <v>942</v>
      </c>
      <c r="R1065" s="76" t="s">
        <v>95</v>
      </c>
      <c r="S1065" s="0" t="n">
        <f aca="false">IF(Recherche!$B$4="",0,IF(ISNUMBER(SEARCH(Recherche!$B$4,D1065))+ISNUMBER(SEARCH(Recherche!$B$4,K1065))&gt;0,1,0))</f>
        <v>0</v>
      </c>
      <c r="T1065" s="0" t="str">
        <f aca="false">IF(S1065=1,SUM($S$2:S1065),"")</f>
        <v/>
      </c>
    </row>
    <row r="1066" customFormat="false" ht="23.85" hidden="false" customHeight="false" outlineLevel="0" collapsed="false">
      <c r="A1066" s="24" t="s">
        <v>3457</v>
      </c>
      <c r="B1066" s="24" t="s">
        <v>71</v>
      </c>
      <c r="C1066" s="24" t="s">
        <v>3446</v>
      </c>
      <c r="D1066" s="23" t="s">
        <v>3458</v>
      </c>
      <c r="E1066" s="26" t="s">
        <v>91</v>
      </c>
      <c r="F1066" s="24" t="s">
        <v>3309</v>
      </c>
      <c r="G1066" s="24" t="s">
        <v>939</v>
      </c>
      <c r="H1066" s="25" t="n">
        <v>5.46</v>
      </c>
      <c r="I1066" s="26"/>
      <c r="J1066" s="26"/>
      <c r="K1066" s="23" t="s">
        <v>3458</v>
      </c>
      <c r="L1066" s="24"/>
      <c r="M1066" s="24"/>
      <c r="N1066" s="26" t="s">
        <v>91</v>
      </c>
      <c r="O1066" s="24"/>
      <c r="P1066" s="24" t="s">
        <v>3310</v>
      </c>
      <c r="Q1066" s="24" t="s">
        <v>942</v>
      </c>
      <c r="R1066" s="73" t="s">
        <v>95</v>
      </c>
      <c r="S1066" s="0" t="n">
        <f aca="false">IF(Recherche!$B$4="",0,IF(ISNUMBER(SEARCH(Recherche!$B$4,D1066))+ISNUMBER(SEARCH(Recherche!$B$4,K1066))&gt;0,1,0))</f>
        <v>0</v>
      </c>
      <c r="T1066" s="0" t="str">
        <f aca="false">IF(S1066=1,SUM($S$2:S1066),"")</f>
        <v/>
      </c>
    </row>
    <row r="1067" customFormat="false" ht="23.85" hidden="false" customHeight="false" outlineLevel="0" collapsed="false">
      <c r="A1067" s="20" t="s">
        <v>3459</v>
      </c>
      <c r="B1067" s="20" t="s">
        <v>71</v>
      </c>
      <c r="C1067" s="20" t="s">
        <v>3446</v>
      </c>
      <c r="D1067" s="19" t="s">
        <v>3460</v>
      </c>
      <c r="E1067" s="22" t="s">
        <v>91</v>
      </c>
      <c r="F1067" s="20" t="s">
        <v>3309</v>
      </c>
      <c r="G1067" s="20" t="s">
        <v>939</v>
      </c>
      <c r="H1067" s="21" t="n">
        <v>3.06</v>
      </c>
      <c r="I1067" s="22"/>
      <c r="J1067" s="22"/>
      <c r="K1067" s="19" t="s">
        <v>3460</v>
      </c>
      <c r="L1067" s="20"/>
      <c r="M1067" s="20"/>
      <c r="N1067" s="22" t="s">
        <v>91</v>
      </c>
      <c r="O1067" s="20"/>
      <c r="P1067" s="20" t="s">
        <v>3310</v>
      </c>
      <c r="Q1067" s="20" t="s">
        <v>942</v>
      </c>
      <c r="R1067" s="76" t="s">
        <v>95</v>
      </c>
      <c r="S1067" s="0" t="n">
        <f aca="false">IF(Recherche!$B$4="",0,IF(ISNUMBER(SEARCH(Recherche!$B$4,D1067))+ISNUMBER(SEARCH(Recherche!$B$4,K1067))&gt;0,1,0))</f>
        <v>0</v>
      </c>
      <c r="T1067" s="0" t="str">
        <f aca="false">IF(S1067=1,SUM($S$2:S1067),"")</f>
        <v/>
      </c>
    </row>
    <row r="1068" customFormat="false" ht="23.85" hidden="false" customHeight="false" outlineLevel="0" collapsed="false">
      <c r="A1068" s="24" t="s">
        <v>3461</v>
      </c>
      <c r="B1068" s="24" t="s">
        <v>71</v>
      </c>
      <c r="C1068" s="24" t="s">
        <v>3446</v>
      </c>
      <c r="D1068" s="23" t="s">
        <v>3462</v>
      </c>
      <c r="E1068" s="26" t="s">
        <v>91</v>
      </c>
      <c r="F1068" s="24" t="s">
        <v>3309</v>
      </c>
      <c r="G1068" s="24" t="s">
        <v>939</v>
      </c>
      <c r="H1068" s="25" t="n">
        <v>16.75</v>
      </c>
      <c r="I1068" s="26"/>
      <c r="J1068" s="26"/>
      <c r="K1068" s="23" t="s">
        <v>3463</v>
      </c>
      <c r="L1068" s="24"/>
      <c r="M1068" s="24"/>
      <c r="N1068" s="26" t="s">
        <v>91</v>
      </c>
      <c r="O1068" s="24"/>
      <c r="P1068" s="24" t="s">
        <v>3310</v>
      </c>
      <c r="Q1068" s="24" t="s">
        <v>942</v>
      </c>
      <c r="R1068" s="73" t="s">
        <v>95</v>
      </c>
      <c r="S1068" s="0" t="n">
        <f aca="false">IF(Recherche!$B$4="",0,IF(ISNUMBER(SEARCH(Recherche!$B$4,D1068))+ISNUMBER(SEARCH(Recherche!$B$4,K1068))&gt;0,1,0))</f>
        <v>0</v>
      </c>
      <c r="T1068" s="0" t="str">
        <f aca="false">IF(S1068=1,SUM($S$2:S1068),"")</f>
        <v/>
      </c>
    </row>
    <row r="1069" customFormat="false" ht="23.85" hidden="false" customHeight="false" outlineLevel="0" collapsed="false">
      <c r="A1069" s="20" t="s">
        <v>3464</v>
      </c>
      <c r="B1069" s="20" t="s">
        <v>71</v>
      </c>
      <c r="C1069" s="20" t="s">
        <v>3446</v>
      </c>
      <c r="D1069" s="19" t="s">
        <v>3465</v>
      </c>
      <c r="E1069" s="22" t="s">
        <v>91</v>
      </c>
      <c r="F1069" s="20" t="s">
        <v>3309</v>
      </c>
      <c r="G1069" s="20" t="s">
        <v>939</v>
      </c>
      <c r="H1069" s="21" t="n">
        <v>1.54</v>
      </c>
      <c r="I1069" s="22"/>
      <c r="J1069" s="22"/>
      <c r="K1069" s="19" t="s">
        <v>3466</v>
      </c>
      <c r="L1069" s="20"/>
      <c r="M1069" s="20"/>
      <c r="N1069" s="22" t="s">
        <v>91</v>
      </c>
      <c r="O1069" s="20"/>
      <c r="P1069" s="20" t="s">
        <v>3310</v>
      </c>
      <c r="Q1069" s="20" t="s">
        <v>942</v>
      </c>
      <c r="R1069" s="76" t="s">
        <v>95</v>
      </c>
      <c r="S1069" s="0" t="n">
        <f aca="false">IF(Recherche!$B$4="",0,IF(ISNUMBER(SEARCH(Recherche!$B$4,D1069))+ISNUMBER(SEARCH(Recherche!$B$4,K1069))&gt;0,1,0))</f>
        <v>0</v>
      </c>
      <c r="T1069" s="0" t="str">
        <f aca="false">IF(S1069=1,SUM($S$2:S1069),"")</f>
        <v/>
      </c>
    </row>
    <row r="1070" customFormat="false" ht="23.85" hidden="false" customHeight="false" outlineLevel="0" collapsed="false">
      <c r="A1070" s="24" t="s">
        <v>3467</v>
      </c>
      <c r="B1070" s="24" t="s">
        <v>71</v>
      </c>
      <c r="C1070" s="24" t="s">
        <v>3446</v>
      </c>
      <c r="D1070" s="23" t="s">
        <v>3468</v>
      </c>
      <c r="E1070" s="26" t="s">
        <v>91</v>
      </c>
      <c r="F1070" s="24" t="s">
        <v>3309</v>
      </c>
      <c r="G1070" s="24" t="s">
        <v>939</v>
      </c>
      <c r="H1070" s="25" t="n">
        <v>2.72</v>
      </c>
      <c r="I1070" s="26"/>
      <c r="J1070" s="26"/>
      <c r="K1070" s="23" t="s">
        <v>3468</v>
      </c>
      <c r="L1070" s="24"/>
      <c r="M1070" s="24"/>
      <c r="N1070" s="26" t="s">
        <v>91</v>
      </c>
      <c r="O1070" s="24"/>
      <c r="P1070" s="24" t="s">
        <v>3310</v>
      </c>
      <c r="Q1070" s="24" t="s">
        <v>942</v>
      </c>
      <c r="R1070" s="73" t="s">
        <v>95</v>
      </c>
      <c r="S1070" s="0" t="n">
        <f aca="false">IF(Recherche!$B$4="",0,IF(ISNUMBER(SEARCH(Recherche!$B$4,D1070))+ISNUMBER(SEARCH(Recherche!$B$4,K1070))&gt;0,1,0))</f>
        <v>0</v>
      </c>
      <c r="T1070" s="0" t="str">
        <f aca="false">IF(S1070=1,SUM($S$2:S1070),"")</f>
        <v/>
      </c>
    </row>
    <row r="1071" customFormat="false" ht="23.85" hidden="false" customHeight="false" outlineLevel="0" collapsed="false">
      <c r="A1071" s="20" t="s">
        <v>3469</v>
      </c>
      <c r="B1071" s="20" t="s">
        <v>71</v>
      </c>
      <c r="C1071" s="20" t="s">
        <v>3470</v>
      </c>
      <c r="D1071" s="19" t="s">
        <v>3471</v>
      </c>
      <c r="E1071" s="22" t="s">
        <v>91</v>
      </c>
      <c r="F1071" s="20" t="s">
        <v>3309</v>
      </c>
      <c r="G1071" s="20" t="s">
        <v>939</v>
      </c>
      <c r="H1071" s="21" t="n">
        <v>1.34</v>
      </c>
      <c r="I1071" s="22"/>
      <c r="J1071" s="22"/>
      <c r="K1071" s="19" t="s">
        <v>3471</v>
      </c>
      <c r="L1071" s="20"/>
      <c r="M1071" s="20"/>
      <c r="N1071" s="22" t="s">
        <v>91</v>
      </c>
      <c r="O1071" s="20"/>
      <c r="P1071" s="20" t="s">
        <v>3310</v>
      </c>
      <c r="Q1071" s="20" t="s">
        <v>942</v>
      </c>
      <c r="R1071" s="76" t="s">
        <v>95</v>
      </c>
      <c r="S1071" s="0" t="n">
        <f aca="false">IF(Recherche!$B$4="",0,IF(ISNUMBER(SEARCH(Recherche!$B$4,D1071))+ISNUMBER(SEARCH(Recherche!$B$4,K1071))&gt;0,1,0))</f>
        <v>0</v>
      </c>
      <c r="T1071" s="0" t="str">
        <f aca="false">IF(S1071=1,SUM($S$2:S1071),"")</f>
        <v/>
      </c>
    </row>
    <row r="1072" customFormat="false" ht="23.85" hidden="false" customHeight="false" outlineLevel="0" collapsed="false">
      <c r="A1072" s="24" t="s">
        <v>3472</v>
      </c>
      <c r="B1072" s="24" t="s">
        <v>71</v>
      </c>
      <c r="C1072" s="24" t="s">
        <v>3470</v>
      </c>
      <c r="D1072" s="23" t="s">
        <v>3473</v>
      </c>
      <c r="E1072" s="26" t="s">
        <v>91</v>
      </c>
      <c r="F1072" s="24" t="s">
        <v>3309</v>
      </c>
      <c r="G1072" s="24" t="s">
        <v>939</v>
      </c>
      <c r="H1072" s="25" t="n">
        <v>1.34</v>
      </c>
      <c r="I1072" s="26"/>
      <c r="J1072" s="26"/>
      <c r="K1072" s="23" t="s">
        <v>3473</v>
      </c>
      <c r="L1072" s="24"/>
      <c r="M1072" s="24"/>
      <c r="N1072" s="26" t="s">
        <v>91</v>
      </c>
      <c r="O1072" s="24"/>
      <c r="P1072" s="24" t="s">
        <v>3310</v>
      </c>
      <c r="Q1072" s="24" t="s">
        <v>942</v>
      </c>
      <c r="R1072" s="73" t="s">
        <v>95</v>
      </c>
      <c r="S1072" s="0" t="n">
        <f aca="false">IF(Recherche!$B$4="",0,IF(ISNUMBER(SEARCH(Recherche!$B$4,D1072))+ISNUMBER(SEARCH(Recherche!$B$4,K1072))&gt;0,1,0))</f>
        <v>0</v>
      </c>
      <c r="T1072" s="0" t="str">
        <f aca="false">IF(S1072=1,SUM($S$2:S1072),"")</f>
        <v/>
      </c>
    </row>
    <row r="1073" customFormat="false" ht="15" hidden="false" customHeight="false" outlineLevel="0" collapsed="false">
      <c r="A1073" s="20" t="s">
        <v>3474</v>
      </c>
      <c r="B1073" s="20" t="s">
        <v>71</v>
      </c>
      <c r="C1073" s="20" t="s">
        <v>3470</v>
      </c>
      <c r="D1073" s="19" t="s">
        <v>3475</v>
      </c>
      <c r="E1073" s="22" t="s">
        <v>91</v>
      </c>
      <c r="F1073" s="20" t="s">
        <v>3309</v>
      </c>
      <c r="G1073" s="20" t="s">
        <v>939</v>
      </c>
      <c r="H1073" s="21" t="n">
        <v>1.83</v>
      </c>
      <c r="I1073" s="22"/>
      <c r="J1073" s="22"/>
      <c r="K1073" s="19" t="s">
        <v>3475</v>
      </c>
      <c r="L1073" s="20"/>
      <c r="M1073" s="20"/>
      <c r="N1073" s="22" t="s">
        <v>91</v>
      </c>
      <c r="O1073" s="20"/>
      <c r="P1073" s="20" t="s">
        <v>3310</v>
      </c>
      <c r="Q1073" s="20" t="s">
        <v>942</v>
      </c>
      <c r="R1073" s="76" t="s">
        <v>95</v>
      </c>
      <c r="S1073" s="0" t="n">
        <f aca="false">IF(Recherche!$B$4="",0,IF(ISNUMBER(SEARCH(Recherche!$B$4,D1073))+ISNUMBER(SEARCH(Recherche!$B$4,K1073))&gt;0,1,0))</f>
        <v>0</v>
      </c>
      <c r="T1073" s="0" t="str">
        <f aca="false">IF(S1073=1,SUM($S$2:S1073),"")</f>
        <v/>
      </c>
    </row>
    <row r="1074" customFormat="false" ht="23.85" hidden="false" customHeight="false" outlineLevel="0" collapsed="false">
      <c r="A1074" s="24" t="s">
        <v>3476</v>
      </c>
      <c r="B1074" s="24" t="s">
        <v>71</v>
      </c>
      <c r="C1074" s="24" t="s">
        <v>3470</v>
      </c>
      <c r="D1074" s="23" t="s">
        <v>3477</v>
      </c>
      <c r="E1074" s="26" t="s">
        <v>91</v>
      </c>
      <c r="F1074" s="24" t="s">
        <v>3309</v>
      </c>
      <c r="G1074" s="24" t="s">
        <v>939</v>
      </c>
      <c r="H1074" s="25" t="n">
        <v>1.91</v>
      </c>
      <c r="I1074" s="26"/>
      <c r="J1074" s="26"/>
      <c r="K1074" s="23" t="s">
        <v>3477</v>
      </c>
      <c r="L1074" s="24"/>
      <c r="M1074" s="24"/>
      <c r="N1074" s="26" t="s">
        <v>91</v>
      </c>
      <c r="O1074" s="24"/>
      <c r="P1074" s="24" t="s">
        <v>3310</v>
      </c>
      <c r="Q1074" s="24" t="s">
        <v>942</v>
      </c>
      <c r="R1074" s="73" t="s">
        <v>95</v>
      </c>
      <c r="S1074" s="0" t="n">
        <f aca="false">IF(Recherche!$B$4="",0,IF(ISNUMBER(SEARCH(Recherche!$B$4,D1074))+ISNUMBER(SEARCH(Recherche!$B$4,K1074))&gt;0,1,0))</f>
        <v>0</v>
      </c>
      <c r="T1074" s="0" t="str">
        <f aca="false">IF(S1074=1,SUM($S$2:S1074),"")</f>
        <v/>
      </c>
    </row>
    <row r="1075" customFormat="false" ht="23.85" hidden="false" customHeight="false" outlineLevel="0" collapsed="false">
      <c r="A1075" s="20" t="s">
        <v>3478</v>
      </c>
      <c r="B1075" s="20" t="s">
        <v>71</v>
      </c>
      <c r="C1075" s="20" t="s">
        <v>3470</v>
      </c>
      <c r="D1075" s="19" t="s">
        <v>3479</v>
      </c>
      <c r="E1075" s="22" t="s">
        <v>91</v>
      </c>
      <c r="F1075" s="20" t="s">
        <v>3309</v>
      </c>
      <c r="G1075" s="20" t="s">
        <v>939</v>
      </c>
      <c r="H1075" s="21" t="n">
        <v>3.78</v>
      </c>
      <c r="I1075" s="22"/>
      <c r="J1075" s="22"/>
      <c r="K1075" s="19" t="s">
        <v>3479</v>
      </c>
      <c r="L1075" s="20"/>
      <c r="M1075" s="20"/>
      <c r="N1075" s="22" t="s">
        <v>91</v>
      </c>
      <c r="O1075" s="20"/>
      <c r="P1075" s="20" t="s">
        <v>3310</v>
      </c>
      <c r="Q1075" s="20" t="s">
        <v>942</v>
      </c>
      <c r="R1075" s="76" t="s">
        <v>95</v>
      </c>
      <c r="S1075" s="0" t="n">
        <f aca="false">IF(Recherche!$B$4="",0,IF(ISNUMBER(SEARCH(Recherche!$B$4,D1075))+ISNUMBER(SEARCH(Recherche!$B$4,K1075))&gt;0,1,0))</f>
        <v>0</v>
      </c>
      <c r="T1075" s="0" t="str">
        <f aca="false">IF(S1075=1,SUM($S$2:S1075),"")</f>
        <v/>
      </c>
    </row>
    <row r="1076" customFormat="false" ht="23.85" hidden="false" customHeight="false" outlineLevel="0" collapsed="false">
      <c r="A1076" s="24" t="s">
        <v>3480</v>
      </c>
      <c r="B1076" s="24" t="s">
        <v>71</v>
      </c>
      <c r="C1076" s="24" t="s">
        <v>3470</v>
      </c>
      <c r="D1076" s="23" t="s">
        <v>3481</v>
      </c>
      <c r="E1076" s="26" t="s">
        <v>91</v>
      </c>
      <c r="F1076" s="24" t="s">
        <v>3309</v>
      </c>
      <c r="G1076" s="24" t="s">
        <v>939</v>
      </c>
      <c r="H1076" s="25" t="n">
        <v>1.52</v>
      </c>
      <c r="I1076" s="26"/>
      <c r="J1076" s="26"/>
      <c r="K1076" s="23" t="s">
        <v>3482</v>
      </c>
      <c r="L1076" s="24"/>
      <c r="M1076" s="24"/>
      <c r="N1076" s="26" t="s">
        <v>91</v>
      </c>
      <c r="O1076" s="24"/>
      <c r="P1076" s="24" t="s">
        <v>3310</v>
      </c>
      <c r="Q1076" s="24" t="s">
        <v>942</v>
      </c>
      <c r="R1076" s="73" t="s">
        <v>95</v>
      </c>
      <c r="S1076" s="0" t="n">
        <f aca="false">IF(Recherche!$B$4="",0,IF(ISNUMBER(SEARCH(Recherche!$B$4,D1076))+ISNUMBER(SEARCH(Recherche!$B$4,K1076))&gt;0,1,0))</f>
        <v>0</v>
      </c>
      <c r="T1076" s="0" t="str">
        <f aca="false">IF(S1076=1,SUM($S$2:S1076),"")</f>
        <v/>
      </c>
    </row>
    <row r="1077" customFormat="false" ht="23.85" hidden="false" customHeight="false" outlineLevel="0" collapsed="false">
      <c r="A1077" s="20" t="s">
        <v>3483</v>
      </c>
      <c r="B1077" s="20" t="s">
        <v>71</v>
      </c>
      <c r="C1077" s="20" t="s">
        <v>3470</v>
      </c>
      <c r="D1077" s="19" t="s">
        <v>3484</v>
      </c>
      <c r="E1077" s="22" t="s">
        <v>91</v>
      </c>
      <c r="F1077" s="20" t="s">
        <v>3309</v>
      </c>
      <c r="G1077" s="20" t="s">
        <v>939</v>
      </c>
      <c r="H1077" s="21" t="n">
        <v>3.28</v>
      </c>
      <c r="I1077" s="22"/>
      <c r="J1077" s="22"/>
      <c r="K1077" s="19" t="s">
        <v>3484</v>
      </c>
      <c r="L1077" s="20"/>
      <c r="M1077" s="20"/>
      <c r="N1077" s="22" t="s">
        <v>91</v>
      </c>
      <c r="O1077" s="20"/>
      <c r="P1077" s="20" t="s">
        <v>3310</v>
      </c>
      <c r="Q1077" s="20" t="s">
        <v>942</v>
      </c>
      <c r="R1077" s="76" t="s">
        <v>95</v>
      </c>
      <c r="S1077" s="0" t="n">
        <f aca="false">IF(Recherche!$B$4="",0,IF(ISNUMBER(SEARCH(Recherche!$B$4,D1077))+ISNUMBER(SEARCH(Recherche!$B$4,K1077))&gt;0,1,0))</f>
        <v>0</v>
      </c>
      <c r="T1077" s="0" t="str">
        <f aca="false">IF(S1077=1,SUM($S$2:S1077),"")</f>
        <v/>
      </c>
    </row>
    <row r="1078" customFormat="false" ht="23.85" hidden="false" customHeight="false" outlineLevel="0" collapsed="false">
      <c r="A1078" s="24" t="s">
        <v>3485</v>
      </c>
      <c r="B1078" s="24" t="s">
        <v>71</v>
      </c>
      <c r="C1078" s="24" t="s">
        <v>3486</v>
      </c>
      <c r="D1078" s="23" t="s">
        <v>3487</v>
      </c>
      <c r="E1078" s="26" t="s">
        <v>91</v>
      </c>
      <c r="F1078" s="24" t="s">
        <v>3309</v>
      </c>
      <c r="G1078" s="24" t="s">
        <v>939</v>
      </c>
      <c r="H1078" s="25" t="n">
        <v>0.86</v>
      </c>
      <c r="I1078" s="26"/>
      <c r="J1078" s="26"/>
      <c r="K1078" s="23" t="s">
        <v>3487</v>
      </c>
      <c r="L1078" s="24"/>
      <c r="M1078" s="24"/>
      <c r="N1078" s="26" t="s">
        <v>91</v>
      </c>
      <c r="O1078" s="24"/>
      <c r="P1078" s="24" t="s">
        <v>3310</v>
      </c>
      <c r="Q1078" s="24" t="s">
        <v>942</v>
      </c>
      <c r="R1078" s="73" t="s">
        <v>95</v>
      </c>
      <c r="S1078" s="0" t="n">
        <f aca="false">IF(Recherche!$B$4="",0,IF(ISNUMBER(SEARCH(Recherche!$B$4,D1078))+ISNUMBER(SEARCH(Recherche!$B$4,K1078))&gt;0,1,0))</f>
        <v>0</v>
      </c>
      <c r="T1078" s="0" t="str">
        <f aca="false">IF(S1078=1,SUM($S$2:S1078),"")</f>
        <v/>
      </c>
    </row>
    <row r="1079" customFormat="false" ht="23.85" hidden="false" customHeight="false" outlineLevel="0" collapsed="false">
      <c r="A1079" s="20" t="s">
        <v>3488</v>
      </c>
      <c r="B1079" s="20" t="s">
        <v>71</v>
      </c>
      <c r="C1079" s="20" t="s">
        <v>3486</v>
      </c>
      <c r="D1079" s="19" t="s">
        <v>3489</v>
      </c>
      <c r="E1079" s="22" t="s">
        <v>91</v>
      </c>
      <c r="F1079" s="20" t="s">
        <v>3309</v>
      </c>
      <c r="G1079" s="20" t="s">
        <v>939</v>
      </c>
      <c r="H1079" s="21" t="n">
        <v>0.96</v>
      </c>
      <c r="I1079" s="22"/>
      <c r="J1079" s="22"/>
      <c r="K1079" s="19" t="s">
        <v>3489</v>
      </c>
      <c r="L1079" s="20"/>
      <c r="M1079" s="20"/>
      <c r="N1079" s="22" t="s">
        <v>91</v>
      </c>
      <c r="O1079" s="20"/>
      <c r="P1079" s="20" t="s">
        <v>3310</v>
      </c>
      <c r="Q1079" s="20" t="s">
        <v>942</v>
      </c>
      <c r="R1079" s="76" t="s">
        <v>95</v>
      </c>
      <c r="S1079" s="0" t="n">
        <f aca="false">IF(Recherche!$B$4="",0,IF(ISNUMBER(SEARCH(Recherche!$B$4,D1079))+ISNUMBER(SEARCH(Recherche!$B$4,K1079))&gt;0,1,0))</f>
        <v>0</v>
      </c>
      <c r="T1079" s="0" t="str">
        <f aca="false">IF(S1079=1,SUM($S$2:S1079),"")</f>
        <v/>
      </c>
    </row>
    <row r="1080" customFormat="false" ht="23.85" hidden="false" customHeight="false" outlineLevel="0" collapsed="false">
      <c r="A1080" s="24" t="s">
        <v>3490</v>
      </c>
      <c r="B1080" s="24" t="s">
        <v>71</v>
      </c>
      <c r="C1080" s="24" t="s">
        <v>3486</v>
      </c>
      <c r="D1080" s="23" t="s">
        <v>3491</v>
      </c>
      <c r="E1080" s="26" t="s">
        <v>91</v>
      </c>
      <c r="F1080" s="24" t="s">
        <v>3309</v>
      </c>
      <c r="G1080" s="24" t="s">
        <v>939</v>
      </c>
      <c r="H1080" s="25" t="n">
        <v>2.38</v>
      </c>
      <c r="I1080" s="26"/>
      <c r="J1080" s="26"/>
      <c r="K1080" s="23" t="s">
        <v>3491</v>
      </c>
      <c r="L1080" s="24"/>
      <c r="M1080" s="24"/>
      <c r="N1080" s="26" t="s">
        <v>91</v>
      </c>
      <c r="O1080" s="24"/>
      <c r="P1080" s="24" t="s">
        <v>3310</v>
      </c>
      <c r="Q1080" s="24" t="s">
        <v>942</v>
      </c>
      <c r="R1080" s="73" t="s">
        <v>95</v>
      </c>
      <c r="S1080" s="0" t="n">
        <f aca="false">IF(Recherche!$B$4="",0,IF(ISNUMBER(SEARCH(Recherche!$B$4,D1080))+ISNUMBER(SEARCH(Recherche!$B$4,K1080))&gt;0,1,0))</f>
        <v>0</v>
      </c>
      <c r="T1080" s="0" t="str">
        <f aca="false">IF(S1080=1,SUM($S$2:S1080),"")</f>
        <v/>
      </c>
    </row>
    <row r="1081" customFormat="false" ht="23.85" hidden="false" customHeight="false" outlineLevel="0" collapsed="false">
      <c r="A1081" s="20" t="s">
        <v>3492</v>
      </c>
      <c r="B1081" s="20" t="s">
        <v>71</v>
      </c>
      <c r="C1081" s="20" t="s">
        <v>3493</v>
      </c>
      <c r="D1081" s="19" t="s">
        <v>3494</v>
      </c>
      <c r="E1081" s="22" t="s">
        <v>91</v>
      </c>
      <c r="F1081" s="20" t="s">
        <v>3309</v>
      </c>
      <c r="G1081" s="20" t="s">
        <v>939</v>
      </c>
      <c r="H1081" s="21" t="n">
        <v>3.58</v>
      </c>
      <c r="I1081" s="22"/>
      <c r="J1081" s="22"/>
      <c r="K1081" s="19" t="s">
        <v>3494</v>
      </c>
      <c r="L1081" s="20"/>
      <c r="M1081" s="20"/>
      <c r="N1081" s="22" t="s">
        <v>91</v>
      </c>
      <c r="O1081" s="20"/>
      <c r="P1081" s="20" t="s">
        <v>3310</v>
      </c>
      <c r="Q1081" s="20" t="s">
        <v>942</v>
      </c>
      <c r="R1081" s="76" t="s">
        <v>95</v>
      </c>
      <c r="S1081" s="0" t="n">
        <f aca="false">IF(Recherche!$B$4="",0,IF(ISNUMBER(SEARCH(Recherche!$B$4,D1081))+ISNUMBER(SEARCH(Recherche!$B$4,K1081))&gt;0,1,0))</f>
        <v>0</v>
      </c>
      <c r="T1081" s="0" t="str">
        <f aca="false">IF(S1081=1,SUM($S$2:S1081),"")</f>
        <v/>
      </c>
    </row>
    <row r="1082" customFormat="false" ht="23.85" hidden="false" customHeight="false" outlineLevel="0" collapsed="false">
      <c r="A1082" s="24" t="s">
        <v>3495</v>
      </c>
      <c r="B1082" s="24" t="s">
        <v>71</v>
      </c>
      <c r="C1082" s="24" t="s">
        <v>3493</v>
      </c>
      <c r="D1082" s="23" t="s">
        <v>3496</v>
      </c>
      <c r="E1082" s="26" t="s">
        <v>91</v>
      </c>
      <c r="F1082" s="24" t="s">
        <v>3309</v>
      </c>
      <c r="G1082" s="24" t="s">
        <v>939</v>
      </c>
      <c r="H1082" s="25" t="n">
        <v>81.82</v>
      </c>
      <c r="I1082" s="26"/>
      <c r="J1082" s="26"/>
      <c r="K1082" s="23" t="s">
        <v>3496</v>
      </c>
      <c r="L1082" s="24"/>
      <c r="M1082" s="24"/>
      <c r="N1082" s="26" t="s">
        <v>91</v>
      </c>
      <c r="O1082" s="24"/>
      <c r="P1082" s="24" t="s">
        <v>3310</v>
      </c>
      <c r="Q1082" s="24" t="s">
        <v>942</v>
      </c>
      <c r="R1082" s="73" t="s">
        <v>95</v>
      </c>
      <c r="S1082" s="0" t="n">
        <f aca="false">IF(Recherche!$B$4="",0,IF(ISNUMBER(SEARCH(Recherche!$B$4,D1082))+ISNUMBER(SEARCH(Recherche!$B$4,K1082))&gt;0,1,0))</f>
        <v>0</v>
      </c>
      <c r="T1082" s="0" t="str">
        <f aca="false">IF(S1082=1,SUM($S$2:S1082),"")</f>
        <v/>
      </c>
    </row>
    <row r="1083" customFormat="false" ht="23.85" hidden="false" customHeight="false" outlineLevel="0" collapsed="false">
      <c r="A1083" s="20" t="s">
        <v>3497</v>
      </c>
      <c r="B1083" s="20" t="s">
        <v>71</v>
      </c>
      <c r="C1083" s="20" t="s">
        <v>3493</v>
      </c>
      <c r="D1083" s="19" t="s">
        <v>3498</v>
      </c>
      <c r="E1083" s="22" t="s">
        <v>91</v>
      </c>
      <c r="F1083" s="20" t="s">
        <v>3309</v>
      </c>
      <c r="G1083" s="20" t="s">
        <v>939</v>
      </c>
      <c r="H1083" s="21" t="n">
        <v>98.35</v>
      </c>
      <c r="I1083" s="22"/>
      <c r="J1083" s="22"/>
      <c r="K1083" s="19" t="s">
        <v>3498</v>
      </c>
      <c r="L1083" s="20"/>
      <c r="M1083" s="20"/>
      <c r="N1083" s="22" t="s">
        <v>91</v>
      </c>
      <c r="O1083" s="20"/>
      <c r="P1083" s="20" t="s">
        <v>3310</v>
      </c>
      <c r="Q1083" s="20" t="s">
        <v>942</v>
      </c>
      <c r="R1083" s="76" t="s">
        <v>95</v>
      </c>
      <c r="S1083" s="0" t="n">
        <f aca="false">IF(Recherche!$B$4="",0,IF(ISNUMBER(SEARCH(Recherche!$B$4,D1083))+ISNUMBER(SEARCH(Recherche!$B$4,K1083))&gt;0,1,0))</f>
        <v>0</v>
      </c>
      <c r="T1083" s="0" t="str">
        <f aca="false">IF(S1083=1,SUM($S$2:S1083),"")</f>
        <v/>
      </c>
    </row>
    <row r="1084" customFormat="false" ht="23.85" hidden="false" customHeight="false" outlineLevel="0" collapsed="false">
      <c r="A1084" s="24" t="s">
        <v>3499</v>
      </c>
      <c r="B1084" s="24" t="s">
        <v>71</v>
      </c>
      <c r="C1084" s="24" t="s">
        <v>3493</v>
      </c>
      <c r="D1084" s="23" t="s">
        <v>3500</v>
      </c>
      <c r="E1084" s="26" t="s">
        <v>91</v>
      </c>
      <c r="F1084" s="24" t="s">
        <v>3309</v>
      </c>
      <c r="G1084" s="24" t="s">
        <v>939</v>
      </c>
      <c r="H1084" s="25" t="n">
        <v>18.14</v>
      </c>
      <c r="I1084" s="26"/>
      <c r="J1084" s="26"/>
      <c r="K1084" s="23" t="s">
        <v>3501</v>
      </c>
      <c r="L1084" s="24"/>
      <c r="M1084" s="24"/>
      <c r="N1084" s="26" t="s">
        <v>91</v>
      </c>
      <c r="O1084" s="24"/>
      <c r="P1084" s="24" t="s">
        <v>3310</v>
      </c>
      <c r="Q1084" s="24" t="s">
        <v>942</v>
      </c>
      <c r="R1084" s="73" t="s">
        <v>95</v>
      </c>
      <c r="S1084" s="0" t="n">
        <f aca="false">IF(Recherche!$B$4="",0,IF(ISNUMBER(SEARCH(Recherche!$B$4,D1084))+ISNUMBER(SEARCH(Recherche!$B$4,K1084))&gt;0,1,0))</f>
        <v>0</v>
      </c>
      <c r="T1084" s="0" t="str">
        <f aca="false">IF(S1084=1,SUM($S$2:S1084),"")</f>
        <v/>
      </c>
    </row>
    <row r="1085" customFormat="false" ht="23.85" hidden="false" customHeight="false" outlineLevel="0" collapsed="false">
      <c r="A1085" s="20" t="s">
        <v>3502</v>
      </c>
      <c r="B1085" s="20" t="s">
        <v>71</v>
      </c>
      <c r="C1085" s="20" t="s">
        <v>3493</v>
      </c>
      <c r="D1085" s="19" t="s">
        <v>3503</v>
      </c>
      <c r="E1085" s="22" t="s">
        <v>91</v>
      </c>
      <c r="F1085" s="20" t="s">
        <v>3309</v>
      </c>
      <c r="G1085" s="20" t="s">
        <v>939</v>
      </c>
      <c r="H1085" s="21" t="n">
        <v>23.85</v>
      </c>
      <c r="I1085" s="22"/>
      <c r="J1085" s="22"/>
      <c r="K1085" s="19" t="s">
        <v>3504</v>
      </c>
      <c r="L1085" s="20"/>
      <c r="M1085" s="20"/>
      <c r="N1085" s="22" t="s">
        <v>91</v>
      </c>
      <c r="O1085" s="20"/>
      <c r="P1085" s="20" t="s">
        <v>3310</v>
      </c>
      <c r="Q1085" s="20" t="s">
        <v>942</v>
      </c>
      <c r="R1085" s="76" t="s">
        <v>95</v>
      </c>
      <c r="S1085" s="0" t="n">
        <f aca="false">IF(Recherche!$B$4="",0,IF(ISNUMBER(SEARCH(Recherche!$B$4,D1085))+ISNUMBER(SEARCH(Recherche!$B$4,K1085))&gt;0,1,0))</f>
        <v>0</v>
      </c>
      <c r="T1085" s="0" t="str">
        <f aca="false">IF(S1085=1,SUM($S$2:S1085),"")</f>
        <v/>
      </c>
    </row>
    <row r="1086" customFormat="false" ht="23.85" hidden="false" customHeight="false" outlineLevel="0" collapsed="false">
      <c r="A1086" s="24" t="s">
        <v>3505</v>
      </c>
      <c r="B1086" s="24" t="s">
        <v>71</v>
      </c>
      <c r="C1086" s="24" t="s">
        <v>3493</v>
      </c>
      <c r="D1086" s="23" t="s">
        <v>3506</v>
      </c>
      <c r="E1086" s="26" t="s">
        <v>91</v>
      </c>
      <c r="F1086" s="24" t="s">
        <v>3309</v>
      </c>
      <c r="G1086" s="24" t="s">
        <v>939</v>
      </c>
      <c r="H1086" s="25" t="n">
        <v>12.38</v>
      </c>
      <c r="I1086" s="26"/>
      <c r="J1086" s="26"/>
      <c r="K1086" s="23" t="s">
        <v>3507</v>
      </c>
      <c r="L1086" s="24"/>
      <c r="M1086" s="24"/>
      <c r="N1086" s="26" t="s">
        <v>91</v>
      </c>
      <c r="O1086" s="24"/>
      <c r="P1086" s="24" t="s">
        <v>3310</v>
      </c>
      <c r="Q1086" s="24" t="s">
        <v>942</v>
      </c>
      <c r="R1086" s="73" t="s">
        <v>95</v>
      </c>
      <c r="S1086" s="0" t="n">
        <f aca="false">IF(Recherche!$B$4="",0,IF(ISNUMBER(SEARCH(Recherche!$B$4,D1086))+ISNUMBER(SEARCH(Recherche!$B$4,K1086))&gt;0,1,0))</f>
        <v>0</v>
      </c>
      <c r="T1086" s="0" t="str">
        <f aca="false">IF(S1086=1,SUM($S$2:S1086),"")</f>
        <v/>
      </c>
    </row>
    <row r="1087" customFormat="false" ht="15" hidden="false" customHeight="false" outlineLevel="0" collapsed="false">
      <c r="A1087" s="20" t="s">
        <v>3508</v>
      </c>
      <c r="B1087" s="20" t="s">
        <v>71</v>
      </c>
      <c r="C1087" s="20" t="s">
        <v>3509</v>
      </c>
      <c r="D1087" s="19" t="s">
        <v>3510</v>
      </c>
      <c r="E1087" s="22" t="s">
        <v>91</v>
      </c>
      <c r="F1087" s="20" t="s">
        <v>3309</v>
      </c>
      <c r="G1087" s="20" t="s">
        <v>939</v>
      </c>
      <c r="H1087" s="21" t="n">
        <v>4.09</v>
      </c>
      <c r="I1087" s="22"/>
      <c r="J1087" s="22"/>
      <c r="K1087" s="19" t="s">
        <v>3510</v>
      </c>
      <c r="L1087" s="20"/>
      <c r="M1087" s="20"/>
      <c r="N1087" s="22" t="s">
        <v>91</v>
      </c>
      <c r="O1087" s="20"/>
      <c r="P1087" s="20" t="s">
        <v>3310</v>
      </c>
      <c r="Q1087" s="20" t="s">
        <v>942</v>
      </c>
      <c r="R1087" s="76" t="s">
        <v>95</v>
      </c>
      <c r="S1087" s="0" t="n">
        <f aca="false">IF(Recherche!$B$4="",0,IF(ISNUMBER(SEARCH(Recherche!$B$4,D1087))+ISNUMBER(SEARCH(Recherche!$B$4,K1087))&gt;0,1,0))</f>
        <v>0</v>
      </c>
      <c r="T1087" s="0" t="str">
        <f aca="false">IF(S1087=1,SUM($S$2:S1087),"")</f>
        <v/>
      </c>
    </row>
    <row r="1088" customFormat="false" ht="23.85" hidden="false" customHeight="false" outlineLevel="0" collapsed="false">
      <c r="A1088" s="24" t="s">
        <v>3511</v>
      </c>
      <c r="B1088" s="24" t="s">
        <v>71</v>
      </c>
      <c r="C1088" s="24" t="s">
        <v>3509</v>
      </c>
      <c r="D1088" s="23" t="s">
        <v>3512</v>
      </c>
      <c r="E1088" s="26" t="s">
        <v>91</v>
      </c>
      <c r="F1088" s="24" t="s">
        <v>3309</v>
      </c>
      <c r="G1088" s="24" t="s">
        <v>939</v>
      </c>
      <c r="H1088" s="25" t="n">
        <v>4.09</v>
      </c>
      <c r="I1088" s="26"/>
      <c r="J1088" s="26"/>
      <c r="K1088" s="23" t="s">
        <v>3512</v>
      </c>
      <c r="L1088" s="24"/>
      <c r="M1088" s="24"/>
      <c r="N1088" s="26" t="s">
        <v>91</v>
      </c>
      <c r="O1088" s="24"/>
      <c r="P1088" s="24" t="s">
        <v>3310</v>
      </c>
      <c r="Q1088" s="24" t="s">
        <v>942</v>
      </c>
      <c r="R1088" s="73" t="s">
        <v>95</v>
      </c>
      <c r="S1088" s="0" t="n">
        <f aca="false">IF(Recherche!$B$4="",0,IF(ISNUMBER(SEARCH(Recherche!$B$4,D1088))+ISNUMBER(SEARCH(Recherche!$B$4,K1088))&gt;0,1,0))</f>
        <v>0</v>
      </c>
      <c r="T1088" s="0" t="str">
        <f aca="false">IF(S1088=1,SUM($S$2:S1088),"")</f>
        <v/>
      </c>
    </row>
    <row r="1089" customFormat="false" ht="23.85" hidden="false" customHeight="false" outlineLevel="0" collapsed="false">
      <c r="A1089" s="20" t="s">
        <v>3513</v>
      </c>
      <c r="B1089" s="20" t="s">
        <v>71</v>
      </c>
      <c r="C1089" s="20" t="s">
        <v>3509</v>
      </c>
      <c r="D1089" s="19" t="s">
        <v>3514</v>
      </c>
      <c r="E1089" s="22" t="s">
        <v>91</v>
      </c>
      <c r="F1089" s="20" t="s">
        <v>3309</v>
      </c>
      <c r="G1089" s="20" t="s">
        <v>939</v>
      </c>
      <c r="H1089" s="21" t="n">
        <v>5.71</v>
      </c>
      <c r="I1089" s="22"/>
      <c r="J1089" s="22"/>
      <c r="K1089" s="19" t="s">
        <v>3514</v>
      </c>
      <c r="L1089" s="20"/>
      <c r="M1089" s="20"/>
      <c r="N1089" s="22" t="s">
        <v>91</v>
      </c>
      <c r="O1089" s="20"/>
      <c r="P1089" s="20" t="s">
        <v>3310</v>
      </c>
      <c r="Q1089" s="20" t="s">
        <v>942</v>
      </c>
      <c r="R1089" s="76" t="s">
        <v>95</v>
      </c>
      <c r="S1089" s="0" t="n">
        <f aca="false">IF(Recherche!$B$4="",0,IF(ISNUMBER(SEARCH(Recherche!$B$4,D1089))+ISNUMBER(SEARCH(Recherche!$B$4,K1089))&gt;0,1,0))</f>
        <v>0</v>
      </c>
      <c r="T1089" s="0" t="str">
        <f aca="false">IF(S1089=1,SUM($S$2:S1089),"")</f>
        <v/>
      </c>
    </row>
    <row r="1090" customFormat="false" ht="23.85" hidden="false" customHeight="false" outlineLevel="0" collapsed="false">
      <c r="A1090" s="24" t="s">
        <v>3515</v>
      </c>
      <c r="B1090" s="24" t="s">
        <v>71</v>
      </c>
      <c r="C1090" s="24" t="s">
        <v>3509</v>
      </c>
      <c r="D1090" s="23" t="s">
        <v>3516</v>
      </c>
      <c r="E1090" s="26" t="s">
        <v>91</v>
      </c>
      <c r="F1090" s="24" t="s">
        <v>3309</v>
      </c>
      <c r="G1090" s="24" t="s">
        <v>939</v>
      </c>
      <c r="H1090" s="25" t="n">
        <v>3.14</v>
      </c>
      <c r="I1090" s="26"/>
      <c r="J1090" s="26"/>
      <c r="K1090" s="23" t="s">
        <v>3516</v>
      </c>
      <c r="L1090" s="24"/>
      <c r="M1090" s="24"/>
      <c r="N1090" s="26" t="s">
        <v>91</v>
      </c>
      <c r="O1090" s="24"/>
      <c r="P1090" s="24" t="s">
        <v>3310</v>
      </c>
      <c r="Q1090" s="24" t="s">
        <v>942</v>
      </c>
      <c r="R1090" s="73" t="s">
        <v>95</v>
      </c>
      <c r="S1090" s="0" t="n">
        <f aca="false">IF(Recherche!$B$4="",0,IF(ISNUMBER(SEARCH(Recherche!$B$4,D1090))+ISNUMBER(SEARCH(Recherche!$B$4,K1090))&gt;0,1,0))</f>
        <v>0</v>
      </c>
      <c r="T1090" s="0" t="str">
        <f aca="false">IF(S1090=1,SUM($S$2:S1090),"")</f>
        <v/>
      </c>
    </row>
    <row r="1091" customFormat="false" ht="23.85" hidden="false" customHeight="false" outlineLevel="0" collapsed="false">
      <c r="A1091" s="20" t="s">
        <v>3517</v>
      </c>
      <c r="B1091" s="20" t="s">
        <v>71</v>
      </c>
      <c r="C1091" s="20" t="s">
        <v>3509</v>
      </c>
      <c r="D1091" s="19" t="s">
        <v>3518</v>
      </c>
      <c r="E1091" s="22" t="s">
        <v>91</v>
      </c>
      <c r="F1091" s="20" t="s">
        <v>3309</v>
      </c>
      <c r="G1091" s="20" t="s">
        <v>939</v>
      </c>
      <c r="H1091" s="21" t="n">
        <v>3.55</v>
      </c>
      <c r="I1091" s="22"/>
      <c r="J1091" s="22"/>
      <c r="K1091" s="19" t="s">
        <v>3518</v>
      </c>
      <c r="L1091" s="20"/>
      <c r="M1091" s="20"/>
      <c r="N1091" s="22" t="s">
        <v>91</v>
      </c>
      <c r="O1091" s="20"/>
      <c r="P1091" s="20" t="s">
        <v>3310</v>
      </c>
      <c r="Q1091" s="20" t="s">
        <v>942</v>
      </c>
      <c r="R1091" s="76" t="s">
        <v>95</v>
      </c>
      <c r="S1091" s="0" t="n">
        <f aca="false">IF(Recherche!$B$4="",0,IF(ISNUMBER(SEARCH(Recherche!$B$4,D1091))+ISNUMBER(SEARCH(Recherche!$B$4,K1091))&gt;0,1,0))</f>
        <v>0</v>
      </c>
      <c r="T1091" s="0" t="str">
        <f aca="false">IF(S1091=1,SUM($S$2:S1091),"")</f>
        <v/>
      </c>
    </row>
    <row r="1092" customFormat="false" ht="23.85" hidden="false" customHeight="false" outlineLevel="0" collapsed="false">
      <c r="A1092" s="24" t="s">
        <v>3519</v>
      </c>
      <c r="B1092" s="24" t="s">
        <v>71</v>
      </c>
      <c r="C1092" s="24" t="s">
        <v>3509</v>
      </c>
      <c r="D1092" s="23" t="s">
        <v>3520</v>
      </c>
      <c r="E1092" s="26" t="s">
        <v>91</v>
      </c>
      <c r="F1092" s="24" t="s">
        <v>3309</v>
      </c>
      <c r="G1092" s="24" t="s">
        <v>939</v>
      </c>
      <c r="H1092" s="25" t="n">
        <v>2.56</v>
      </c>
      <c r="I1092" s="26"/>
      <c r="J1092" s="26"/>
      <c r="K1092" s="23" t="s">
        <v>3521</v>
      </c>
      <c r="L1092" s="24"/>
      <c r="M1092" s="24"/>
      <c r="N1092" s="26" t="s">
        <v>91</v>
      </c>
      <c r="O1092" s="24"/>
      <c r="P1092" s="24" t="s">
        <v>3310</v>
      </c>
      <c r="Q1092" s="24" t="s">
        <v>942</v>
      </c>
      <c r="R1092" s="73" t="s">
        <v>95</v>
      </c>
      <c r="S1092" s="0" t="n">
        <f aca="false">IF(Recherche!$B$4="",0,IF(ISNUMBER(SEARCH(Recherche!$B$4,D1092))+ISNUMBER(SEARCH(Recherche!$B$4,K1092))&gt;0,1,0))</f>
        <v>0</v>
      </c>
      <c r="T1092" s="0" t="str">
        <f aca="false">IF(S1092=1,SUM($S$2:S1092),"")</f>
        <v/>
      </c>
    </row>
    <row r="1093" customFormat="false" ht="23.85" hidden="false" customHeight="false" outlineLevel="0" collapsed="false">
      <c r="A1093" s="20" t="s">
        <v>3522</v>
      </c>
      <c r="B1093" s="20" t="s">
        <v>71</v>
      </c>
      <c r="C1093" s="20" t="s">
        <v>3509</v>
      </c>
      <c r="D1093" s="19" t="s">
        <v>3523</v>
      </c>
      <c r="E1093" s="22" t="s">
        <v>91</v>
      </c>
      <c r="F1093" s="20" t="s">
        <v>3309</v>
      </c>
      <c r="G1093" s="20" t="s">
        <v>939</v>
      </c>
      <c r="H1093" s="21" t="n">
        <v>9.42</v>
      </c>
      <c r="I1093" s="22"/>
      <c r="J1093" s="22"/>
      <c r="K1093" s="19" t="s">
        <v>3523</v>
      </c>
      <c r="L1093" s="20"/>
      <c r="M1093" s="20"/>
      <c r="N1093" s="22" t="s">
        <v>91</v>
      </c>
      <c r="O1093" s="20"/>
      <c r="P1093" s="20" t="s">
        <v>3310</v>
      </c>
      <c r="Q1093" s="20" t="s">
        <v>942</v>
      </c>
      <c r="R1093" s="76" t="s">
        <v>95</v>
      </c>
      <c r="S1093" s="0" t="n">
        <f aca="false">IF(Recherche!$B$4="",0,IF(ISNUMBER(SEARCH(Recherche!$B$4,D1093))+ISNUMBER(SEARCH(Recherche!$B$4,K1093))&gt;0,1,0))</f>
        <v>0</v>
      </c>
      <c r="T1093" s="0" t="str">
        <f aca="false">IF(S1093=1,SUM($S$2:S1093),"")</f>
        <v/>
      </c>
    </row>
    <row r="1094" customFormat="false" ht="23.85" hidden="false" customHeight="false" outlineLevel="0" collapsed="false">
      <c r="A1094" s="24" t="s">
        <v>3524</v>
      </c>
      <c r="B1094" s="24" t="s">
        <v>71</v>
      </c>
      <c r="C1094" s="24" t="s">
        <v>3509</v>
      </c>
      <c r="D1094" s="23" t="s">
        <v>3525</v>
      </c>
      <c r="E1094" s="26" t="s">
        <v>91</v>
      </c>
      <c r="F1094" s="24" t="s">
        <v>3309</v>
      </c>
      <c r="G1094" s="24" t="s">
        <v>939</v>
      </c>
      <c r="H1094" s="25" t="n">
        <v>4.82</v>
      </c>
      <c r="I1094" s="26"/>
      <c r="J1094" s="26"/>
      <c r="K1094" s="23" t="s">
        <v>3525</v>
      </c>
      <c r="L1094" s="24"/>
      <c r="M1094" s="24"/>
      <c r="N1094" s="26" t="s">
        <v>91</v>
      </c>
      <c r="O1094" s="24"/>
      <c r="P1094" s="24" t="s">
        <v>3310</v>
      </c>
      <c r="Q1094" s="24" t="s">
        <v>942</v>
      </c>
      <c r="R1094" s="73" t="s">
        <v>95</v>
      </c>
      <c r="S1094" s="0" t="n">
        <f aca="false">IF(Recherche!$B$4="",0,IF(ISNUMBER(SEARCH(Recherche!$B$4,D1094))+ISNUMBER(SEARCH(Recherche!$B$4,K1094))&gt;0,1,0))</f>
        <v>0</v>
      </c>
      <c r="T1094" s="0" t="str">
        <f aca="false">IF(S1094=1,SUM($S$2:S1094),"")</f>
        <v/>
      </c>
    </row>
    <row r="1095" customFormat="false" ht="23.85" hidden="false" customHeight="false" outlineLevel="0" collapsed="false">
      <c r="A1095" s="20" t="s">
        <v>3526</v>
      </c>
      <c r="B1095" s="20" t="s">
        <v>71</v>
      </c>
      <c r="C1095" s="20" t="s">
        <v>3509</v>
      </c>
      <c r="D1095" s="19" t="s">
        <v>3355</v>
      </c>
      <c r="E1095" s="22" t="s">
        <v>91</v>
      </c>
      <c r="F1095" s="20" t="s">
        <v>3309</v>
      </c>
      <c r="G1095" s="20" t="s">
        <v>939</v>
      </c>
      <c r="H1095" s="21" t="n">
        <v>0.8</v>
      </c>
      <c r="I1095" s="22"/>
      <c r="J1095" s="22"/>
      <c r="K1095" s="19" t="s">
        <v>3356</v>
      </c>
      <c r="L1095" s="20"/>
      <c r="M1095" s="20"/>
      <c r="N1095" s="22" t="s">
        <v>91</v>
      </c>
      <c r="O1095" s="20"/>
      <c r="P1095" s="20" t="s">
        <v>3310</v>
      </c>
      <c r="Q1095" s="20" t="s">
        <v>942</v>
      </c>
      <c r="R1095" s="76" t="s">
        <v>95</v>
      </c>
      <c r="S1095" s="0" t="n">
        <f aca="false">IF(Recherche!$B$4="",0,IF(ISNUMBER(SEARCH(Recherche!$B$4,D1095))+ISNUMBER(SEARCH(Recherche!$B$4,K1095))&gt;0,1,0))</f>
        <v>0</v>
      </c>
      <c r="T1095" s="0" t="str">
        <f aca="false">IF(S1095=1,SUM($S$2:S1095),"")</f>
        <v/>
      </c>
    </row>
    <row r="1096" customFormat="false" ht="15" hidden="false" customHeight="false" outlineLevel="0" collapsed="false">
      <c r="A1096" s="24" t="s">
        <v>3527</v>
      </c>
      <c r="B1096" s="24" t="s">
        <v>71</v>
      </c>
      <c r="C1096" s="24" t="s">
        <v>3509</v>
      </c>
      <c r="D1096" s="23" t="s">
        <v>3528</v>
      </c>
      <c r="E1096" s="26" t="s">
        <v>91</v>
      </c>
      <c r="F1096" s="24" t="s">
        <v>3309</v>
      </c>
      <c r="G1096" s="24" t="s">
        <v>939</v>
      </c>
      <c r="H1096" s="25" t="n">
        <v>13</v>
      </c>
      <c r="I1096" s="26"/>
      <c r="J1096" s="26"/>
      <c r="K1096" s="23" t="s">
        <v>3528</v>
      </c>
      <c r="L1096" s="24"/>
      <c r="M1096" s="24"/>
      <c r="N1096" s="26" t="s">
        <v>91</v>
      </c>
      <c r="O1096" s="24"/>
      <c r="P1096" s="24" t="s">
        <v>3310</v>
      </c>
      <c r="Q1096" s="24" t="s">
        <v>942</v>
      </c>
      <c r="R1096" s="73" t="s">
        <v>95</v>
      </c>
      <c r="S1096" s="0" t="n">
        <f aca="false">IF(Recherche!$B$4="",0,IF(ISNUMBER(SEARCH(Recherche!$B$4,D1096))+ISNUMBER(SEARCH(Recherche!$B$4,K1096))&gt;0,1,0))</f>
        <v>0</v>
      </c>
      <c r="T1096" s="0" t="str">
        <f aca="false">IF(S1096=1,SUM($S$2:S1096),"")</f>
        <v/>
      </c>
    </row>
    <row r="1097" customFormat="false" ht="15" hidden="false" customHeight="false" outlineLevel="0" collapsed="false">
      <c r="A1097" s="20" t="s">
        <v>3529</v>
      </c>
      <c r="B1097" s="20" t="s">
        <v>71</v>
      </c>
      <c r="C1097" s="20" t="s">
        <v>3509</v>
      </c>
      <c r="D1097" s="19" t="s">
        <v>3530</v>
      </c>
      <c r="E1097" s="22" t="s">
        <v>91</v>
      </c>
      <c r="F1097" s="20" t="s">
        <v>3309</v>
      </c>
      <c r="G1097" s="20" t="s">
        <v>939</v>
      </c>
      <c r="H1097" s="21" t="n">
        <v>21.47</v>
      </c>
      <c r="I1097" s="22"/>
      <c r="J1097" s="22"/>
      <c r="K1097" s="19" t="s">
        <v>3530</v>
      </c>
      <c r="L1097" s="20"/>
      <c r="M1097" s="20"/>
      <c r="N1097" s="22" t="s">
        <v>91</v>
      </c>
      <c r="O1097" s="20"/>
      <c r="P1097" s="20" t="s">
        <v>3310</v>
      </c>
      <c r="Q1097" s="20" t="s">
        <v>942</v>
      </c>
      <c r="R1097" s="76" t="s">
        <v>95</v>
      </c>
      <c r="S1097" s="0" t="n">
        <f aca="false">IF(Recherche!$B$4="",0,IF(ISNUMBER(SEARCH(Recherche!$B$4,D1097))+ISNUMBER(SEARCH(Recherche!$B$4,K1097))&gt;0,1,0))</f>
        <v>0</v>
      </c>
      <c r="T1097" s="0" t="str">
        <f aca="false">IF(S1097=1,SUM($S$2:S1097),"")</f>
        <v/>
      </c>
    </row>
    <row r="1098" customFormat="false" ht="23.85" hidden="false" customHeight="false" outlineLevel="0" collapsed="false">
      <c r="A1098" s="24" t="s">
        <v>3531</v>
      </c>
      <c r="B1098" s="24" t="s">
        <v>71</v>
      </c>
      <c r="C1098" s="24" t="s">
        <v>3509</v>
      </c>
      <c r="D1098" s="23" t="s">
        <v>3532</v>
      </c>
      <c r="E1098" s="26" t="s">
        <v>91</v>
      </c>
      <c r="F1098" s="24" t="s">
        <v>3309</v>
      </c>
      <c r="G1098" s="24" t="s">
        <v>939</v>
      </c>
      <c r="H1098" s="25" t="n">
        <v>3.15</v>
      </c>
      <c r="I1098" s="26"/>
      <c r="J1098" s="26"/>
      <c r="K1098" s="23" t="s">
        <v>3532</v>
      </c>
      <c r="L1098" s="24"/>
      <c r="M1098" s="24"/>
      <c r="N1098" s="26" t="s">
        <v>91</v>
      </c>
      <c r="O1098" s="24"/>
      <c r="P1098" s="24" t="s">
        <v>3310</v>
      </c>
      <c r="Q1098" s="24" t="s">
        <v>942</v>
      </c>
      <c r="R1098" s="73" t="s">
        <v>95</v>
      </c>
      <c r="S1098" s="0" t="n">
        <f aca="false">IF(Recherche!$B$4="",0,IF(ISNUMBER(SEARCH(Recherche!$B$4,D1098))+ISNUMBER(SEARCH(Recherche!$B$4,K1098))&gt;0,1,0))</f>
        <v>0</v>
      </c>
      <c r="T1098" s="0" t="str">
        <f aca="false">IF(S1098=1,SUM($S$2:S1098),"")</f>
        <v/>
      </c>
    </row>
    <row r="1099" customFormat="false" ht="23.85" hidden="false" customHeight="false" outlineLevel="0" collapsed="false">
      <c r="A1099" s="20" t="s">
        <v>3533</v>
      </c>
      <c r="B1099" s="20" t="s">
        <v>71</v>
      </c>
      <c r="C1099" s="20" t="s">
        <v>3534</v>
      </c>
      <c r="D1099" s="19" t="s">
        <v>3535</v>
      </c>
      <c r="E1099" s="22" t="s">
        <v>91</v>
      </c>
      <c r="F1099" s="20" t="s">
        <v>3309</v>
      </c>
      <c r="G1099" s="20" t="s">
        <v>939</v>
      </c>
      <c r="H1099" s="21" t="n">
        <v>79.25</v>
      </c>
      <c r="I1099" s="22"/>
      <c r="J1099" s="22"/>
      <c r="K1099" s="19" t="s">
        <v>3536</v>
      </c>
      <c r="L1099" s="20"/>
      <c r="M1099" s="20"/>
      <c r="N1099" s="22" t="s">
        <v>91</v>
      </c>
      <c r="O1099" s="20"/>
      <c r="P1099" s="20" t="s">
        <v>3310</v>
      </c>
      <c r="Q1099" s="20" t="s">
        <v>942</v>
      </c>
      <c r="R1099" s="76" t="s">
        <v>95</v>
      </c>
      <c r="S1099" s="0" t="n">
        <f aca="false">IF(Recherche!$B$4="",0,IF(ISNUMBER(SEARCH(Recherche!$B$4,D1099))+ISNUMBER(SEARCH(Recherche!$B$4,K1099))&gt;0,1,0))</f>
        <v>0</v>
      </c>
      <c r="T1099" s="0" t="str">
        <f aca="false">IF(S1099=1,SUM($S$2:S1099),"")</f>
        <v/>
      </c>
    </row>
    <row r="1100" customFormat="false" ht="23.85" hidden="false" customHeight="false" outlineLevel="0" collapsed="false">
      <c r="A1100" s="24" t="s">
        <v>3537</v>
      </c>
      <c r="B1100" s="24" t="s">
        <v>71</v>
      </c>
      <c r="C1100" s="24" t="s">
        <v>3534</v>
      </c>
      <c r="D1100" s="23" t="s">
        <v>3535</v>
      </c>
      <c r="E1100" s="26" t="s">
        <v>91</v>
      </c>
      <c r="F1100" s="24" t="s">
        <v>3309</v>
      </c>
      <c r="G1100" s="24" t="s">
        <v>939</v>
      </c>
      <c r="H1100" s="25" t="n">
        <v>114</v>
      </c>
      <c r="I1100" s="26"/>
      <c r="J1100" s="26"/>
      <c r="K1100" s="23" t="s">
        <v>3536</v>
      </c>
      <c r="L1100" s="24"/>
      <c r="M1100" s="24"/>
      <c r="N1100" s="26" t="s">
        <v>91</v>
      </c>
      <c r="O1100" s="24"/>
      <c r="P1100" s="24" t="s">
        <v>3310</v>
      </c>
      <c r="Q1100" s="24" t="s">
        <v>942</v>
      </c>
      <c r="R1100" s="73" t="s">
        <v>95</v>
      </c>
      <c r="S1100" s="0" t="n">
        <f aca="false">IF(Recherche!$B$4="",0,IF(ISNUMBER(SEARCH(Recherche!$B$4,D1100))+ISNUMBER(SEARCH(Recherche!$B$4,K1100))&gt;0,1,0))</f>
        <v>0</v>
      </c>
      <c r="T1100" s="0" t="str">
        <f aca="false">IF(S1100=1,SUM($S$2:S1100),"")</f>
        <v/>
      </c>
    </row>
    <row r="1101" customFormat="false" ht="23.85" hidden="false" customHeight="false" outlineLevel="0" collapsed="false">
      <c r="A1101" s="20" t="s">
        <v>3538</v>
      </c>
      <c r="B1101" s="20" t="s">
        <v>71</v>
      </c>
      <c r="C1101" s="20" t="s">
        <v>3534</v>
      </c>
      <c r="D1101" s="19" t="s">
        <v>3539</v>
      </c>
      <c r="E1101" s="22" t="s">
        <v>91</v>
      </c>
      <c r="F1101" s="20" t="s">
        <v>3309</v>
      </c>
      <c r="G1101" s="20" t="s">
        <v>939</v>
      </c>
      <c r="H1101" s="21" t="n">
        <v>74.29</v>
      </c>
      <c r="I1101" s="22"/>
      <c r="J1101" s="22"/>
      <c r="K1101" s="19" t="s">
        <v>3540</v>
      </c>
      <c r="L1101" s="20"/>
      <c r="M1101" s="20"/>
      <c r="N1101" s="22" t="s">
        <v>91</v>
      </c>
      <c r="O1101" s="20"/>
      <c r="P1101" s="20" t="s">
        <v>3310</v>
      </c>
      <c r="Q1101" s="20" t="s">
        <v>942</v>
      </c>
      <c r="R1101" s="76" t="s">
        <v>95</v>
      </c>
      <c r="S1101" s="0" t="n">
        <f aca="false">IF(Recherche!$B$4="",0,IF(ISNUMBER(SEARCH(Recherche!$B$4,D1101))+ISNUMBER(SEARCH(Recherche!$B$4,K1101))&gt;0,1,0))</f>
        <v>0</v>
      </c>
      <c r="T1101" s="0" t="str">
        <f aca="false">IF(S1101=1,SUM($S$2:S1101),"")</f>
        <v/>
      </c>
    </row>
    <row r="1102" customFormat="false" ht="23.85" hidden="false" customHeight="false" outlineLevel="0" collapsed="false">
      <c r="A1102" s="24" t="s">
        <v>3541</v>
      </c>
      <c r="B1102" s="24" t="s">
        <v>71</v>
      </c>
      <c r="C1102" s="24" t="s">
        <v>3534</v>
      </c>
      <c r="D1102" s="23" t="s">
        <v>3542</v>
      </c>
      <c r="E1102" s="26" t="s">
        <v>91</v>
      </c>
      <c r="F1102" s="24" t="s">
        <v>3309</v>
      </c>
      <c r="G1102" s="24" t="s">
        <v>939</v>
      </c>
      <c r="H1102" s="25" t="n">
        <v>109</v>
      </c>
      <c r="I1102" s="26"/>
      <c r="J1102" s="26"/>
      <c r="K1102" s="23" t="s">
        <v>3542</v>
      </c>
      <c r="L1102" s="24"/>
      <c r="M1102" s="24"/>
      <c r="N1102" s="26" t="s">
        <v>91</v>
      </c>
      <c r="O1102" s="24"/>
      <c r="P1102" s="24" t="s">
        <v>3310</v>
      </c>
      <c r="Q1102" s="24" t="s">
        <v>942</v>
      </c>
      <c r="R1102" s="73" t="s">
        <v>95</v>
      </c>
      <c r="S1102" s="0" t="n">
        <f aca="false">IF(Recherche!$B$4="",0,IF(ISNUMBER(SEARCH(Recherche!$B$4,D1102))+ISNUMBER(SEARCH(Recherche!$B$4,K1102))&gt;0,1,0))</f>
        <v>0</v>
      </c>
      <c r="T1102" s="0" t="str">
        <f aca="false">IF(S1102=1,SUM($S$2:S1102),"")</f>
        <v/>
      </c>
    </row>
    <row r="1103" customFormat="false" ht="23.85" hidden="false" customHeight="false" outlineLevel="0" collapsed="false">
      <c r="A1103" s="20" t="s">
        <v>3543</v>
      </c>
      <c r="B1103" s="20" t="s">
        <v>71</v>
      </c>
      <c r="C1103" s="20" t="s">
        <v>3534</v>
      </c>
      <c r="D1103" s="19" t="s">
        <v>3544</v>
      </c>
      <c r="E1103" s="22" t="s">
        <v>91</v>
      </c>
      <c r="F1103" s="20" t="s">
        <v>3309</v>
      </c>
      <c r="G1103" s="20" t="s">
        <v>939</v>
      </c>
      <c r="H1103" s="21" t="n">
        <v>451.99</v>
      </c>
      <c r="I1103" s="22"/>
      <c r="J1103" s="22"/>
      <c r="K1103" s="19" t="s">
        <v>3545</v>
      </c>
      <c r="L1103" s="20"/>
      <c r="M1103" s="20"/>
      <c r="N1103" s="22" t="s">
        <v>91</v>
      </c>
      <c r="O1103" s="20"/>
      <c r="P1103" s="20" t="s">
        <v>3310</v>
      </c>
      <c r="Q1103" s="20" t="s">
        <v>942</v>
      </c>
      <c r="R1103" s="76" t="s">
        <v>95</v>
      </c>
      <c r="S1103" s="0" t="n">
        <f aca="false">IF(Recherche!$B$4="",0,IF(ISNUMBER(SEARCH(Recherche!$B$4,D1103))+ISNUMBER(SEARCH(Recherche!$B$4,K1103))&gt;0,1,0))</f>
        <v>0</v>
      </c>
      <c r="T1103" s="0" t="str">
        <f aca="false">IF(S1103=1,SUM($S$2:S1103),"")</f>
        <v/>
      </c>
    </row>
    <row r="1104" customFormat="false" ht="23.85" hidden="false" customHeight="false" outlineLevel="0" collapsed="false">
      <c r="A1104" s="24" t="s">
        <v>3546</v>
      </c>
      <c r="B1104" s="24" t="s">
        <v>71</v>
      </c>
      <c r="C1104" s="24" t="s">
        <v>3534</v>
      </c>
      <c r="D1104" s="23" t="s">
        <v>3547</v>
      </c>
      <c r="E1104" s="26" t="s">
        <v>91</v>
      </c>
      <c r="F1104" s="24" t="s">
        <v>3309</v>
      </c>
      <c r="G1104" s="24" t="s">
        <v>939</v>
      </c>
      <c r="H1104" s="25" t="n">
        <v>81.82</v>
      </c>
      <c r="I1104" s="26"/>
      <c r="J1104" s="26"/>
      <c r="K1104" s="23" t="s">
        <v>3548</v>
      </c>
      <c r="L1104" s="24"/>
      <c r="M1104" s="24"/>
      <c r="N1104" s="26" t="s">
        <v>91</v>
      </c>
      <c r="O1104" s="24"/>
      <c r="P1104" s="24" t="s">
        <v>3310</v>
      </c>
      <c r="Q1104" s="24" t="s">
        <v>942</v>
      </c>
      <c r="R1104" s="73" t="s">
        <v>95</v>
      </c>
      <c r="S1104" s="0" t="n">
        <f aca="false">IF(Recherche!$B$4="",0,IF(ISNUMBER(SEARCH(Recherche!$B$4,D1104))+ISNUMBER(SEARCH(Recherche!$B$4,K1104))&gt;0,1,0))</f>
        <v>0</v>
      </c>
      <c r="T1104" s="0" t="str">
        <f aca="false">IF(S1104=1,SUM($S$2:S1104),"")</f>
        <v/>
      </c>
    </row>
    <row r="1105" customFormat="false" ht="23.85" hidden="false" customHeight="false" outlineLevel="0" collapsed="false">
      <c r="A1105" s="20" t="s">
        <v>3549</v>
      </c>
      <c r="B1105" s="20" t="s">
        <v>71</v>
      </c>
      <c r="C1105" s="20" t="s">
        <v>3534</v>
      </c>
      <c r="D1105" s="19" t="s">
        <v>3355</v>
      </c>
      <c r="E1105" s="22" t="s">
        <v>91</v>
      </c>
      <c r="F1105" s="20" t="s">
        <v>3309</v>
      </c>
      <c r="G1105" s="20" t="s">
        <v>939</v>
      </c>
      <c r="H1105" s="21" t="n">
        <v>0.8</v>
      </c>
      <c r="I1105" s="22"/>
      <c r="J1105" s="22"/>
      <c r="K1105" s="19" t="s">
        <v>3356</v>
      </c>
      <c r="L1105" s="20"/>
      <c r="M1105" s="20"/>
      <c r="N1105" s="22" t="s">
        <v>91</v>
      </c>
      <c r="O1105" s="20"/>
      <c r="P1105" s="20" t="s">
        <v>3310</v>
      </c>
      <c r="Q1105" s="20" t="s">
        <v>942</v>
      </c>
      <c r="R1105" s="76" t="s">
        <v>95</v>
      </c>
      <c r="S1105" s="0" t="n">
        <f aca="false">IF(Recherche!$B$4="",0,IF(ISNUMBER(SEARCH(Recherche!$B$4,D1105))+ISNUMBER(SEARCH(Recherche!$B$4,K1105))&gt;0,1,0))</f>
        <v>0</v>
      </c>
      <c r="T1105" s="0" t="str">
        <f aca="false">IF(S1105=1,SUM($S$2:S1105),"")</f>
        <v/>
      </c>
    </row>
    <row r="1106" customFormat="false" ht="23.85" hidden="false" customHeight="false" outlineLevel="0" collapsed="false">
      <c r="A1106" s="24" t="s">
        <v>3550</v>
      </c>
      <c r="B1106" s="24" t="s">
        <v>71</v>
      </c>
      <c r="C1106" s="24" t="s">
        <v>3534</v>
      </c>
      <c r="D1106" s="23" t="s">
        <v>3551</v>
      </c>
      <c r="E1106" s="26" t="s">
        <v>91</v>
      </c>
      <c r="F1106" s="24" t="s">
        <v>3309</v>
      </c>
      <c r="G1106" s="24" t="s">
        <v>939</v>
      </c>
      <c r="H1106" s="25" t="n">
        <v>12.6</v>
      </c>
      <c r="I1106" s="26"/>
      <c r="J1106" s="26"/>
      <c r="K1106" s="23" t="s">
        <v>3552</v>
      </c>
      <c r="L1106" s="24"/>
      <c r="M1106" s="24"/>
      <c r="N1106" s="26" t="s">
        <v>91</v>
      </c>
      <c r="O1106" s="24"/>
      <c r="P1106" s="24" t="s">
        <v>3310</v>
      </c>
      <c r="Q1106" s="24" t="s">
        <v>942</v>
      </c>
      <c r="R1106" s="73" t="s">
        <v>95</v>
      </c>
      <c r="S1106" s="0" t="n">
        <f aca="false">IF(Recherche!$B$4="",0,IF(ISNUMBER(SEARCH(Recherche!$B$4,D1106))+ISNUMBER(SEARCH(Recherche!$B$4,K1106))&gt;0,1,0))</f>
        <v>0</v>
      </c>
      <c r="T1106" s="0" t="str">
        <f aca="false">IF(S1106=1,SUM($S$2:S1106),"")</f>
        <v/>
      </c>
    </row>
    <row r="1107" customFormat="false" ht="23.85" hidden="false" customHeight="false" outlineLevel="0" collapsed="false">
      <c r="A1107" s="20" t="s">
        <v>3553</v>
      </c>
      <c r="B1107" s="20" t="s">
        <v>71</v>
      </c>
      <c r="C1107" s="20" t="s">
        <v>3534</v>
      </c>
      <c r="D1107" s="19" t="s">
        <v>3554</v>
      </c>
      <c r="E1107" s="22" t="s">
        <v>91</v>
      </c>
      <c r="F1107" s="20" t="s">
        <v>3309</v>
      </c>
      <c r="G1107" s="20" t="s">
        <v>939</v>
      </c>
      <c r="H1107" s="21" t="n">
        <v>21.28</v>
      </c>
      <c r="I1107" s="22"/>
      <c r="J1107" s="22"/>
      <c r="K1107" s="19" t="s">
        <v>3555</v>
      </c>
      <c r="L1107" s="20"/>
      <c r="M1107" s="20"/>
      <c r="N1107" s="22" t="s">
        <v>91</v>
      </c>
      <c r="O1107" s="20"/>
      <c r="P1107" s="20" t="s">
        <v>3310</v>
      </c>
      <c r="Q1107" s="20" t="s">
        <v>942</v>
      </c>
      <c r="R1107" s="76" t="s">
        <v>95</v>
      </c>
      <c r="S1107" s="0" t="n">
        <f aca="false">IF(Recherche!$B$4="",0,IF(ISNUMBER(SEARCH(Recherche!$B$4,D1107))+ISNUMBER(SEARCH(Recherche!$B$4,K1107))&gt;0,1,0))</f>
        <v>0</v>
      </c>
      <c r="T1107" s="0" t="str">
        <f aca="false">IF(S1107=1,SUM($S$2:S1107),"")</f>
        <v/>
      </c>
    </row>
    <row r="1108" customFormat="false" ht="23.85" hidden="false" customHeight="false" outlineLevel="0" collapsed="false">
      <c r="A1108" s="24" t="s">
        <v>3556</v>
      </c>
      <c r="B1108" s="24" t="s">
        <v>71</v>
      </c>
      <c r="C1108" s="24" t="s">
        <v>3534</v>
      </c>
      <c r="D1108" s="23" t="s">
        <v>3557</v>
      </c>
      <c r="E1108" s="26" t="s">
        <v>91</v>
      </c>
      <c r="F1108" s="24" t="s">
        <v>3309</v>
      </c>
      <c r="G1108" s="24" t="s">
        <v>939</v>
      </c>
      <c r="H1108" s="25" t="n">
        <v>7.52</v>
      </c>
      <c r="I1108" s="26"/>
      <c r="J1108" s="26"/>
      <c r="K1108" s="23" t="s">
        <v>3557</v>
      </c>
      <c r="L1108" s="24"/>
      <c r="M1108" s="24"/>
      <c r="N1108" s="26" t="s">
        <v>91</v>
      </c>
      <c r="O1108" s="24"/>
      <c r="P1108" s="24" t="s">
        <v>3310</v>
      </c>
      <c r="Q1108" s="24" t="s">
        <v>942</v>
      </c>
      <c r="R1108" s="73" t="s">
        <v>95</v>
      </c>
      <c r="S1108" s="0" t="n">
        <f aca="false">IF(Recherche!$B$4="",0,IF(ISNUMBER(SEARCH(Recherche!$B$4,D1108))+ISNUMBER(SEARCH(Recherche!$B$4,K1108))&gt;0,1,0))</f>
        <v>0</v>
      </c>
      <c r="T1108" s="0" t="str">
        <f aca="false">IF(S1108=1,SUM($S$2:S1108),"")</f>
        <v/>
      </c>
    </row>
    <row r="1109" customFormat="false" ht="23.85" hidden="false" customHeight="false" outlineLevel="0" collapsed="false">
      <c r="A1109" s="20" t="s">
        <v>3558</v>
      </c>
      <c r="B1109" s="20" t="s">
        <v>71</v>
      </c>
      <c r="C1109" s="20" t="s">
        <v>3534</v>
      </c>
      <c r="D1109" s="19" t="s">
        <v>3559</v>
      </c>
      <c r="E1109" s="22" t="s">
        <v>91</v>
      </c>
      <c r="F1109" s="20" t="s">
        <v>3309</v>
      </c>
      <c r="G1109" s="20" t="s">
        <v>939</v>
      </c>
      <c r="H1109" s="21" t="n">
        <v>66.03</v>
      </c>
      <c r="I1109" s="22"/>
      <c r="J1109" s="22"/>
      <c r="K1109" s="19" t="s">
        <v>3560</v>
      </c>
      <c r="L1109" s="20"/>
      <c r="M1109" s="20"/>
      <c r="N1109" s="22" t="s">
        <v>91</v>
      </c>
      <c r="O1109" s="20"/>
      <c r="P1109" s="20" t="s">
        <v>3310</v>
      </c>
      <c r="Q1109" s="20" t="s">
        <v>942</v>
      </c>
      <c r="R1109" s="76" t="s">
        <v>95</v>
      </c>
      <c r="S1109" s="0" t="n">
        <f aca="false">IF(Recherche!$B$4="",0,IF(ISNUMBER(SEARCH(Recherche!$B$4,D1109))+ISNUMBER(SEARCH(Recherche!$B$4,K1109))&gt;0,1,0))</f>
        <v>0</v>
      </c>
      <c r="T1109" s="0" t="str">
        <f aca="false">IF(S1109=1,SUM($S$2:S1109),"")</f>
        <v/>
      </c>
    </row>
    <row r="1110" customFormat="false" ht="23.85" hidden="false" customHeight="false" outlineLevel="0" collapsed="false">
      <c r="A1110" s="24" t="s">
        <v>3561</v>
      </c>
      <c r="B1110" s="24" t="s">
        <v>71</v>
      </c>
      <c r="C1110" s="24" t="s">
        <v>3534</v>
      </c>
      <c r="D1110" s="23" t="s">
        <v>3562</v>
      </c>
      <c r="E1110" s="26" t="s">
        <v>91</v>
      </c>
      <c r="F1110" s="24" t="s">
        <v>3309</v>
      </c>
      <c r="G1110" s="24" t="s">
        <v>939</v>
      </c>
      <c r="H1110" s="25" t="n">
        <v>57.69</v>
      </c>
      <c r="I1110" s="26"/>
      <c r="J1110" s="26"/>
      <c r="K1110" s="23" t="s">
        <v>3563</v>
      </c>
      <c r="L1110" s="24"/>
      <c r="M1110" s="24"/>
      <c r="N1110" s="26" t="s">
        <v>91</v>
      </c>
      <c r="O1110" s="24"/>
      <c r="P1110" s="24" t="s">
        <v>3310</v>
      </c>
      <c r="Q1110" s="24" t="s">
        <v>942</v>
      </c>
      <c r="R1110" s="73" t="s">
        <v>95</v>
      </c>
      <c r="S1110" s="0" t="n">
        <f aca="false">IF(Recherche!$B$4="",0,IF(ISNUMBER(SEARCH(Recherche!$B$4,D1110))+ISNUMBER(SEARCH(Recherche!$B$4,K1110))&gt;0,1,0))</f>
        <v>0</v>
      </c>
      <c r="T1110" s="0" t="str">
        <f aca="false">IF(S1110=1,SUM($S$2:S1110),"")</f>
        <v/>
      </c>
    </row>
    <row r="1111" customFormat="false" ht="23.85" hidden="false" customHeight="false" outlineLevel="0" collapsed="false">
      <c r="A1111" s="20" t="s">
        <v>3564</v>
      </c>
      <c r="B1111" s="20" t="s">
        <v>71</v>
      </c>
      <c r="C1111" s="20" t="s">
        <v>3534</v>
      </c>
      <c r="D1111" s="19" t="s">
        <v>3547</v>
      </c>
      <c r="E1111" s="22" t="s">
        <v>91</v>
      </c>
      <c r="F1111" s="20" t="s">
        <v>3309</v>
      </c>
      <c r="G1111" s="20" t="s">
        <v>939</v>
      </c>
      <c r="H1111" s="21" t="n">
        <v>91.5</v>
      </c>
      <c r="I1111" s="22"/>
      <c r="J1111" s="22"/>
      <c r="K1111" s="19" t="s">
        <v>3565</v>
      </c>
      <c r="L1111" s="20"/>
      <c r="M1111" s="20"/>
      <c r="N1111" s="22" t="s">
        <v>91</v>
      </c>
      <c r="O1111" s="20"/>
      <c r="P1111" s="20" t="s">
        <v>3310</v>
      </c>
      <c r="Q1111" s="20" t="s">
        <v>942</v>
      </c>
      <c r="R1111" s="76" t="s">
        <v>95</v>
      </c>
      <c r="S1111" s="0" t="n">
        <f aca="false">IF(Recherche!$B$4="",0,IF(ISNUMBER(SEARCH(Recherche!$B$4,D1111))+ISNUMBER(SEARCH(Recherche!$B$4,K1111))&gt;0,1,0))</f>
        <v>0</v>
      </c>
      <c r="T1111" s="0" t="str">
        <f aca="false">IF(S1111=1,SUM($S$2:S1111),"")</f>
        <v/>
      </c>
    </row>
    <row r="1112" customFormat="false" ht="23.85" hidden="false" customHeight="false" outlineLevel="0" collapsed="false">
      <c r="A1112" s="24" t="s">
        <v>3566</v>
      </c>
      <c r="B1112" s="24" t="s">
        <v>71</v>
      </c>
      <c r="C1112" s="24" t="s">
        <v>3534</v>
      </c>
      <c r="D1112" s="23" t="s">
        <v>3567</v>
      </c>
      <c r="E1112" s="26" t="s">
        <v>91</v>
      </c>
      <c r="F1112" s="24" t="s">
        <v>3309</v>
      </c>
      <c r="G1112" s="24" t="s">
        <v>939</v>
      </c>
      <c r="H1112" s="25" t="n">
        <v>49.1</v>
      </c>
      <c r="I1112" s="26"/>
      <c r="J1112" s="26"/>
      <c r="K1112" s="23" t="s">
        <v>3568</v>
      </c>
      <c r="L1112" s="24"/>
      <c r="M1112" s="24"/>
      <c r="N1112" s="26" t="s">
        <v>91</v>
      </c>
      <c r="O1112" s="24"/>
      <c r="P1112" s="24" t="s">
        <v>3310</v>
      </c>
      <c r="Q1112" s="24" t="s">
        <v>942</v>
      </c>
      <c r="R1112" s="73" t="s">
        <v>95</v>
      </c>
      <c r="S1112" s="0" t="n">
        <f aca="false">IF(Recherche!$B$4="",0,IF(ISNUMBER(SEARCH(Recherche!$B$4,D1112))+ISNUMBER(SEARCH(Recherche!$B$4,K1112))&gt;0,1,0))</f>
        <v>0</v>
      </c>
      <c r="T1112" s="0" t="str">
        <f aca="false">IF(S1112=1,SUM($S$2:S1112),"")</f>
        <v/>
      </c>
    </row>
    <row r="1113" customFormat="false" ht="23.85" hidden="false" customHeight="false" outlineLevel="0" collapsed="false">
      <c r="A1113" s="20" t="s">
        <v>3569</v>
      </c>
      <c r="B1113" s="20" t="s">
        <v>71</v>
      </c>
      <c r="C1113" s="20" t="s">
        <v>3534</v>
      </c>
      <c r="D1113" s="19" t="s">
        <v>3570</v>
      </c>
      <c r="E1113" s="22" t="s">
        <v>91</v>
      </c>
      <c r="F1113" s="20" t="s">
        <v>3309</v>
      </c>
      <c r="G1113" s="20" t="s">
        <v>939</v>
      </c>
      <c r="H1113" s="21" t="n">
        <v>38.41</v>
      </c>
      <c r="I1113" s="22"/>
      <c r="J1113" s="22"/>
      <c r="K1113" s="19" t="s">
        <v>3571</v>
      </c>
      <c r="L1113" s="20"/>
      <c r="M1113" s="20"/>
      <c r="N1113" s="22" t="s">
        <v>91</v>
      </c>
      <c r="O1113" s="20"/>
      <c r="P1113" s="20" t="s">
        <v>3310</v>
      </c>
      <c r="Q1113" s="20" t="s">
        <v>942</v>
      </c>
      <c r="R1113" s="76" t="s">
        <v>95</v>
      </c>
      <c r="S1113" s="0" t="n">
        <f aca="false">IF(Recherche!$B$4="",0,IF(ISNUMBER(SEARCH(Recherche!$B$4,D1113))+ISNUMBER(SEARCH(Recherche!$B$4,K1113))&gt;0,1,0))</f>
        <v>0</v>
      </c>
      <c r="T1113" s="0" t="str">
        <f aca="false">IF(S1113=1,SUM($S$2:S1113),"")</f>
        <v/>
      </c>
    </row>
    <row r="1114" customFormat="false" ht="23.85" hidden="false" customHeight="false" outlineLevel="0" collapsed="false">
      <c r="A1114" s="24" t="s">
        <v>3572</v>
      </c>
      <c r="B1114" s="24" t="s">
        <v>71</v>
      </c>
      <c r="C1114" s="24" t="s">
        <v>3534</v>
      </c>
      <c r="D1114" s="23" t="s">
        <v>3573</v>
      </c>
      <c r="E1114" s="26" t="s">
        <v>91</v>
      </c>
      <c r="F1114" s="24" t="s">
        <v>3309</v>
      </c>
      <c r="G1114" s="24" t="s">
        <v>939</v>
      </c>
      <c r="H1114" s="25" t="n">
        <v>90.82</v>
      </c>
      <c r="I1114" s="26"/>
      <c r="J1114" s="26"/>
      <c r="K1114" s="23" t="s">
        <v>3574</v>
      </c>
      <c r="L1114" s="24"/>
      <c r="M1114" s="24"/>
      <c r="N1114" s="26" t="s">
        <v>91</v>
      </c>
      <c r="O1114" s="24"/>
      <c r="P1114" s="24" t="s">
        <v>3310</v>
      </c>
      <c r="Q1114" s="24" t="s">
        <v>942</v>
      </c>
      <c r="R1114" s="73" t="s">
        <v>95</v>
      </c>
      <c r="S1114" s="0" t="n">
        <f aca="false">IF(Recherche!$B$4="",0,IF(ISNUMBER(SEARCH(Recherche!$B$4,D1114))+ISNUMBER(SEARCH(Recherche!$B$4,K1114))&gt;0,1,0))</f>
        <v>0</v>
      </c>
      <c r="T1114" s="0" t="str">
        <f aca="false">IF(S1114=1,SUM($S$2:S1114),"")</f>
        <v/>
      </c>
    </row>
    <row r="1115" customFormat="false" ht="23.85" hidden="false" customHeight="false" outlineLevel="0" collapsed="false">
      <c r="A1115" s="20" t="s">
        <v>3575</v>
      </c>
      <c r="B1115" s="20" t="s">
        <v>71</v>
      </c>
      <c r="C1115" s="20" t="s">
        <v>3534</v>
      </c>
      <c r="D1115" s="19" t="s">
        <v>3576</v>
      </c>
      <c r="E1115" s="22" t="s">
        <v>91</v>
      </c>
      <c r="F1115" s="20" t="s">
        <v>3309</v>
      </c>
      <c r="G1115" s="20" t="s">
        <v>939</v>
      </c>
      <c r="H1115" s="21" t="n">
        <v>27.62</v>
      </c>
      <c r="I1115" s="22"/>
      <c r="J1115" s="22"/>
      <c r="K1115" s="19" t="s">
        <v>3577</v>
      </c>
      <c r="L1115" s="20"/>
      <c r="M1115" s="20"/>
      <c r="N1115" s="22" t="s">
        <v>91</v>
      </c>
      <c r="O1115" s="20"/>
      <c r="P1115" s="20" t="s">
        <v>3310</v>
      </c>
      <c r="Q1115" s="20" t="s">
        <v>942</v>
      </c>
      <c r="R1115" s="76" t="s">
        <v>95</v>
      </c>
      <c r="S1115" s="0" t="n">
        <f aca="false">IF(Recherche!$B$4="",0,IF(ISNUMBER(SEARCH(Recherche!$B$4,D1115))+ISNUMBER(SEARCH(Recherche!$B$4,K1115))&gt;0,1,0))</f>
        <v>0</v>
      </c>
      <c r="T1115" s="0" t="str">
        <f aca="false">IF(S1115=1,SUM($S$2:S1115),"")</f>
        <v/>
      </c>
    </row>
    <row r="1116" customFormat="false" ht="23.85" hidden="false" customHeight="false" outlineLevel="0" collapsed="false">
      <c r="A1116" s="24" t="s">
        <v>3578</v>
      </c>
      <c r="B1116" s="24" t="s">
        <v>71</v>
      </c>
      <c r="C1116" s="24" t="s">
        <v>3534</v>
      </c>
      <c r="D1116" s="23" t="s">
        <v>3579</v>
      </c>
      <c r="E1116" s="26" t="s">
        <v>91</v>
      </c>
      <c r="F1116" s="24" t="s">
        <v>3309</v>
      </c>
      <c r="G1116" s="24" t="s">
        <v>939</v>
      </c>
      <c r="H1116" s="25" t="n">
        <v>66.03</v>
      </c>
      <c r="I1116" s="26"/>
      <c r="J1116" s="26"/>
      <c r="K1116" s="23" t="s">
        <v>3580</v>
      </c>
      <c r="L1116" s="24"/>
      <c r="M1116" s="24"/>
      <c r="N1116" s="26" t="s">
        <v>91</v>
      </c>
      <c r="O1116" s="24"/>
      <c r="P1116" s="24" t="s">
        <v>3310</v>
      </c>
      <c r="Q1116" s="24" t="s">
        <v>942</v>
      </c>
      <c r="R1116" s="73" t="s">
        <v>95</v>
      </c>
      <c r="S1116" s="0" t="n">
        <f aca="false">IF(Recherche!$B$4="",0,IF(ISNUMBER(SEARCH(Recherche!$B$4,D1116))+ISNUMBER(SEARCH(Recherche!$B$4,K1116))&gt;0,1,0))</f>
        <v>0</v>
      </c>
      <c r="T1116" s="0" t="str">
        <f aca="false">IF(S1116=1,SUM($S$2:S1116),"")</f>
        <v/>
      </c>
    </row>
    <row r="1117" customFormat="false" ht="15" hidden="false" customHeight="false" outlineLevel="0" collapsed="false">
      <c r="A1117" s="20" t="s">
        <v>3581</v>
      </c>
      <c r="B1117" s="20" t="s">
        <v>71</v>
      </c>
      <c r="C1117" s="20" t="s">
        <v>3534</v>
      </c>
      <c r="D1117" s="19" t="s">
        <v>3582</v>
      </c>
      <c r="E1117" s="22" t="s">
        <v>91</v>
      </c>
      <c r="F1117" s="20" t="s">
        <v>3309</v>
      </c>
      <c r="G1117" s="20" t="s">
        <v>939</v>
      </c>
      <c r="H1117" s="21" t="n">
        <v>6</v>
      </c>
      <c r="I1117" s="22"/>
      <c r="J1117" s="22"/>
      <c r="K1117" s="19" t="s">
        <v>3582</v>
      </c>
      <c r="L1117" s="20"/>
      <c r="M1117" s="20"/>
      <c r="N1117" s="22" t="s">
        <v>91</v>
      </c>
      <c r="O1117" s="20"/>
      <c r="P1117" s="20" t="s">
        <v>3310</v>
      </c>
      <c r="Q1117" s="20" t="s">
        <v>942</v>
      </c>
      <c r="R1117" s="76" t="s">
        <v>95</v>
      </c>
      <c r="S1117" s="0" t="n">
        <f aca="false">IF(Recherche!$B$4="",0,IF(ISNUMBER(SEARCH(Recherche!$B$4,D1117))+ISNUMBER(SEARCH(Recherche!$B$4,K1117))&gt;0,1,0))</f>
        <v>0</v>
      </c>
      <c r="T1117" s="0" t="str">
        <f aca="false">IF(S1117=1,SUM($S$2:S1117),"")</f>
        <v/>
      </c>
    </row>
    <row r="1118" customFormat="false" ht="15" hidden="false" customHeight="false" outlineLevel="0" collapsed="false">
      <c r="A1118" s="24" t="s">
        <v>3583</v>
      </c>
      <c r="B1118" s="24" t="s">
        <v>71</v>
      </c>
      <c r="C1118" s="24" t="s">
        <v>3584</v>
      </c>
      <c r="D1118" s="23" t="s">
        <v>3585</v>
      </c>
      <c r="E1118" s="26" t="s">
        <v>91</v>
      </c>
      <c r="F1118" s="24" t="s">
        <v>3309</v>
      </c>
      <c r="G1118" s="24" t="s">
        <v>939</v>
      </c>
      <c r="H1118" s="25" t="n">
        <v>12.34</v>
      </c>
      <c r="I1118" s="26"/>
      <c r="J1118" s="26"/>
      <c r="K1118" s="23" t="s">
        <v>3585</v>
      </c>
      <c r="L1118" s="24"/>
      <c r="M1118" s="24"/>
      <c r="N1118" s="26" t="s">
        <v>91</v>
      </c>
      <c r="O1118" s="24"/>
      <c r="P1118" s="24" t="s">
        <v>3310</v>
      </c>
      <c r="Q1118" s="24" t="s">
        <v>942</v>
      </c>
      <c r="R1118" s="73" t="s">
        <v>95</v>
      </c>
      <c r="S1118" s="0" t="n">
        <f aca="false">IF(Recherche!$B$4="",0,IF(ISNUMBER(SEARCH(Recherche!$B$4,D1118))+ISNUMBER(SEARCH(Recherche!$B$4,K1118))&gt;0,1,0))</f>
        <v>0</v>
      </c>
      <c r="T1118" s="0" t="str">
        <f aca="false">IF(S1118=1,SUM($S$2:S1118),"")</f>
        <v/>
      </c>
    </row>
    <row r="1119" customFormat="false" ht="23.85" hidden="false" customHeight="false" outlineLevel="0" collapsed="false">
      <c r="A1119" s="20" t="s">
        <v>3586</v>
      </c>
      <c r="B1119" s="20" t="s">
        <v>71</v>
      </c>
      <c r="C1119" s="20" t="s">
        <v>3584</v>
      </c>
      <c r="D1119" s="19" t="s">
        <v>3587</v>
      </c>
      <c r="E1119" s="22" t="s">
        <v>91</v>
      </c>
      <c r="F1119" s="20" t="s">
        <v>3309</v>
      </c>
      <c r="G1119" s="20" t="s">
        <v>939</v>
      </c>
      <c r="H1119" s="21" t="n">
        <v>12.34</v>
      </c>
      <c r="I1119" s="22"/>
      <c r="J1119" s="22"/>
      <c r="K1119" s="19" t="s">
        <v>3587</v>
      </c>
      <c r="L1119" s="20"/>
      <c r="M1119" s="20"/>
      <c r="N1119" s="22" t="s">
        <v>91</v>
      </c>
      <c r="O1119" s="20"/>
      <c r="P1119" s="20" t="s">
        <v>3310</v>
      </c>
      <c r="Q1119" s="20" t="s">
        <v>942</v>
      </c>
      <c r="R1119" s="76" t="s">
        <v>95</v>
      </c>
      <c r="S1119" s="0" t="n">
        <f aca="false">IF(Recherche!$B$4="",0,IF(ISNUMBER(SEARCH(Recherche!$B$4,D1119))+ISNUMBER(SEARCH(Recherche!$B$4,K1119))&gt;0,1,0))</f>
        <v>0</v>
      </c>
      <c r="T1119" s="0" t="str">
        <f aca="false">IF(S1119=1,SUM($S$2:S1119),"")</f>
        <v/>
      </c>
    </row>
    <row r="1120" customFormat="false" ht="23.85" hidden="false" customHeight="false" outlineLevel="0" collapsed="false">
      <c r="A1120" s="24" t="s">
        <v>3588</v>
      </c>
      <c r="B1120" s="24" t="s">
        <v>71</v>
      </c>
      <c r="C1120" s="24" t="s">
        <v>3584</v>
      </c>
      <c r="D1120" s="23" t="s">
        <v>3589</v>
      </c>
      <c r="E1120" s="26" t="s">
        <v>91</v>
      </c>
      <c r="F1120" s="24" t="s">
        <v>3309</v>
      </c>
      <c r="G1120" s="24" t="s">
        <v>939</v>
      </c>
      <c r="H1120" s="25" t="n">
        <v>14.28</v>
      </c>
      <c r="I1120" s="26"/>
      <c r="J1120" s="26"/>
      <c r="K1120" s="23" t="s">
        <v>3590</v>
      </c>
      <c r="L1120" s="24"/>
      <c r="M1120" s="24"/>
      <c r="N1120" s="26" t="s">
        <v>91</v>
      </c>
      <c r="O1120" s="24"/>
      <c r="P1120" s="24" t="s">
        <v>3310</v>
      </c>
      <c r="Q1120" s="24" t="s">
        <v>942</v>
      </c>
      <c r="R1120" s="73" t="s">
        <v>95</v>
      </c>
      <c r="S1120" s="0" t="n">
        <f aca="false">IF(Recherche!$B$4="",0,IF(ISNUMBER(SEARCH(Recherche!$B$4,D1120))+ISNUMBER(SEARCH(Recherche!$B$4,K1120))&gt;0,1,0))</f>
        <v>0</v>
      </c>
      <c r="T1120" s="0" t="str">
        <f aca="false">IF(S1120=1,SUM($S$2:S1120),"")</f>
        <v/>
      </c>
    </row>
    <row r="1121" customFormat="false" ht="23.85" hidden="false" customHeight="false" outlineLevel="0" collapsed="false">
      <c r="A1121" s="20" t="s">
        <v>3591</v>
      </c>
      <c r="B1121" s="20" t="s">
        <v>71</v>
      </c>
      <c r="C1121" s="20" t="s">
        <v>3584</v>
      </c>
      <c r="D1121" s="19" t="s">
        <v>3592</v>
      </c>
      <c r="E1121" s="22" t="s">
        <v>91</v>
      </c>
      <c r="F1121" s="20" t="s">
        <v>3309</v>
      </c>
      <c r="G1121" s="20" t="s">
        <v>939</v>
      </c>
      <c r="H1121" s="21" t="n">
        <v>9.76</v>
      </c>
      <c r="I1121" s="22"/>
      <c r="J1121" s="22"/>
      <c r="K1121" s="19" t="s">
        <v>3592</v>
      </c>
      <c r="L1121" s="20"/>
      <c r="M1121" s="20"/>
      <c r="N1121" s="22" t="s">
        <v>91</v>
      </c>
      <c r="O1121" s="20"/>
      <c r="P1121" s="20" t="s">
        <v>3310</v>
      </c>
      <c r="Q1121" s="20" t="s">
        <v>942</v>
      </c>
      <c r="R1121" s="76" t="s">
        <v>95</v>
      </c>
      <c r="S1121" s="0" t="n">
        <f aca="false">IF(Recherche!$B$4="",0,IF(ISNUMBER(SEARCH(Recherche!$B$4,D1121))+ISNUMBER(SEARCH(Recherche!$B$4,K1121))&gt;0,1,0))</f>
        <v>0</v>
      </c>
      <c r="T1121" s="0" t="str">
        <f aca="false">IF(S1121=1,SUM($S$2:S1121),"")</f>
        <v/>
      </c>
    </row>
    <row r="1122" customFormat="false" ht="23.85" hidden="false" customHeight="false" outlineLevel="0" collapsed="false">
      <c r="A1122" s="24" t="s">
        <v>3593</v>
      </c>
      <c r="B1122" s="24" t="s">
        <v>71</v>
      </c>
      <c r="C1122" s="24" t="s">
        <v>3584</v>
      </c>
      <c r="D1122" s="23" t="s">
        <v>3594</v>
      </c>
      <c r="E1122" s="26" t="s">
        <v>91</v>
      </c>
      <c r="F1122" s="24" t="s">
        <v>3309</v>
      </c>
      <c r="G1122" s="24" t="s">
        <v>939</v>
      </c>
      <c r="H1122" s="25" t="n">
        <v>3.99</v>
      </c>
      <c r="I1122" s="26"/>
      <c r="J1122" s="26"/>
      <c r="K1122" s="23" t="s">
        <v>3595</v>
      </c>
      <c r="L1122" s="24"/>
      <c r="M1122" s="24"/>
      <c r="N1122" s="26" t="s">
        <v>91</v>
      </c>
      <c r="O1122" s="24"/>
      <c r="P1122" s="24" t="s">
        <v>3310</v>
      </c>
      <c r="Q1122" s="24" t="s">
        <v>942</v>
      </c>
      <c r="R1122" s="73" t="s">
        <v>95</v>
      </c>
      <c r="S1122" s="0" t="n">
        <f aca="false">IF(Recherche!$B$4="",0,IF(ISNUMBER(SEARCH(Recherche!$B$4,D1122))+ISNUMBER(SEARCH(Recherche!$B$4,K1122))&gt;0,1,0))</f>
        <v>0</v>
      </c>
      <c r="T1122" s="0" t="str">
        <f aca="false">IF(S1122=1,SUM($S$2:S1122),"")</f>
        <v/>
      </c>
    </row>
    <row r="1123" customFormat="false" ht="23.85" hidden="false" customHeight="false" outlineLevel="0" collapsed="false">
      <c r="A1123" s="20" t="s">
        <v>3596</v>
      </c>
      <c r="B1123" s="20" t="s">
        <v>71</v>
      </c>
      <c r="C1123" s="20" t="s">
        <v>3597</v>
      </c>
      <c r="D1123" s="19" t="s">
        <v>3598</v>
      </c>
      <c r="E1123" s="22" t="s">
        <v>91</v>
      </c>
      <c r="F1123" s="20" t="s">
        <v>3309</v>
      </c>
      <c r="G1123" s="20" t="s">
        <v>939</v>
      </c>
      <c r="H1123" s="21" t="n">
        <v>15.55</v>
      </c>
      <c r="I1123" s="22"/>
      <c r="J1123" s="22"/>
      <c r="K1123" s="19" t="s">
        <v>3598</v>
      </c>
      <c r="L1123" s="20"/>
      <c r="M1123" s="20"/>
      <c r="N1123" s="22" t="s">
        <v>91</v>
      </c>
      <c r="O1123" s="20"/>
      <c r="P1123" s="20" t="s">
        <v>3310</v>
      </c>
      <c r="Q1123" s="20" t="s">
        <v>942</v>
      </c>
      <c r="R1123" s="76" t="s">
        <v>95</v>
      </c>
      <c r="S1123" s="0" t="n">
        <f aca="false">IF(Recherche!$B$4="",0,IF(ISNUMBER(SEARCH(Recherche!$B$4,D1123))+ISNUMBER(SEARCH(Recherche!$B$4,K1123))&gt;0,1,0))</f>
        <v>0</v>
      </c>
      <c r="T1123" s="0" t="str">
        <f aca="false">IF(S1123=1,SUM($S$2:S1123),"")</f>
        <v/>
      </c>
    </row>
    <row r="1124" customFormat="false" ht="23.85" hidden="false" customHeight="false" outlineLevel="0" collapsed="false">
      <c r="A1124" s="24" t="s">
        <v>3599</v>
      </c>
      <c r="B1124" s="24" t="s">
        <v>71</v>
      </c>
      <c r="C1124" s="24" t="s">
        <v>3597</v>
      </c>
      <c r="D1124" s="23" t="s">
        <v>3600</v>
      </c>
      <c r="E1124" s="26" t="s">
        <v>91</v>
      </c>
      <c r="F1124" s="24" t="s">
        <v>3309</v>
      </c>
      <c r="G1124" s="24" t="s">
        <v>939</v>
      </c>
      <c r="H1124" s="25" t="n">
        <v>31.15</v>
      </c>
      <c r="I1124" s="26"/>
      <c r="J1124" s="26"/>
      <c r="K1124" s="23" t="s">
        <v>3600</v>
      </c>
      <c r="L1124" s="24"/>
      <c r="M1124" s="24"/>
      <c r="N1124" s="26" t="s">
        <v>91</v>
      </c>
      <c r="O1124" s="24"/>
      <c r="P1124" s="24" t="s">
        <v>3310</v>
      </c>
      <c r="Q1124" s="24" t="s">
        <v>942</v>
      </c>
      <c r="R1124" s="73" t="s">
        <v>95</v>
      </c>
      <c r="S1124" s="0" t="n">
        <f aca="false">IF(Recherche!$B$4="",0,IF(ISNUMBER(SEARCH(Recherche!$B$4,D1124))+ISNUMBER(SEARCH(Recherche!$B$4,K1124))&gt;0,1,0))</f>
        <v>0</v>
      </c>
      <c r="T1124" s="0" t="str">
        <f aca="false">IF(S1124=1,SUM($S$2:S1124),"")</f>
        <v/>
      </c>
    </row>
    <row r="1125" customFormat="false" ht="23.85" hidden="false" customHeight="false" outlineLevel="0" collapsed="false">
      <c r="A1125" s="20" t="s">
        <v>3601</v>
      </c>
      <c r="B1125" s="20" t="s">
        <v>71</v>
      </c>
      <c r="C1125" s="20" t="s">
        <v>3597</v>
      </c>
      <c r="D1125" s="19" t="s">
        <v>3602</v>
      </c>
      <c r="E1125" s="22" t="s">
        <v>91</v>
      </c>
      <c r="F1125" s="20" t="s">
        <v>3309</v>
      </c>
      <c r="G1125" s="20" t="s">
        <v>939</v>
      </c>
      <c r="H1125" s="21" t="n">
        <v>13.79</v>
      </c>
      <c r="I1125" s="22"/>
      <c r="J1125" s="22"/>
      <c r="K1125" s="19" t="s">
        <v>3603</v>
      </c>
      <c r="L1125" s="20"/>
      <c r="M1125" s="20"/>
      <c r="N1125" s="22" t="s">
        <v>91</v>
      </c>
      <c r="O1125" s="20"/>
      <c r="P1125" s="20" t="s">
        <v>3310</v>
      </c>
      <c r="Q1125" s="20" t="s">
        <v>942</v>
      </c>
      <c r="R1125" s="76" t="s">
        <v>95</v>
      </c>
      <c r="S1125" s="0" t="n">
        <f aca="false">IF(Recherche!$B$4="",0,IF(ISNUMBER(SEARCH(Recherche!$B$4,D1125))+ISNUMBER(SEARCH(Recherche!$B$4,K1125))&gt;0,1,0))</f>
        <v>0</v>
      </c>
      <c r="T1125" s="0" t="str">
        <f aca="false">IF(S1125=1,SUM($S$2:S1125),"")</f>
        <v/>
      </c>
    </row>
    <row r="1126" customFormat="false" ht="23.85" hidden="false" customHeight="false" outlineLevel="0" collapsed="false">
      <c r="A1126" s="24" t="s">
        <v>3604</v>
      </c>
      <c r="B1126" s="24" t="s">
        <v>71</v>
      </c>
      <c r="C1126" s="24" t="s">
        <v>3597</v>
      </c>
      <c r="D1126" s="23" t="s">
        <v>3605</v>
      </c>
      <c r="E1126" s="26" t="s">
        <v>91</v>
      </c>
      <c r="F1126" s="24" t="s">
        <v>3309</v>
      </c>
      <c r="G1126" s="24" t="s">
        <v>939</v>
      </c>
      <c r="H1126" s="25" t="n">
        <v>20.58</v>
      </c>
      <c r="I1126" s="26"/>
      <c r="J1126" s="26"/>
      <c r="K1126" s="23" t="s">
        <v>3606</v>
      </c>
      <c r="L1126" s="24"/>
      <c r="M1126" s="24"/>
      <c r="N1126" s="26" t="s">
        <v>91</v>
      </c>
      <c r="O1126" s="24"/>
      <c r="P1126" s="24" t="s">
        <v>3310</v>
      </c>
      <c r="Q1126" s="24" t="s">
        <v>942</v>
      </c>
      <c r="R1126" s="73" t="s">
        <v>95</v>
      </c>
      <c r="S1126" s="0" t="n">
        <f aca="false">IF(Recherche!$B$4="",0,IF(ISNUMBER(SEARCH(Recherche!$B$4,D1126))+ISNUMBER(SEARCH(Recherche!$B$4,K1126))&gt;0,1,0))</f>
        <v>0</v>
      </c>
      <c r="T1126" s="0" t="str">
        <f aca="false">IF(S1126=1,SUM($S$2:S1126),"")</f>
        <v/>
      </c>
    </row>
    <row r="1127" customFormat="false" ht="23.85" hidden="false" customHeight="false" outlineLevel="0" collapsed="false">
      <c r="A1127" s="20" t="s">
        <v>3607</v>
      </c>
      <c r="B1127" s="20" t="s">
        <v>71</v>
      </c>
      <c r="C1127" s="20" t="s">
        <v>3597</v>
      </c>
      <c r="D1127" s="19" t="s">
        <v>3608</v>
      </c>
      <c r="E1127" s="22" t="s">
        <v>91</v>
      </c>
      <c r="F1127" s="20" t="s">
        <v>3309</v>
      </c>
      <c r="G1127" s="20" t="s">
        <v>939</v>
      </c>
      <c r="H1127" s="21" t="n">
        <v>199.99</v>
      </c>
      <c r="I1127" s="22"/>
      <c r="J1127" s="22"/>
      <c r="K1127" s="19" t="s">
        <v>3608</v>
      </c>
      <c r="L1127" s="20"/>
      <c r="M1127" s="20"/>
      <c r="N1127" s="22" t="s">
        <v>91</v>
      </c>
      <c r="O1127" s="20"/>
      <c r="P1127" s="20" t="s">
        <v>3310</v>
      </c>
      <c r="Q1127" s="20" t="s">
        <v>942</v>
      </c>
      <c r="R1127" s="76" t="s">
        <v>95</v>
      </c>
      <c r="S1127" s="0" t="n">
        <f aca="false">IF(Recherche!$B$4="",0,IF(ISNUMBER(SEARCH(Recherche!$B$4,D1127))+ISNUMBER(SEARCH(Recherche!$B$4,K1127))&gt;0,1,0))</f>
        <v>0</v>
      </c>
      <c r="T1127" s="0" t="str">
        <f aca="false">IF(S1127=1,SUM($S$2:S1127),"")</f>
        <v/>
      </c>
    </row>
    <row r="1128" customFormat="false" ht="23.85" hidden="false" customHeight="false" outlineLevel="0" collapsed="false">
      <c r="A1128" s="24" t="s">
        <v>3609</v>
      </c>
      <c r="B1128" s="24" t="s">
        <v>71</v>
      </c>
      <c r="C1128" s="24" t="s">
        <v>3597</v>
      </c>
      <c r="D1128" s="23" t="s">
        <v>3610</v>
      </c>
      <c r="E1128" s="26" t="s">
        <v>91</v>
      </c>
      <c r="F1128" s="24" t="s">
        <v>3309</v>
      </c>
      <c r="G1128" s="24" t="s">
        <v>939</v>
      </c>
      <c r="H1128" s="25" t="n">
        <v>184.99</v>
      </c>
      <c r="I1128" s="26"/>
      <c r="J1128" s="26"/>
      <c r="K1128" s="23" t="s">
        <v>3610</v>
      </c>
      <c r="L1128" s="24"/>
      <c r="M1128" s="24"/>
      <c r="N1128" s="26" t="s">
        <v>91</v>
      </c>
      <c r="O1128" s="24"/>
      <c r="P1128" s="24" t="s">
        <v>3310</v>
      </c>
      <c r="Q1128" s="24" t="s">
        <v>942</v>
      </c>
      <c r="R1128" s="73" t="s">
        <v>95</v>
      </c>
      <c r="S1128" s="0" t="n">
        <f aca="false">IF(Recherche!$B$4="",0,IF(ISNUMBER(SEARCH(Recherche!$B$4,D1128))+ISNUMBER(SEARCH(Recherche!$B$4,K1128))&gt;0,1,0))</f>
        <v>0</v>
      </c>
      <c r="T1128" s="0" t="str">
        <f aca="false">IF(S1128=1,SUM($S$2:S1128),"")</f>
        <v/>
      </c>
    </row>
    <row r="1129" customFormat="false" ht="23.85" hidden="false" customHeight="false" outlineLevel="0" collapsed="false">
      <c r="A1129" s="20" t="s">
        <v>3611</v>
      </c>
      <c r="B1129" s="20" t="s">
        <v>71</v>
      </c>
      <c r="C1129" s="20" t="s">
        <v>3612</v>
      </c>
      <c r="D1129" s="19" t="s">
        <v>3613</v>
      </c>
      <c r="E1129" s="22" t="s">
        <v>91</v>
      </c>
      <c r="F1129" s="20" t="s">
        <v>3309</v>
      </c>
      <c r="G1129" s="20" t="s">
        <v>939</v>
      </c>
      <c r="H1129" s="21" t="n">
        <v>7.09</v>
      </c>
      <c r="I1129" s="22"/>
      <c r="J1129" s="22"/>
      <c r="K1129" s="19" t="s">
        <v>3613</v>
      </c>
      <c r="L1129" s="20"/>
      <c r="M1129" s="20"/>
      <c r="N1129" s="22" t="s">
        <v>91</v>
      </c>
      <c r="O1129" s="20"/>
      <c r="P1129" s="20" t="s">
        <v>3310</v>
      </c>
      <c r="Q1129" s="20" t="s">
        <v>942</v>
      </c>
      <c r="R1129" s="76" t="s">
        <v>95</v>
      </c>
      <c r="S1129" s="0" t="n">
        <f aca="false">IF(Recherche!$B$4="",0,IF(ISNUMBER(SEARCH(Recherche!$B$4,D1129))+ISNUMBER(SEARCH(Recherche!$B$4,K1129))&gt;0,1,0))</f>
        <v>0</v>
      </c>
      <c r="T1129" s="0" t="str">
        <f aca="false">IF(S1129=1,SUM($S$2:S1129),"")</f>
        <v/>
      </c>
    </row>
    <row r="1130" customFormat="false" ht="23.85" hidden="false" customHeight="false" outlineLevel="0" collapsed="false">
      <c r="A1130" s="24" t="s">
        <v>3614</v>
      </c>
      <c r="B1130" s="24" t="s">
        <v>71</v>
      </c>
      <c r="C1130" s="24" t="s">
        <v>3612</v>
      </c>
      <c r="D1130" s="23" t="s">
        <v>3615</v>
      </c>
      <c r="E1130" s="26" t="s">
        <v>91</v>
      </c>
      <c r="F1130" s="24" t="s">
        <v>3309</v>
      </c>
      <c r="G1130" s="24" t="s">
        <v>939</v>
      </c>
      <c r="H1130" s="25" t="n">
        <v>8.18</v>
      </c>
      <c r="I1130" s="26"/>
      <c r="J1130" s="26"/>
      <c r="K1130" s="23" t="s">
        <v>3615</v>
      </c>
      <c r="L1130" s="24"/>
      <c r="M1130" s="24"/>
      <c r="N1130" s="26" t="s">
        <v>91</v>
      </c>
      <c r="O1130" s="24"/>
      <c r="P1130" s="24" t="s">
        <v>3310</v>
      </c>
      <c r="Q1130" s="24" t="s">
        <v>942</v>
      </c>
      <c r="R1130" s="73" t="s">
        <v>95</v>
      </c>
      <c r="S1130" s="0" t="n">
        <f aca="false">IF(Recherche!$B$4="",0,IF(ISNUMBER(SEARCH(Recherche!$B$4,D1130))+ISNUMBER(SEARCH(Recherche!$B$4,K1130))&gt;0,1,0))</f>
        <v>0</v>
      </c>
      <c r="T1130" s="0" t="str">
        <f aca="false">IF(S1130=1,SUM($S$2:S1130),"")</f>
        <v/>
      </c>
    </row>
    <row r="1131" customFormat="false" ht="23.85" hidden="false" customHeight="false" outlineLevel="0" collapsed="false">
      <c r="A1131" s="20" t="s">
        <v>3616</v>
      </c>
      <c r="B1131" s="20" t="s">
        <v>71</v>
      </c>
      <c r="C1131" s="20" t="s">
        <v>3612</v>
      </c>
      <c r="D1131" s="19" t="s">
        <v>3617</v>
      </c>
      <c r="E1131" s="22" t="s">
        <v>91</v>
      </c>
      <c r="F1131" s="20" t="s">
        <v>3309</v>
      </c>
      <c r="G1131" s="20" t="s">
        <v>939</v>
      </c>
      <c r="H1131" s="21" t="n">
        <v>8.99</v>
      </c>
      <c r="I1131" s="22"/>
      <c r="J1131" s="22"/>
      <c r="K1131" s="19" t="s">
        <v>3618</v>
      </c>
      <c r="L1131" s="20"/>
      <c r="M1131" s="20"/>
      <c r="N1131" s="22" t="s">
        <v>91</v>
      </c>
      <c r="O1131" s="20"/>
      <c r="P1131" s="20" t="s">
        <v>3310</v>
      </c>
      <c r="Q1131" s="20" t="s">
        <v>942</v>
      </c>
      <c r="R1131" s="76" t="s">
        <v>95</v>
      </c>
      <c r="S1131" s="0" t="n">
        <f aca="false">IF(Recherche!$B$4="",0,IF(ISNUMBER(SEARCH(Recherche!$B$4,D1131))+ISNUMBER(SEARCH(Recherche!$B$4,K1131))&gt;0,1,0))</f>
        <v>0</v>
      </c>
      <c r="T1131" s="0" t="str">
        <f aca="false">IF(S1131=1,SUM($S$2:S1131),"")</f>
        <v/>
      </c>
    </row>
    <row r="1132" customFormat="false" ht="23.85" hidden="false" customHeight="false" outlineLevel="0" collapsed="false">
      <c r="A1132" s="24" t="s">
        <v>3619</v>
      </c>
      <c r="B1132" s="24" t="s">
        <v>71</v>
      </c>
      <c r="C1132" s="24" t="s">
        <v>3620</v>
      </c>
      <c r="D1132" s="23" t="s">
        <v>3334</v>
      </c>
      <c r="E1132" s="26" t="s">
        <v>91</v>
      </c>
      <c r="F1132" s="24" t="s">
        <v>3309</v>
      </c>
      <c r="G1132" s="24" t="s">
        <v>939</v>
      </c>
      <c r="H1132" s="25" t="n">
        <v>5.05</v>
      </c>
      <c r="I1132" s="26"/>
      <c r="J1132" s="26"/>
      <c r="K1132" s="23" t="s">
        <v>3334</v>
      </c>
      <c r="L1132" s="24"/>
      <c r="M1132" s="24"/>
      <c r="N1132" s="26" t="s">
        <v>91</v>
      </c>
      <c r="O1132" s="24"/>
      <c r="P1132" s="24" t="s">
        <v>3310</v>
      </c>
      <c r="Q1132" s="24" t="s">
        <v>942</v>
      </c>
      <c r="R1132" s="73" t="s">
        <v>95</v>
      </c>
      <c r="S1132" s="0" t="n">
        <f aca="false">IF(Recherche!$B$4="",0,IF(ISNUMBER(SEARCH(Recherche!$B$4,D1132))+ISNUMBER(SEARCH(Recherche!$B$4,K1132))&gt;0,1,0))</f>
        <v>0</v>
      </c>
      <c r="T1132" s="0" t="str">
        <f aca="false">IF(S1132=1,SUM($S$2:S1132),"")</f>
        <v/>
      </c>
    </row>
    <row r="1133" customFormat="false" ht="23.85" hidden="false" customHeight="false" outlineLevel="0" collapsed="false">
      <c r="A1133" s="20" t="s">
        <v>3621</v>
      </c>
      <c r="B1133" s="20" t="s">
        <v>71</v>
      </c>
      <c r="C1133" s="20" t="s">
        <v>3620</v>
      </c>
      <c r="D1133" s="19" t="s">
        <v>3336</v>
      </c>
      <c r="E1133" s="22" t="s">
        <v>91</v>
      </c>
      <c r="F1133" s="20" t="s">
        <v>3309</v>
      </c>
      <c r="G1133" s="20" t="s">
        <v>939</v>
      </c>
      <c r="H1133" s="21" t="n">
        <v>8.04</v>
      </c>
      <c r="I1133" s="22"/>
      <c r="J1133" s="22"/>
      <c r="K1133" s="19" t="s">
        <v>3336</v>
      </c>
      <c r="L1133" s="20"/>
      <c r="M1133" s="20"/>
      <c r="N1133" s="22" t="s">
        <v>91</v>
      </c>
      <c r="O1133" s="20"/>
      <c r="P1133" s="20" t="s">
        <v>3310</v>
      </c>
      <c r="Q1133" s="20" t="s">
        <v>942</v>
      </c>
      <c r="R1133" s="76" t="s">
        <v>95</v>
      </c>
      <c r="S1133" s="0" t="n">
        <f aca="false">IF(Recherche!$B$4="",0,IF(ISNUMBER(SEARCH(Recherche!$B$4,D1133))+ISNUMBER(SEARCH(Recherche!$B$4,K1133))&gt;0,1,0))</f>
        <v>0</v>
      </c>
      <c r="T1133" s="0" t="str">
        <f aca="false">IF(S1133=1,SUM($S$2:S1133),"")</f>
        <v/>
      </c>
    </row>
    <row r="1134" customFormat="false" ht="23.85" hidden="false" customHeight="false" outlineLevel="0" collapsed="false">
      <c r="A1134" s="24" t="s">
        <v>3622</v>
      </c>
      <c r="B1134" s="24" t="s">
        <v>71</v>
      </c>
      <c r="C1134" s="24" t="s">
        <v>3620</v>
      </c>
      <c r="D1134" s="23" t="s">
        <v>3349</v>
      </c>
      <c r="E1134" s="26" t="s">
        <v>91</v>
      </c>
      <c r="F1134" s="24" t="s">
        <v>3309</v>
      </c>
      <c r="G1134" s="24" t="s">
        <v>939</v>
      </c>
      <c r="H1134" s="25" t="n">
        <v>19.2</v>
      </c>
      <c r="I1134" s="26"/>
      <c r="J1134" s="26"/>
      <c r="K1134" s="23" t="s">
        <v>3350</v>
      </c>
      <c r="L1134" s="24"/>
      <c r="M1134" s="24"/>
      <c r="N1134" s="26" t="s">
        <v>91</v>
      </c>
      <c r="O1134" s="24"/>
      <c r="P1134" s="24" t="s">
        <v>3310</v>
      </c>
      <c r="Q1134" s="24" t="s">
        <v>942</v>
      </c>
      <c r="R1134" s="73" t="s">
        <v>95</v>
      </c>
      <c r="S1134" s="0" t="n">
        <f aca="false">IF(Recherche!$B$4="",0,IF(ISNUMBER(SEARCH(Recherche!$B$4,D1134))+ISNUMBER(SEARCH(Recherche!$B$4,K1134))&gt;0,1,0))</f>
        <v>0</v>
      </c>
      <c r="T1134" s="0" t="str">
        <f aca="false">IF(S1134=1,SUM($S$2:S1134),"")</f>
        <v/>
      </c>
    </row>
    <row r="1135" customFormat="false" ht="23.85" hidden="false" customHeight="false" outlineLevel="0" collapsed="false">
      <c r="A1135" s="20" t="s">
        <v>3623</v>
      </c>
      <c r="B1135" s="20" t="s">
        <v>71</v>
      </c>
      <c r="C1135" s="20" t="s">
        <v>3620</v>
      </c>
      <c r="D1135" s="19" t="s">
        <v>3434</v>
      </c>
      <c r="E1135" s="22" t="s">
        <v>91</v>
      </c>
      <c r="F1135" s="20" t="s">
        <v>3309</v>
      </c>
      <c r="G1135" s="20" t="s">
        <v>939</v>
      </c>
      <c r="H1135" s="21" t="n">
        <v>14.67</v>
      </c>
      <c r="I1135" s="22"/>
      <c r="J1135" s="22"/>
      <c r="K1135" s="19" t="s">
        <v>3434</v>
      </c>
      <c r="L1135" s="20"/>
      <c r="M1135" s="20"/>
      <c r="N1135" s="22" t="s">
        <v>91</v>
      </c>
      <c r="O1135" s="20"/>
      <c r="P1135" s="20" t="s">
        <v>3310</v>
      </c>
      <c r="Q1135" s="20" t="s">
        <v>942</v>
      </c>
      <c r="R1135" s="76" t="s">
        <v>95</v>
      </c>
      <c r="S1135" s="0" t="n">
        <f aca="false">IF(Recherche!$B$4="",0,IF(ISNUMBER(SEARCH(Recherche!$B$4,D1135))+ISNUMBER(SEARCH(Recherche!$B$4,K1135))&gt;0,1,0))</f>
        <v>0</v>
      </c>
      <c r="T1135" s="0" t="str">
        <f aca="false">IF(S1135=1,SUM($S$2:S1135),"")</f>
        <v/>
      </c>
    </row>
    <row r="1136" customFormat="false" ht="23.85" hidden="false" customHeight="false" outlineLevel="0" collapsed="false">
      <c r="A1136" s="24" t="s">
        <v>3624</v>
      </c>
      <c r="B1136" s="24" t="s">
        <v>71</v>
      </c>
      <c r="C1136" s="24" t="s">
        <v>3620</v>
      </c>
      <c r="D1136" s="23" t="s">
        <v>3436</v>
      </c>
      <c r="E1136" s="26" t="s">
        <v>91</v>
      </c>
      <c r="F1136" s="24" t="s">
        <v>3309</v>
      </c>
      <c r="G1136" s="24" t="s">
        <v>939</v>
      </c>
      <c r="H1136" s="25" t="n">
        <v>15.55</v>
      </c>
      <c r="I1136" s="26"/>
      <c r="J1136" s="26"/>
      <c r="K1136" s="23" t="s">
        <v>3436</v>
      </c>
      <c r="L1136" s="24"/>
      <c r="M1136" s="24"/>
      <c r="N1136" s="26" t="s">
        <v>91</v>
      </c>
      <c r="O1136" s="24"/>
      <c r="P1136" s="24" t="s">
        <v>3310</v>
      </c>
      <c r="Q1136" s="24" t="s">
        <v>942</v>
      </c>
      <c r="R1136" s="73" t="s">
        <v>95</v>
      </c>
      <c r="S1136" s="0" t="n">
        <f aca="false">IF(Recherche!$B$4="",0,IF(ISNUMBER(SEARCH(Recherche!$B$4,D1136))+ISNUMBER(SEARCH(Recherche!$B$4,K1136))&gt;0,1,0))</f>
        <v>0</v>
      </c>
      <c r="T1136" s="0" t="str">
        <f aca="false">IF(S1136=1,SUM($S$2:S1136),"")</f>
        <v/>
      </c>
    </row>
    <row r="1137" customFormat="false" ht="23.85" hidden="false" customHeight="false" outlineLevel="0" collapsed="false">
      <c r="A1137" s="20" t="s">
        <v>3625</v>
      </c>
      <c r="B1137" s="20" t="s">
        <v>71</v>
      </c>
      <c r="C1137" s="20" t="s">
        <v>3620</v>
      </c>
      <c r="D1137" s="19" t="s">
        <v>3410</v>
      </c>
      <c r="E1137" s="22" t="s">
        <v>91</v>
      </c>
      <c r="F1137" s="20" t="s">
        <v>3309</v>
      </c>
      <c r="G1137" s="20" t="s">
        <v>939</v>
      </c>
      <c r="H1137" s="21" t="n">
        <v>10.55</v>
      </c>
      <c r="I1137" s="22"/>
      <c r="J1137" s="22"/>
      <c r="K1137" s="19" t="s">
        <v>3410</v>
      </c>
      <c r="L1137" s="20"/>
      <c r="M1137" s="20"/>
      <c r="N1137" s="22" t="s">
        <v>91</v>
      </c>
      <c r="O1137" s="20"/>
      <c r="P1137" s="20" t="s">
        <v>3310</v>
      </c>
      <c r="Q1137" s="20" t="s">
        <v>942</v>
      </c>
      <c r="R1137" s="76" t="s">
        <v>95</v>
      </c>
      <c r="S1137" s="0" t="n">
        <f aca="false">IF(Recherche!$B$4="",0,IF(ISNUMBER(SEARCH(Recherche!$B$4,D1137))+ISNUMBER(SEARCH(Recherche!$B$4,K1137))&gt;0,1,0))</f>
        <v>0</v>
      </c>
      <c r="T1137" s="0" t="str">
        <f aca="false">IF(S1137=1,SUM($S$2:S1137),"")</f>
        <v/>
      </c>
    </row>
    <row r="1138" customFormat="false" ht="23.85" hidden="false" customHeight="false" outlineLevel="0" collapsed="false">
      <c r="A1138" s="24" t="s">
        <v>3626</v>
      </c>
      <c r="B1138" s="24" t="s">
        <v>71</v>
      </c>
      <c r="C1138" s="24" t="s">
        <v>3620</v>
      </c>
      <c r="D1138" s="23" t="s">
        <v>3412</v>
      </c>
      <c r="E1138" s="26" t="s">
        <v>91</v>
      </c>
      <c r="F1138" s="24" t="s">
        <v>3309</v>
      </c>
      <c r="G1138" s="24" t="s">
        <v>939</v>
      </c>
      <c r="H1138" s="25" t="n">
        <v>10.95</v>
      </c>
      <c r="I1138" s="26"/>
      <c r="J1138" s="26"/>
      <c r="K1138" s="23" t="s">
        <v>3412</v>
      </c>
      <c r="L1138" s="24"/>
      <c r="M1138" s="24"/>
      <c r="N1138" s="26" t="s">
        <v>91</v>
      </c>
      <c r="O1138" s="24"/>
      <c r="P1138" s="24" t="s">
        <v>3310</v>
      </c>
      <c r="Q1138" s="24" t="s">
        <v>942</v>
      </c>
      <c r="R1138" s="73" t="s">
        <v>95</v>
      </c>
      <c r="S1138" s="0" t="n">
        <f aca="false">IF(Recherche!$B$4="",0,IF(ISNUMBER(SEARCH(Recherche!$B$4,D1138))+ISNUMBER(SEARCH(Recherche!$B$4,K1138))&gt;0,1,0))</f>
        <v>0</v>
      </c>
      <c r="T1138" s="0" t="str">
        <f aca="false">IF(S1138=1,SUM($S$2:S1138),"")</f>
        <v/>
      </c>
    </row>
    <row r="1139" customFormat="false" ht="23.85" hidden="false" customHeight="false" outlineLevel="0" collapsed="false">
      <c r="A1139" s="20" t="s">
        <v>3627</v>
      </c>
      <c r="B1139" s="20" t="s">
        <v>71</v>
      </c>
      <c r="C1139" s="20" t="s">
        <v>3620</v>
      </c>
      <c r="D1139" s="19" t="s">
        <v>3414</v>
      </c>
      <c r="E1139" s="22" t="s">
        <v>91</v>
      </c>
      <c r="F1139" s="20" t="s">
        <v>3309</v>
      </c>
      <c r="G1139" s="20" t="s">
        <v>939</v>
      </c>
      <c r="H1139" s="21" t="n">
        <v>9.86</v>
      </c>
      <c r="I1139" s="22"/>
      <c r="J1139" s="22"/>
      <c r="K1139" s="19" t="s">
        <v>3414</v>
      </c>
      <c r="L1139" s="20"/>
      <c r="M1139" s="20"/>
      <c r="N1139" s="22" t="s">
        <v>91</v>
      </c>
      <c r="O1139" s="20"/>
      <c r="P1139" s="20" t="s">
        <v>3310</v>
      </c>
      <c r="Q1139" s="20" t="s">
        <v>942</v>
      </c>
      <c r="R1139" s="76" t="s">
        <v>95</v>
      </c>
      <c r="S1139" s="0" t="n">
        <f aca="false">IF(Recherche!$B$4="",0,IF(ISNUMBER(SEARCH(Recherche!$B$4,D1139))+ISNUMBER(SEARCH(Recherche!$B$4,K1139))&gt;0,1,0))</f>
        <v>0</v>
      </c>
      <c r="T1139" s="0" t="str">
        <f aca="false">IF(S1139=1,SUM($S$2:S1139),"")</f>
        <v/>
      </c>
    </row>
    <row r="1140" customFormat="false" ht="23.85" hidden="false" customHeight="false" outlineLevel="0" collapsed="false">
      <c r="A1140" s="24" t="s">
        <v>3628</v>
      </c>
      <c r="B1140" s="24" t="s">
        <v>71</v>
      </c>
      <c r="C1140" s="24" t="s">
        <v>3620</v>
      </c>
      <c r="D1140" s="23" t="s">
        <v>3416</v>
      </c>
      <c r="E1140" s="26" t="s">
        <v>91</v>
      </c>
      <c r="F1140" s="24" t="s">
        <v>3309</v>
      </c>
      <c r="G1140" s="24" t="s">
        <v>939</v>
      </c>
      <c r="H1140" s="25" t="n">
        <v>9.86</v>
      </c>
      <c r="I1140" s="26"/>
      <c r="J1140" s="26"/>
      <c r="K1140" s="23" t="s">
        <v>3416</v>
      </c>
      <c r="L1140" s="24"/>
      <c r="M1140" s="24"/>
      <c r="N1140" s="26" t="s">
        <v>91</v>
      </c>
      <c r="O1140" s="24"/>
      <c r="P1140" s="24" t="s">
        <v>3310</v>
      </c>
      <c r="Q1140" s="24" t="s">
        <v>942</v>
      </c>
      <c r="R1140" s="73" t="s">
        <v>95</v>
      </c>
      <c r="S1140" s="0" t="n">
        <f aca="false">IF(Recherche!$B$4="",0,IF(ISNUMBER(SEARCH(Recherche!$B$4,D1140))+ISNUMBER(SEARCH(Recherche!$B$4,K1140))&gt;0,1,0))</f>
        <v>0</v>
      </c>
      <c r="T1140" s="0" t="str">
        <f aca="false">IF(S1140=1,SUM($S$2:S1140),"")</f>
        <v/>
      </c>
    </row>
    <row r="1141" customFormat="false" ht="23.85" hidden="false" customHeight="false" outlineLevel="0" collapsed="false">
      <c r="A1141" s="20" t="s">
        <v>3629</v>
      </c>
      <c r="B1141" s="20" t="s">
        <v>71</v>
      </c>
      <c r="C1141" s="20" t="s">
        <v>3620</v>
      </c>
      <c r="D1141" s="19" t="s">
        <v>3418</v>
      </c>
      <c r="E1141" s="22" t="s">
        <v>91</v>
      </c>
      <c r="F1141" s="20" t="s">
        <v>3309</v>
      </c>
      <c r="G1141" s="20" t="s">
        <v>939</v>
      </c>
      <c r="H1141" s="21" t="n">
        <v>5.87</v>
      </c>
      <c r="I1141" s="22"/>
      <c r="J1141" s="22"/>
      <c r="K1141" s="19" t="s">
        <v>3418</v>
      </c>
      <c r="L1141" s="20"/>
      <c r="M1141" s="20"/>
      <c r="N1141" s="22" t="s">
        <v>91</v>
      </c>
      <c r="O1141" s="20"/>
      <c r="P1141" s="20" t="s">
        <v>3310</v>
      </c>
      <c r="Q1141" s="20" t="s">
        <v>942</v>
      </c>
      <c r="R1141" s="76" t="s">
        <v>95</v>
      </c>
      <c r="S1141" s="0" t="n">
        <f aca="false">IF(Recherche!$B$4="",0,IF(ISNUMBER(SEARCH(Recherche!$B$4,D1141))+ISNUMBER(SEARCH(Recherche!$B$4,K1141))&gt;0,1,0))</f>
        <v>0</v>
      </c>
      <c r="T1141" s="0" t="str">
        <f aca="false">IF(S1141=1,SUM($S$2:S1141),"")</f>
        <v/>
      </c>
    </row>
    <row r="1142" customFormat="false" ht="23.85" hidden="false" customHeight="false" outlineLevel="0" collapsed="false">
      <c r="A1142" s="24" t="s">
        <v>3630</v>
      </c>
      <c r="B1142" s="24" t="s">
        <v>71</v>
      </c>
      <c r="C1142" s="24" t="s">
        <v>3620</v>
      </c>
      <c r="D1142" s="23" t="s">
        <v>3420</v>
      </c>
      <c r="E1142" s="26" t="s">
        <v>91</v>
      </c>
      <c r="F1142" s="24" t="s">
        <v>3309</v>
      </c>
      <c r="G1142" s="24" t="s">
        <v>939</v>
      </c>
      <c r="H1142" s="25" t="n">
        <v>13.17</v>
      </c>
      <c r="I1142" s="26"/>
      <c r="J1142" s="26"/>
      <c r="K1142" s="23" t="s">
        <v>3421</v>
      </c>
      <c r="L1142" s="24"/>
      <c r="M1142" s="24"/>
      <c r="N1142" s="26" t="s">
        <v>91</v>
      </c>
      <c r="O1142" s="24"/>
      <c r="P1142" s="24" t="s">
        <v>3310</v>
      </c>
      <c r="Q1142" s="24" t="s">
        <v>942</v>
      </c>
      <c r="R1142" s="73" t="s">
        <v>95</v>
      </c>
      <c r="S1142" s="0" t="n">
        <f aca="false">IF(Recherche!$B$4="",0,IF(ISNUMBER(SEARCH(Recherche!$B$4,D1142))+ISNUMBER(SEARCH(Recherche!$B$4,K1142))&gt;0,1,0))</f>
        <v>0</v>
      </c>
      <c r="T1142" s="0" t="str">
        <f aca="false">IF(S1142=1,SUM($S$2:S1142),"")</f>
        <v/>
      </c>
    </row>
    <row r="1143" customFormat="false" ht="23.85" hidden="false" customHeight="false" outlineLevel="0" collapsed="false">
      <c r="A1143" s="20" t="s">
        <v>3631</v>
      </c>
      <c r="B1143" s="20" t="s">
        <v>71</v>
      </c>
      <c r="C1143" s="20" t="s">
        <v>3620</v>
      </c>
      <c r="D1143" s="19" t="s">
        <v>3423</v>
      </c>
      <c r="E1143" s="22" t="s">
        <v>91</v>
      </c>
      <c r="F1143" s="20" t="s">
        <v>3309</v>
      </c>
      <c r="G1143" s="20" t="s">
        <v>939</v>
      </c>
      <c r="H1143" s="21" t="n">
        <v>6.65</v>
      </c>
      <c r="I1143" s="22"/>
      <c r="J1143" s="22"/>
      <c r="K1143" s="19" t="s">
        <v>3424</v>
      </c>
      <c r="L1143" s="20"/>
      <c r="M1143" s="20"/>
      <c r="N1143" s="22" t="s">
        <v>91</v>
      </c>
      <c r="O1143" s="20"/>
      <c r="P1143" s="20" t="s">
        <v>3310</v>
      </c>
      <c r="Q1143" s="20" t="s">
        <v>942</v>
      </c>
      <c r="R1143" s="76" t="s">
        <v>95</v>
      </c>
      <c r="S1143" s="0" t="n">
        <f aca="false">IF(Recherche!$B$4="",0,IF(ISNUMBER(SEARCH(Recherche!$B$4,D1143))+ISNUMBER(SEARCH(Recherche!$B$4,K1143))&gt;0,1,0))</f>
        <v>0</v>
      </c>
      <c r="T1143" s="0" t="str">
        <f aca="false">IF(S1143=1,SUM($S$2:S1143),"")</f>
        <v/>
      </c>
    </row>
    <row r="1144" customFormat="false" ht="23.85" hidden="false" customHeight="false" outlineLevel="0" collapsed="false">
      <c r="A1144" s="24" t="s">
        <v>3632</v>
      </c>
      <c r="B1144" s="24" t="s">
        <v>71</v>
      </c>
      <c r="C1144" s="24" t="s">
        <v>3620</v>
      </c>
      <c r="D1144" s="23" t="s">
        <v>3366</v>
      </c>
      <c r="E1144" s="26" t="s">
        <v>91</v>
      </c>
      <c r="F1144" s="24" t="s">
        <v>3309</v>
      </c>
      <c r="G1144" s="24" t="s">
        <v>939</v>
      </c>
      <c r="H1144" s="25" t="n">
        <v>17.48</v>
      </c>
      <c r="I1144" s="26"/>
      <c r="J1144" s="26"/>
      <c r="K1144" s="23" t="s">
        <v>3366</v>
      </c>
      <c r="L1144" s="24"/>
      <c r="M1144" s="24"/>
      <c r="N1144" s="26" t="s">
        <v>91</v>
      </c>
      <c r="O1144" s="24"/>
      <c r="P1144" s="24" t="s">
        <v>3310</v>
      </c>
      <c r="Q1144" s="24" t="s">
        <v>942</v>
      </c>
      <c r="R1144" s="73" t="s">
        <v>95</v>
      </c>
      <c r="S1144" s="0" t="n">
        <f aca="false">IF(Recherche!$B$4="",0,IF(ISNUMBER(SEARCH(Recherche!$B$4,D1144))+ISNUMBER(SEARCH(Recherche!$B$4,K1144))&gt;0,1,0))</f>
        <v>0</v>
      </c>
      <c r="T1144" s="0" t="str">
        <f aca="false">IF(S1144=1,SUM($S$2:S1144),"")</f>
        <v/>
      </c>
    </row>
    <row r="1145" customFormat="false" ht="23.85" hidden="false" customHeight="false" outlineLevel="0" collapsed="false">
      <c r="A1145" s="20" t="s">
        <v>3633</v>
      </c>
      <c r="B1145" s="20" t="s">
        <v>71</v>
      </c>
      <c r="C1145" s="20" t="s">
        <v>3620</v>
      </c>
      <c r="D1145" s="19" t="s">
        <v>3371</v>
      </c>
      <c r="E1145" s="22" t="s">
        <v>91</v>
      </c>
      <c r="F1145" s="20" t="s">
        <v>3309</v>
      </c>
      <c r="G1145" s="20" t="s">
        <v>939</v>
      </c>
      <c r="H1145" s="21" t="n">
        <v>15.77</v>
      </c>
      <c r="I1145" s="22"/>
      <c r="J1145" s="22"/>
      <c r="K1145" s="19" t="s">
        <v>3372</v>
      </c>
      <c r="L1145" s="20"/>
      <c r="M1145" s="20"/>
      <c r="N1145" s="22" t="s">
        <v>91</v>
      </c>
      <c r="O1145" s="20"/>
      <c r="P1145" s="20" t="s">
        <v>3310</v>
      </c>
      <c r="Q1145" s="20" t="s">
        <v>942</v>
      </c>
      <c r="R1145" s="76" t="s">
        <v>95</v>
      </c>
      <c r="S1145" s="0" t="n">
        <f aca="false">IF(Recherche!$B$4="",0,IF(ISNUMBER(SEARCH(Recherche!$B$4,D1145))+ISNUMBER(SEARCH(Recherche!$B$4,K1145))&gt;0,1,0))</f>
        <v>0</v>
      </c>
      <c r="T1145" s="0" t="str">
        <f aca="false">IF(S1145=1,SUM($S$2:S1145),"")</f>
        <v/>
      </c>
    </row>
    <row r="1146" customFormat="false" ht="23.85" hidden="false" customHeight="false" outlineLevel="0" collapsed="false">
      <c r="A1146" s="24" t="s">
        <v>3634</v>
      </c>
      <c r="B1146" s="24" t="s">
        <v>71</v>
      </c>
      <c r="C1146" s="24" t="s">
        <v>3620</v>
      </c>
      <c r="D1146" s="23" t="s">
        <v>3374</v>
      </c>
      <c r="E1146" s="26" t="s">
        <v>91</v>
      </c>
      <c r="F1146" s="24" t="s">
        <v>3309</v>
      </c>
      <c r="G1146" s="24" t="s">
        <v>939</v>
      </c>
      <c r="H1146" s="25" t="n">
        <v>6.99</v>
      </c>
      <c r="I1146" s="26"/>
      <c r="J1146" s="26"/>
      <c r="K1146" s="23" t="s">
        <v>3375</v>
      </c>
      <c r="L1146" s="24"/>
      <c r="M1146" s="24"/>
      <c r="N1146" s="26" t="s">
        <v>91</v>
      </c>
      <c r="O1146" s="24"/>
      <c r="P1146" s="24" t="s">
        <v>3310</v>
      </c>
      <c r="Q1146" s="24" t="s">
        <v>942</v>
      </c>
      <c r="R1146" s="73" t="s">
        <v>95</v>
      </c>
      <c r="S1146" s="0" t="n">
        <f aca="false">IF(Recherche!$B$4="",0,IF(ISNUMBER(SEARCH(Recherche!$B$4,D1146))+ISNUMBER(SEARCH(Recherche!$B$4,K1146))&gt;0,1,0))</f>
        <v>0</v>
      </c>
      <c r="T1146" s="0" t="str">
        <f aca="false">IF(S1146=1,SUM($S$2:S1146),"")</f>
        <v/>
      </c>
    </row>
    <row r="1147" customFormat="false" ht="23.85" hidden="false" customHeight="false" outlineLevel="0" collapsed="false">
      <c r="A1147" s="20" t="s">
        <v>3635</v>
      </c>
      <c r="B1147" s="20" t="s">
        <v>71</v>
      </c>
      <c r="C1147" s="20" t="s">
        <v>3620</v>
      </c>
      <c r="D1147" s="19" t="s">
        <v>3377</v>
      </c>
      <c r="E1147" s="22" t="s">
        <v>91</v>
      </c>
      <c r="F1147" s="20" t="s">
        <v>3309</v>
      </c>
      <c r="G1147" s="20" t="s">
        <v>939</v>
      </c>
      <c r="H1147" s="21" t="n">
        <v>5.69</v>
      </c>
      <c r="I1147" s="22"/>
      <c r="J1147" s="22"/>
      <c r="K1147" s="19" t="s">
        <v>3378</v>
      </c>
      <c r="L1147" s="20"/>
      <c r="M1147" s="20"/>
      <c r="N1147" s="22" t="s">
        <v>91</v>
      </c>
      <c r="O1147" s="20"/>
      <c r="P1147" s="20" t="s">
        <v>3310</v>
      </c>
      <c r="Q1147" s="20" t="s">
        <v>942</v>
      </c>
      <c r="R1147" s="76" t="s">
        <v>95</v>
      </c>
      <c r="S1147" s="0" t="n">
        <f aca="false">IF(Recherche!$B$4="",0,IF(ISNUMBER(SEARCH(Recherche!$B$4,D1147))+ISNUMBER(SEARCH(Recherche!$B$4,K1147))&gt;0,1,0))</f>
        <v>0</v>
      </c>
      <c r="T1147" s="0" t="str">
        <f aca="false">IF(S1147=1,SUM($S$2:S1147),"")</f>
        <v/>
      </c>
    </row>
    <row r="1148" customFormat="false" ht="23.85" hidden="false" customHeight="false" outlineLevel="0" collapsed="false">
      <c r="A1148" s="24" t="s">
        <v>3636</v>
      </c>
      <c r="B1148" s="24" t="s">
        <v>71</v>
      </c>
      <c r="C1148" s="24" t="s">
        <v>3620</v>
      </c>
      <c r="D1148" s="23" t="s">
        <v>3380</v>
      </c>
      <c r="E1148" s="26" t="s">
        <v>91</v>
      </c>
      <c r="F1148" s="24" t="s">
        <v>3309</v>
      </c>
      <c r="G1148" s="24" t="s">
        <v>939</v>
      </c>
      <c r="H1148" s="25" t="n">
        <v>10.99</v>
      </c>
      <c r="I1148" s="26"/>
      <c r="J1148" s="26"/>
      <c r="K1148" s="23" t="s">
        <v>3381</v>
      </c>
      <c r="L1148" s="24"/>
      <c r="M1148" s="24"/>
      <c r="N1148" s="26" t="s">
        <v>91</v>
      </c>
      <c r="O1148" s="24"/>
      <c r="P1148" s="24" t="s">
        <v>3310</v>
      </c>
      <c r="Q1148" s="24" t="s">
        <v>942</v>
      </c>
      <c r="R1148" s="73" t="s">
        <v>95</v>
      </c>
      <c r="S1148" s="0" t="n">
        <f aca="false">IF(Recherche!$B$4="",0,IF(ISNUMBER(SEARCH(Recherche!$B$4,D1148))+ISNUMBER(SEARCH(Recherche!$B$4,K1148))&gt;0,1,0))</f>
        <v>0</v>
      </c>
      <c r="T1148" s="0" t="str">
        <f aca="false">IF(S1148=1,SUM($S$2:S1148),"")</f>
        <v/>
      </c>
    </row>
    <row r="1149" customFormat="false" ht="23.85" hidden="false" customHeight="false" outlineLevel="0" collapsed="false">
      <c r="A1149" s="20" t="s">
        <v>3637</v>
      </c>
      <c r="B1149" s="20" t="s">
        <v>71</v>
      </c>
      <c r="C1149" s="20" t="s">
        <v>3620</v>
      </c>
      <c r="D1149" s="19" t="s">
        <v>3383</v>
      </c>
      <c r="E1149" s="22" t="s">
        <v>91</v>
      </c>
      <c r="F1149" s="20" t="s">
        <v>3309</v>
      </c>
      <c r="G1149" s="20" t="s">
        <v>939</v>
      </c>
      <c r="H1149" s="21" t="n">
        <v>13.51</v>
      </c>
      <c r="I1149" s="22"/>
      <c r="J1149" s="22"/>
      <c r="K1149" s="19" t="s">
        <v>3384</v>
      </c>
      <c r="L1149" s="20"/>
      <c r="M1149" s="20"/>
      <c r="N1149" s="22" t="s">
        <v>91</v>
      </c>
      <c r="O1149" s="20"/>
      <c r="P1149" s="20" t="s">
        <v>3310</v>
      </c>
      <c r="Q1149" s="20" t="s">
        <v>942</v>
      </c>
      <c r="R1149" s="76" t="s">
        <v>95</v>
      </c>
      <c r="S1149" s="0" t="n">
        <f aca="false">IF(Recherche!$B$4="",0,IF(ISNUMBER(SEARCH(Recherche!$B$4,D1149))+ISNUMBER(SEARCH(Recherche!$B$4,K1149))&gt;0,1,0))</f>
        <v>0</v>
      </c>
      <c r="T1149" s="0" t="str">
        <f aca="false">IF(S1149=1,SUM($S$2:S1149),"")</f>
        <v/>
      </c>
    </row>
    <row r="1150" customFormat="false" ht="23.85" hidden="false" customHeight="false" outlineLevel="0" collapsed="false">
      <c r="A1150" s="24" t="s">
        <v>3638</v>
      </c>
      <c r="B1150" s="24" t="s">
        <v>71</v>
      </c>
      <c r="C1150" s="24" t="s">
        <v>3620</v>
      </c>
      <c r="D1150" s="23" t="s">
        <v>3386</v>
      </c>
      <c r="E1150" s="26" t="s">
        <v>91</v>
      </c>
      <c r="F1150" s="24" t="s">
        <v>3309</v>
      </c>
      <c r="G1150" s="24" t="s">
        <v>939</v>
      </c>
      <c r="H1150" s="25" t="n">
        <v>13.81</v>
      </c>
      <c r="I1150" s="26"/>
      <c r="J1150" s="26"/>
      <c r="K1150" s="23" t="s">
        <v>3387</v>
      </c>
      <c r="L1150" s="24"/>
      <c r="M1150" s="24"/>
      <c r="N1150" s="26" t="s">
        <v>91</v>
      </c>
      <c r="O1150" s="24"/>
      <c r="P1150" s="24" t="s">
        <v>3310</v>
      </c>
      <c r="Q1150" s="24" t="s">
        <v>942</v>
      </c>
      <c r="R1150" s="73" t="s">
        <v>95</v>
      </c>
      <c r="S1150" s="0" t="n">
        <f aca="false">IF(Recherche!$B$4="",0,IF(ISNUMBER(SEARCH(Recherche!$B$4,D1150))+ISNUMBER(SEARCH(Recherche!$B$4,K1150))&gt;0,1,0))</f>
        <v>0</v>
      </c>
      <c r="T1150" s="0" t="str">
        <f aca="false">IF(S1150=1,SUM($S$2:S1150),"")</f>
        <v/>
      </c>
    </row>
    <row r="1151" customFormat="false" ht="23.85" hidden="false" customHeight="false" outlineLevel="0" collapsed="false">
      <c r="A1151" s="20" t="s">
        <v>3639</v>
      </c>
      <c r="B1151" s="20" t="s">
        <v>71</v>
      </c>
      <c r="C1151" s="20" t="s">
        <v>3620</v>
      </c>
      <c r="D1151" s="19" t="s">
        <v>3389</v>
      </c>
      <c r="E1151" s="22" t="s">
        <v>91</v>
      </c>
      <c r="F1151" s="20" t="s">
        <v>3309</v>
      </c>
      <c r="G1151" s="20" t="s">
        <v>939</v>
      </c>
      <c r="H1151" s="21" t="n">
        <v>4.09</v>
      </c>
      <c r="I1151" s="22"/>
      <c r="J1151" s="22"/>
      <c r="K1151" s="19" t="s">
        <v>3390</v>
      </c>
      <c r="L1151" s="20"/>
      <c r="M1151" s="20"/>
      <c r="N1151" s="22" t="s">
        <v>91</v>
      </c>
      <c r="O1151" s="20"/>
      <c r="P1151" s="20" t="s">
        <v>3310</v>
      </c>
      <c r="Q1151" s="20" t="s">
        <v>942</v>
      </c>
      <c r="R1151" s="76" t="s">
        <v>95</v>
      </c>
      <c r="S1151" s="0" t="n">
        <f aca="false">IF(Recherche!$B$4="",0,IF(ISNUMBER(SEARCH(Recherche!$B$4,D1151))+ISNUMBER(SEARCH(Recherche!$B$4,K1151))&gt;0,1,0))</f>
        <v>0</v>
      </c>
      <c r="T1151" s="0" t="str">
        <f aca="false">IF(S1151=1,SUM($S$2:S1151),"")</f>
        <v/>
      </c>
    </row>
    <row r="1152" customFormat="false" ht="23.85" hidden="false" customHeight="false" outlineLevel="0" collapsed="false">
      <c r="A1152" s="24" t="s">
        <v>3640</v>
      </c>
      <c r="B1152" s="24" t="s">
        <v>71</v>
      </c>
      <c r="C1152" s="24" t="s">
        <v>3620</v>
      </c>
      <c r="D1152" s="23" t="s">
        <v>3392</v>
      </c>
      <c r="E1152" s="26" t="s">
        <v>91</v>
      </c>
      <c r="F1152" s="24" t="s">
        <v>3309</v>
      </c>
      <c r="G1152" s="24" t="s">
        <v>939</v>
      </c>
      <c r="H1152" s="25" t="n">
        <v>15.99</v>
      </c>
      <c r="I1152" s="26"/>
      <c r="J1152" s="26"/>
      <c r="K1152" s="23" t="s">
        <v>3393</v>
      </c>
      <c r="L1152" s="24"/>
      <c r="M1152" s="24"/>
      <c r="N1152" s="26" t="s">
        <v>91</v>
      </c>
      <c r="O1152" s="24"/>
      <c r="P1152" s="24" t="s">
        <v>3310</v>
      </c>
      <c r="Q1152" s="24" t="s">
        <v>942</v>
      </c>
      <c r="R1152" s="73" t="s">
        <v>95</v>
      </c>
      <c r="S1152" s="0" t="n">
        <f aca="false">IF(Recherche!$B$4="",0,IF(ISNUMBER(SEARCH(Recherche!$B$4,D1152))+ISNUMBER(SEARCH(Recherche!$B$4,K1152))&gt;0,1,0))</f>
        <v>0</v>
      </c>
      <c r="T1152" s="0" t="str">
        <f aca="false">IF(S1152=1,SUM($S$2:S1152),"")</f>
        <v/>
      </c>
    </row>
    <row r="1153" customFormat="false" ht="23.85" hidden="false" customHeight="false" outlineLevel="0" collapsed="false">
      <c r="A1153" s="20" t="s">
        <v>3641</v>
      </c>
      <c r="B1153" s="20" t="s">
        <v>71</v>
      </c>
      <c r="C1153" s="20" t="s">
        <v>3620</v>
      </c>
      <c r="D1153" s="19" t="s">
        <v>3642</v>
      </c>
      <c r="E1153" s="22" t="s">
        <v>91</v>
      </c>
      <c r="F1153" s="20" t="s">
        <v>3309</v>
      </c>
      <c r="G1153" s="20" t="s">
        <v>939</v>
      </c>
      <c r="H1153" s="21" t="n">
        <v>11.86</v>
      </c>
      <c r="I1153" s="22"/>
      <c r="J1153" s="22"/>
      <c r="K1153" s="19" t="s">
        <v>3643</v>
      </c>
      <c r="L1153" s="20"/>
      <c r="M1153" s="20"/>
      <c r="N1153" s="22" t="s">
        <v>91</v>
      </c>
      <c r="O1153" s="20"/>
      <c r="P1153" s="20" t="s">
        <v>3310</v>
      </c>
      <c r="Q1153" s="20" t="s">
        <v>942</v>
      </c>
      <c r="R1153" s="76" t="s">
        <v>95</v>
      </c>
      <c r="S1153" s="0" t="n">
        <f aca="false">IF(Recherche!$B$4="",0,IF(ISNUMBER(SEARCH(Recherche!$B$4,D1153))+ISNUMBER(SEARCH(Recherche!$B$4,K1153))&gt;0,1,0))</f>
        <v>0</v>
      </c>
      <c r="T1153" s="0" t="str">
        <f aca="false">IF(S1153=1,SUM($S$2:S1153),"")</f>
        <v/>
      </c>
    </row>
  </sheetData>
  <autoFilter ref="A1:R1153"/>
  <hyperlinks>
    <hyperlink ref="R2" r:id="rId1" display="Voir la fiche"/>
    <hyperlink ref="R3" r:id="rId2" display="Voir la fiche"/>
    <hyperlink ref="R4" r:id="rId3" display="Voir la fiche"/>
    <hyperlink ref="R5" r:id="rId4" display="Voir la fiche"/>
    <hyperlink ref="R6" r:id="rId5" display="Voir la fiche"/>
    <hyperlink ref="R7" r:id="rId6" display="Voir la fiche"/>
    <hyperlink ref="R8" r:id="rId7" display="Voir la fiche"/>
    <hyperlink ref="R9" r:id="rId8" display="Voir la fiche"/>
    <hyperlink ref="R10" r:id="rId9" display="Voir la fiche"/>
    <hyperlink ref="R11" r:id="rId10" display="Voir la fiche"/>
    <hyperlink ref="R12" r:id="rId11" display="Voir la fiche"/>
    <hyperlink ref="R13" r:id="rId12" display="Voir la fiche"/>
    <hyperlink ref="R14" r:id="rId13" display="Voir la fiche"/>
    <hyperlink ref="R15" r:id="rId14" display="Voir la fiche"/>
    <hyperlink ref="R16" r:id="rId15" display="Voir la fiche"/>
    <hyperlink ref="R17" r:id="rId16" display="Voir la fiche"/>
    <hyperlink ref="R19" r:id="rId17" display="Voir la fiche"/>
    <hyperlink ref="R22" r:id="rId18" display="Voir la fiche"/>
    <hyperlink ref="R23" r:id="rId19" display="Voir la fiche"/>
    <hyperlink ref="R24" r:id="rId20" display="Voir la fiche"/>
    <hyperlink ref="R25" r:id="rId21" display="Voir la fiche"/>
    <hyperlink ref="R27" r:id="rId22" display="Voir la fiche"/>
    <hyperlink ref="R28" r:id="rId23" display="Voir la fiche"/>
    <hyperlink ref="R29" r:id="rId24" display="Voir la fiche"/>
    <hyperlink ref="R31" r:id="rId25" display="Voir la fiche"/>
    <hyperlink ref="R32" r:id="rId26" display="Voir la fiche"/>
    <hyperlink ref="R33" r:id="rId27" display="Voir la fiche"/>
    <hyperlink ref="R34" r:id="rId28" display="Voir la fiche"/>
    <hyperlink ref="R35" r:id="rId29" display="Voir la fiche"/>
    <hyperlink ref="R39" r:id="rId30" display="Voir la fiche"/>
    <hyperlink ref="R40" r:id="rId31" display="Voir la fiche"/>
    <hyperlink ref="R42" r:id="rId32" display="Voir la fiche"/>
    <hyperlink ref="R43" r:id="rId33" display="Voir la fiche"/>
    <hyperlink ref="R44" r:id="rId34" display="Voir la fiche"/>
    <hyperlink ref="R45" r:id="rId35" display="Voir la fiche"/>
    <hyperlink ref="R47" r:id="rId36" display="Voir la fiche"/>
    <hyperlink ref="R48" r:id="rId37" display="Voir la fiche"/>
    <hyperlink ref="R49" r:id="rId38" display="Voir la fiche"/>
    <hyperlink ref="R50" r:id="rId39" display="Voir la fiche"/>
    <hyperlink ref="R51" r:id="rId40" display="Voir la fiche"/>
    <hyperlink ref="R54" r:id="rId41" display="Voir la fiche"/>
    <hyperlink ref="R55" r:id="rId42" display="Voir la fiche"/>
    <hyperlink ref="R56" r:id="rId43" display="Voir la fiche"/>
    <hyperlink ref="R57" r:id="rId44" display="Voir la fiche"/>
    <hyperlink ref="R59" r:id="rId45" display="Voir la fiche"/>
    <hyperlink ref="R60" r:id="rId46" display="Voir la fiche"/>
    <hyperlink ref="R61" r:id="rId47" display="Voir la fiche"/>
    <hyperlink ref="R62" r:id="rId48" display="Voir la fiche"/>
    <hyperlink ref="R63" r:id="rId49" display="Voir la fiche"/>
    <hyperlink ref="R64" r:id="rId50" display="Voir la fiche"/>
    <hyperlink ref="R65" r:id="rId51" display="Voir la fiche"/>
    <hyperlink ref="R66" r:id="rId52" display="Voir la fiche"/>
    <hyperlink ref="R67" r:id="rId53" display="Voir la fiche"/>
    <hyperlink ref="R68" r:id="rId54" display="Voir la fiche"/>
    <hyperlink ref="R70" r:id="rId55" display="Voir la fiche"/>
    <hyperlink ref="R71" r:id="rId56" display="Voir la fiche"/>
    <hyperlink ref="R72" r:id="rId57" display="Voir la fiche"/>
    <hyperlink ref="R74" r:id="rId58" display="Voir la fiche"/>
    <hyperlink ref="R75" r:id="rId59" display="Voir la fiche"/>
    <hyperlink ref="R77" r:id="rId60" display="Voir la fiche"/>
    <hyperlink ref="R78" r:id="rId61" display="Voir la fiche"/>
    <hyperlink ref="R79" r:id="rId62" display="Voir la fiche"/>
    <hyperlink ref="R81" r:id="rId63" display="Voir la fiche"/>
    <hyperlink ref="R83" r:id="rId64" display="Voir la fiche"/>
    <hyperlink ref="R84" r:id="rId65" display="Voir la fiche"/>
    <hyperlink ref="R85" r:id="rId66" display="Voir la fiche"/>
    <hyperlink ref="R86" r:id="rId67" display="Voir la fiche"/>
    <hyperlink ref="R88" r:id="rId68" display="Voir la fiche"/>
    <hyperlink ref="R89" r:id="rId69" display="Voir la fiche"/>
    <hyperlink ref="R90" r:id="rId70" display="Voir la fiche"/>
    <hyperlink ref="R92" r:id="rId71" display="Voir la fiche"/>
    <hyperlink ref="R93" r:id="rId72" display="Voir la fiche"/>
    <hyperlink ref="R94" r:id="rId73" display="Voir la fiche"/>
    <hyperlink ref="R96" r:id="rId74" display="Voir la fiche"/>
    <hyperlink ref="R98" r:id="rId75" display="Voir la fiche"/>
    <hyperlink ref="R99" r:id="rId76" display="Voir la fiche"/>
    <hyperlink ref="R100" r:id="rId77" display="Voir la fiche"/>
    <hyperlink ref="R101" r:id="rId78" display="Voir la fiche"/>
    <hyperlink ref="R102" r:id="rId79" display="Voir la fiche"/>
    <hyperlink ref="R103" r:id="rId80" display="Voir la fiche"/>
    <hyperlink ref="R104" r:id="rId81" display="Voir la fiche"/>
    <hyperlink ref="R106" r:id="rId82" display="Voir la fiche"/>
    <hyperlink ref="R107" r:id="rId83" display="Voir la fiche"/>
    <hyperlink ref="R108" r:id="rId84" display="Voir la fiche"/>
    <hyperlink ref="R109" r:id="rId85" display="Voir la fiche"/>
    <hyperlink ref="R110" r:id="rId86" display="Voir la fiche"/>
    <hyperlink ref="R111" r:id="rId87" display="Voir la fiche"/>
    <hyperlink ref="R113" r:id="rId88" display="Voir la fiche"/>
    <hyperlink ref="R114" r:id="rId89" display="Voir la fiche"/>
    <hyperlink ref="R115" r:id="rId90" display="Voir la fiche"/>
    <hyperlink ref="R116" r:id="rId91" display="Voir la fiche"/>
    <hyperlink ref="R117" r:id="rId92" display="Voir la fiche"/>
    <hyperlink ref="R118" r:id="rId93" display="Voir la fiche"/>
    <hyperlink ref="R119" r:id="rId94" display="Voir la fiche"/>
    <hyperlink ref="R122" r:id="rId95" display="Voir la fiche"/>
    <hyperlink ref="R126" r:id="rId96" display="Voir la fiche"/>
    <hyperlink ref="R127" r:id="rId97" display="Voir la fiche"/>
    <hyperlink ref="R128" r:id="rId98" display="Voir la fiche"/>
    <hyperlink ref="R129" r:id="rId99" display="Voir la fiche"/>
    <hyperlink ref="R131" r:id="rId100" display="Voir la fiche"/>
    <hyperlink ref="R133" r:id="rId101" display="Voir la fiche"/>
    <hyperlink ref="R134" r:id="rId102" display="Voir la fiche"/>
    <hyperlink ref="R135" r:id="rId103" display="Voir la fiche"/>
    <hyperlink ref="R136" r:id="rId104" display="Voir la fiche"/>
    <hyperlink ref="R138" r:id="rId105" display="Voir la fiche"/>
    <hyperlink ref="R139" r:id="rId106" display="Voir la fiche"/>
    <hyperlink ref="R141" r:id="rId107" display="Voir la fiche"/>
    <hyperlink ref="R142" r:id="rId108" display="Voir la fiche"/>
    <hyperlink ref="R143" r:id="rId109" display="Voir la fiche"/>
    <hyperlink ref="R144" r:id="rId110" display="Voir la fiche"/>
    <hyperlink ref="R146" r:id="rId111" display="Voir la fiche"/>
    <hyperlink ref="R147" r:id="rId112" display="Voir la fiche"/>
    <hyperlink ref="R148" r:id="rId113" display="Voir la fiche"/>
    <hyperlink ref="R149" r:id="rId114" display="Voir la fiche"/>
    <hyperlink ref="R150" r:id="rId115" display="Voir la fiche"/>
    <hyperlink ref="R152" r:id="rId116" display="Voir la fiche"/>
    <hyperlink ref="R153" r:id="rId117" display="Voir la fiche"/>
    <hyperlink ref="R154" r:id="rId118" display="Voir la fiche"/>
    <hyperlink ref="R155" r:id="rId119" display="Voir la fiche"/>
    <hyperlink ref="R156" r:id="rId120" display="Voir la fiche"/>
    <hyperlink ref="R157" r:id="rId121" display="Voir la fiche"/>
    <hyperlink ref="R158" r:id="rId122" display="Voir la fiche"/>
    <hyperlink ref="R159" r:id="rId123" display="Voir la fiche"/>
    <hyperlink ref="R161" r:id="rId124" display="Voir la fiche"/>
    <hyperlink ref="R162" r:id="rId125" display="Voir la fiche"/>
    <hyperlink ref="R163" r:id="rId126" display="Voir la fiche"/>
    <hyperlink ref="R164" r:id="rId127" display="Voir la fiche"/>
    <hyperlink ref="R167" r:id="rId128" display="Voir la fiche"/>
    <hyperlink ref="R168" r:id="rId129" display="Voir la fiche"/>
    <hyperlink ref="R169" r:id="rId130" display="Voir la fiche"/>
    <hyperlink ref="R170" r:id="rId131" display="Voir la fiche"/>
    <hyperlink ref="R171" r:id="rId132" display="Voir la fiche"/>
    <hyperlink ref="R172" r:id="rId133" display="Voir la fiche"/>
    <hyperlink ref="R173" r:id="rId134" display="Voir la fiche"/>
    <hyperlink ref="R174" r:id="rId135" display="Voir la fiche"/>
    <hyperlink ref="R175" r:id="rId136" display="Voir la fiche"/>
    <hyperlink ref="R176" r:id="rId137" display="Voir la fiche"/>
    <hyperlink ref="R177" r:id="rId138" display="Voir la fiche"/>
    <hyperlink ref="R178" r:id="rId139" display="Voir la fiche"/>
    <hyperlink ref="R183" r:id="rId140" display="Voir la fiche"/>
    <hyperlink ref="R184" r:id="rId141" display="Voir la fiche"/>
    <hyperlink ref="R185" r:id="rId142" display="Voir la fiche"/>
    <hyperlink ref="R186" r:id="rId143" display="Voir la fiche"/>
    <hyperlink ref="R187" r:id="rId144" display="Voir la fiche"/>
    <hyperlink ref="R188" r:id="rId145" display="Voir la fiche"/>
    <hyperlink ref="R190" r:id="rId146" display="Voir la fiche"/>
    <hyperlink ref="R191" r:id="rId147" display="Voir la fiche"/>
    <hyperlink ref="R192" r:id="rId148" display="Voir la fiche"/>
    <hyperlink ref="R194" r:id="rId149" display="Voir la fiche"/>
    <hyperlink ref="R195" r:id="rId150" display="Voir la fiche"/>
    <hyperlink ref="R196" r:id="rId151" display="Voir la fiche"/>
    <hyperlink ref="R198" r:id="rId152" display="Voir la fiche"/>
    <hyperlink ref="R199" r:id="rId153" display="Voir la fiche"/>
    <hyperlink ref="R200" r:id="rId154" display="Voir la fiche"/>
    <hyperlink ref="R202" r:id="rId155" display="Voir la fiche"/>
    <hyperlink ref="R203" r:id="rId156" display="Voir la fiche"/>
    <hyperlink ref="R204" r:id="rId157" display="Voir la fiche"/>
    <hyperlink ref="R205" r:id="rId158" display="Voir la fiche"/>
    <hyperlink ref="R206" r:id="rId159" display="Voir la fiche"/>
    <hyperlink ref="R208" r:id="rId160" display="Voir la fiche"/>
    <hyperlink ref="R209" r:id="rId161" display="Voir la fiche"/>
    <hyperlink ref="R210" r:id="rId162" display="Voir la fiche"/>
    <hyperlink ref="R211" r:id="rId163" display="Voir la fiche"/>
    <hyperlink ref="R212" r:id="rId164" display="Voir la fiche"/>
    <hyperlink ref="R213" r:id="rId165" display="Voir la fiche"/>
    <hyperlink ref="R214" r:id="rId166" display="Voir la fiche"/>
    <hyperlink ref="R215" r:id="rId167" display="Voir la fiche"/>
    <hyperlink ref="R216" r:id="rId168" display="Voir la fiche"/>
    <hyperlink ref="R217" r:id="rId169" display="Voir la fiche"/>
    <hyperlink ref="R218" r:id="rId170" display="Voir la fiche"/>
    <hyperlink ref="R219" r:id="rId171" display="Voir la fiche"/>
    <hyperlink ref="R220" r:id="rId172" display="Voir la fiche"/>
    <hyperlink ref="R221" r:id="rId173" display="Voir la fiche"/>
    <hyperlink ref="R222" r:id="rId174" display="Voir la fiche"/>
    <hyperlink ref="R223" r:id="rId175" display="Voir la fiche"/>
    <hyperlink ref="R224" r:id="rId176" display="Voir la fiche"/>
    <hyperlink ref="R225" r:id="rId177" display="Voir la fiche"/>
    <hyperlink ref="R226" r:id="rId178" display="Voir la fiche"/>
    <hyperlink ref="R227" r:id="rId179" display="Voir la fiche"/>
    <hyperlink ref="R228" r:id="rId180" display="Voir la fiche"/>
    <hyperlink ref="R230" r:id="rId181" display="Voir la fiche"/>
    <hyperlink ref="R231" r:id="rId182" display="Voir la fiche"/>
    <hyperlink ref="R232" r:id="rId183" display="Voir la fiche"/>
    <hyperlink ref="R234" r:id="rId184" display="Voir la fiche"/>
    <hyperlink ref="R235" r:id="rId185" display="Voir la fiche"/>
    <hyperlink ref="R236" r:id="rId186" display="Voir la fiche"/>
    <hyperlink ref="R237" r:id="rId187" display="Voir la fiche"/>
    <hyperlink ref="R238" r:id="rId188" display="Voir la fiche"/>
    <hyperlink ref="R240" r:id="rId189" display="Voir la fiche"/>
    <hyperlink ref="R241" r:id="rId190" display="Voir la fiche"/>
    <hyperlink ref="R243" r:id="rId191" display="Voir la fiche"/>
    <hyperlink ref="R244" r:id="rId192" display="Voir la fiche"/>
    <hyperlink ref="R245" r:id="rId193" display="Voir la fiche"/>
    <hyperlink ref="R246" r:id="rId194" display="Voir la fiche"/>
    <hyperlink ref="R247" r:id="rId195" display="Voir la fiche"/>
    <hyperlink ref="R248" r:id="rId196" display="Voir la fiche"/>
    <hyperlink ref="R249" r:id="rId197" display="Voir la fiche"/>
    <hyperlink ref="R250" r:id="rId198" display="Voir la fiche"/>
    <hyperlink ref="R251" r:id="rId199" display="Voir la fiche"/>
    <hyperlink ref="R252" r:id="rId200" display="Voir la fiche"/>
    <hyperlink ref="R253" r:id="rId201" display="Voir la fiche"/>
    <hyperlink ref="R254" r:id="rId202" display="Voir la fiche"/>
    <hyperlink ref="R256" r:id="rId203" display="Voir la fiche"/>
    <hyperlink ref="R257" r:id="rId204" display="Voir la fiche"/>
    <hyperlink ref="R258" r:id="rId205" display="Voir la fiche"/>
    <hyperlink ref="R259" r:id="rId206" display="Voir la fiche"/>
    <hyperlink ref="R260" r:id="rId207" display="Voir la fiche"/>
    <hyperlink ref="R261" r:id="rId208" display="Voir la fiche"/>
    <hyperlink ref="R262" r:id="rId209" display="Voir la fiche"/>
    <hyperlink ref="R263" r:id="rId210" display="Voir la fiche"/>
    <hyperlink ref="R264" r:id="rId211" display="Voir la fiche"/>
    <hyperlink ref="R266" r:id="rId212" display="Voir la fiche"/>
    <hyperlink ref="R267" r:id="rId213" display="Voir la fiche"/>
    <hyperlink ref="R269" r:id="rId214" display="Voir la fiche"/>
    <hyperlink ref="R270" r:id="rId215" display="Voir la fiche"/>
    <hyperlink ref="R271" r:id="rId216" display="Voir la fiche"/>
    <hyperlink ref="R272" r:id="rId217" display="Voir la fiche"/>
    <hyperlink ref="R274" r:id="rId218" display="Voir la fiche"/>
    <hyperlink ref="R276" r:id="rId219" display="Voir la fiche"/>
    <hyperlink ref="R277" r:id="rId220" display="Voir la fiche"/>
    <hyperlink ref="R278" r:id="rId221" display="Voir la fiche"/>
    <hyperlink ref="R280" r:id="rId222" display="Voir la fiche"/>
    <hyperlink ref="R281" r:id="rId223" display="Voir la fiche"/>
    <hyperlink ref="R282" r:id="rId224" display="Voir la fiche"/>
    <hyperlink ref="R283" r:id="rId225" display="Voir la fiche"/>
    <hyperlink ref="R284" r:id="rId226" display="Voir la fiche"/>
    <hyperlink ref="R285" r:id="rId227" display="Voir la fiche"/>
    <hyperlink ref="R286" r:id="rId228" display="Voir la fiche"/>
    <hyperlink ref="R287" r:id="rId229" display="Voir la fiche"/>
    <hyperlink ref="R289" r:id="rId230" display="Voir la fiche"/>
    <hyperlink ref="R290" r:id="rId231" display="Voir la fiche"/>
    <hyperlink ref="R291" r:id="rId232" display="Voir la fiche"/>
    <hyperlink ref="R292" r:id="rId233" display="Voir la fiche"/>
    <hyperlink ref="R293" r:id="rId234" display="Voir la fiche"/>
    <hyperlink ref="R294" r:id="rId235" display="Voir la fiche"/>
    <hyperlink ref="R295" r:id="rId236" display="Voir la fiche"/>
    <hyperlink ref="R296" r:id="rId237" display="Voir la fiche"/>
    <hyperlink ref="R297" r:id="rId238" display="Voir la fiche"/>
    <hyperlink ref="R298" r:id="rId239" display="Voir la fiche"/>
    <hyperlink ref="R299" r:id="rId240" display="Voir la fiche"/>
    <hyperlink ref="R300" r:id="rId241" display="Voir la fiche"/>
    <hyperlink ref="R301" r:id="rId242" display="Voir la fiche"/>
    <hyperlink ref="R302" r:id="rId243" display="Voir la fiche"/>
    <hyperlink ref="R304" r:id="rId244" display="Voir la fiche"/>
    <hyperlink ref="R305" r:id="rId245" display="Voir la fiche"/>
    <hyperlink ref="R307" r:id="rId246" display="Voir la fiche"/>
    <hyperlink ref="R308" r:id="rId247" display="Voir la fiche"/>
    <hyperlink ref="R309" r:id="rId248" display="Voir la fiche"/>
    <hyperlink ref="R310" r:id="rId249" display="Voir la fiche"/>
    <hyperlink ref="R311" r:id="rId250" display="Voir la fiche"/>
    <hyperlink ref="R312" r:id="rId251" display="Voir la fiche"/>
    <hyperlink ref="R313" r:id="rId252" display="Voir la fiche"/>
    <hyperlink ref="R315" r:id="rId253" display="Voir la fiche"/>
    <hyperlink ref="R316" r:id="rId254" display="Voir la fiche"/>
    <hyperlink ref="R317" r:id="rId255" display="Voir la fiche"/>
    <hyperlink ref="R318" r:id="rId256" display="Voir la fiche"/>
    <hyperlink ref="R319" r:id="rId257" display="Voir la fiche"/>
    <hyperlink ref="R320" r:id="rId258" display="Voir la fiche"/>
    <hyperlink ref="R321" r:id="rId259" display="Voir la fiche"/>
    <hyperlink ref="R323" r:id="rId260" display="Voir la fiche"/>
    <hyperlink ref="R324" r:id="rId261" display="Voir la fiche"/>
    <hyperlink ref="R325" r:id="rId262" display="Voir la fiche"/>
    <hyperlink ref="R326" r:id="rId263" display="Voir la fiche"/>
    <hyperlink ref="R327" r:id="rId264" display="Voir la fiche"/>
    <hyperlink ref="R328" r:id="rId265" display="Voir la fiche"/>
    <hyperlink ref="R329" r:id="rId266" display="Voir la fiche"/>
    <hyperlink ref="R330" r:id="rId267" display="Voir la fiche"/>
    <hyperlink ref="R331" r:id="rId268" display="Voir la fiche"/>
    <hyperlink ref="R332" r:id="rId269" display="Voir la fiche"/>
    <hyperlink ref="R333" r:id="rId270" display="Voir la fiche"/>
    <hyperlink ref="R334" r:id="rId271" display="Voir la fiche"/>
    <hyperlink ref="R336" r:id="rId272" display="Voir la fiche"/>
    <hyperlink ref="R337" r:id="rId273" display="Voir la fiche"/>
    <hyperlink ref="R339" r:id="rId274" display="Voir la fiche"/>
    <hyperlink ref="R340" r:id="rId275" display="Voir la fiche"/>
    <hyperlink ref="R341" r:id="rId276" display="Voir la fiche"/>
    <hyperlink ref="R342" r:id="rId277" display="Voir la fiche"/>
    <hyperlink ref="R343" r:id="rId278" display="Voir la fiche"/>
    <hyperlink ref="R344" r:id="rId279" display="Voir la fiche"/>
    <hyperlink ref="R346" r:id="rId280" display="Voir la fiche"/>
    <hyperlink ref="R347" r:id="rId281" display="Voir la fiche"/>
    <hyperlink ref="R348" r:id="rId282" display="Voir la fiche"/>
    <hyperlink ref="R351" r:id="rId283" display="Voir la fiche"/>
    <hyperlink ref="R352" r:id="rId284" display="Voir la fiche"/>
    <hyperlink ref="R353" r:id="rId285" display="Voir la fiche"/>
    <hyperlink ref="R355" r:id="rId286" display="Voir la fiche"/>
    <hyperlink ref="R357" r:id="rId287" display="Voir la fiche"/>
    <hyperlink ref="R358" r:id="rId288" display="Voir la fiche"/>
    <hyperlink ref="R359" r:id="rId289" display="Voir la fiche"/>
    <hyperlink ref="R360" r:id="rId290" display="Voir la fiche"/>
    <hyperlink ref="R362" r:id="rId291" display="Voir la fiche"/>
    <hyperlink ref="R363" r:id="rId292" display="Voir la fiche"/>
    <hyperlink ref="R364" r:id="rId293" display="Voir la fiche"/>
    <hyperlink ref="R365" r:id="rId294" display="Voir la fiche"/>
    <hyperlink ref="R367" r:id="rId295" display="Voir la fiche"/>
    <hyperlink ref="R368" r:id="rId296" display="Voir la fiche"/>
    <hyperlink ref="R370" r:id="rId297" display="Voir la fiche"/>
    <hyperlink ref="R371" r:id="rId298" display="Voir la fiche"/>
    <hyperlink ref="R373" r:id="rId299" display="Voir la fiche"/>
    <hyperlink ref="R374" r:id="rId300" display="Voir la fiche"/>
    <hyperlink ref="R375" r:id="rId301" display="Voir la fiche"/>
    <hyperlink ref="R376" r:id="rId302" display="Voir la fiche"/>
    <hyperlink ref="R379" r:id="rId303" display="Voir la fiche"/>
    <hyperlink ref="R380" r:id="rId304" display="Voir la fiche"/>
    <hyperlink ref="R382" r:id="rId305" display="Voir la fiche"/>
    <hyperlink ref="R384" r:id="rId306" display="Voir la fiche"/>
    <hyperlink ref="R385" r:id="rId307" display="Voir la fiche"/>
    <hyperlink ref="R386" r:id="rId308" display="Voir la fiche"/>
    <hyperlink ref="R387" r:id="rId309" display="Voir la fiche"/>
    <hyperlink ref="R388" r:id="rId310" display="Voir la fiche"/>
    <hyperlink ref="R389" r:id="rId311" display="Voir la fiche"/>
    <hyperlink ref="R390" r:id="rId312" display="Voir la fiche"/>
    <hyperlink ref="R391" r:id="rId313" display="Voir la fiche"/>
    <hyperlink ref="R392" r:id="rId314" display="Voir la fiche"/>
    <hyperlink ref="R393" r:id="rId315" display="Voir la fiche"/>
    <hyperlink ref="R394" r:id="rId316" display="Voir la fiche"/>
    <hyperlink ref="R395" r:id="rId317" display="Voir la fiche"/>
    <hyperlink ref="R396" r:id="rId318" display="Voir la fiche"/>
    <hyperlink ref="R397" r:id="rId319" display="Voir la fiche"/>
    <hyperlink ref="R398" r:id="rId320" display="Voir la fiche"/>
    <hyperlink ref="R399" r:id="rId321" display="Voir la fiche"/>
    <hyperlink ref="R400" r:id="rId322" display="Voir la fiche"/>
    <hyperlink ref="R401" r:id="rId323" display="Voir la fiche"/>
    <hyperlink ref="R402" r:id="rId324" display="Voir la fiche"/>
    <hyperlink ref="R403" r:id="rId325" display="Voir la fiche"/>
    <hyperlink ref="R404" r:id="rId326" display="Voir la fiche"/>
    <hyperlink ref="R405" r:id="rId327" display="Voir la fiche"/>
    <hyperlink ref="R406" r:id="rId328" display="Voir la fiche"/>
    <hyperlink ref="R407" r:id="rId329" display="Voir la fiche"/>
    <hyperlink ref="R408" r:id="rId330" display="Voir la fiche"/>
    <hyperlink ref="R409" r:id="rId331" display="Voir la fiche"/>
    <hyperlink ref="R410" r:id="rId332" display="Voir la fiche"/>
    <hyperlink ref="R411" r:id="rId333" display="Voir la fiche"/>
    <hyperlink ref="R413" r:id="rId334" display="Voir la fiche"/>
    <hyperlink ref="R414" r:id="rId335" display="Voir la fiche"/>
    <hyperlink ref="R415" r:id="rId336" display="Voir la fiche"/>
    <hyperlink ref="R416" r:id="rId337" display="Voir la fiche"/>
    <hyperlink ref="R418" r:id="rId338" display="Voir la fiche"/>
    <hyperlink ref="R419" r:id="rId339" display="Voir la fiche"/>
    <hyperlink ref="R420" r:id="rId340" display="Voir la fiche"/>
    <hyperlink ref="R421" r:id="rId341" display="Voir la fiche"/>
    <hyperlink ref="R422" r:id="rId342" display="Voir la fiche"/>
    <hyperlink ref="R423" r:id="rId343" display="Voir la fiche"/>
    <hyperlink ref="R424" r:id="rId344" display="Voir la fiche"/>
    <hyperlink ref="R425" r:id="rId345" display="Voir la fiche"/>
    <hyperlink ref="R426" r:id="rId346" display="Voir la fiche"/>
    <hyperlink ref="R427" r:id="rId347" display="Voir la fiche"/>
    <hyperlink ref="R428" r:id="rId348" display="Voir la fiche"/>
    <hyperlink ref="R429" r:id="rId349" display="Voir la fiche"/>
    <hyperlink ref="R430" r:id="rId350" display="Voir la fiche"/>
    <hyperlink ref="R431" r:id="rId351" display="Voir la fiche"/>
    <hyperlink ref="R432" r:id="rId352" display="Voir la fiche"/>
    <hyperlink ref="R433" r:id="rId353" display="Voir la fiche"/>
    <hyperlink ref="R434" r:id="rId354" display="Voir la fiche"/>
    <hyperlink ref="R435" r:id="rId355" display="Voir la fiche"/>
    <hyperlink ref="R436" r:id="rId356" display="Voir la fiche"/>
    <hyperlink ref="R437" r:id="rId357" display="Voir la fiche"/>
    <hyperlink ref="R438" r:id="rId358" display="Voir la fiche"/>
    <hyperlink ref="R439" r:id="rId359" display="Voir la fiche"/>
    <hyperlink ref="R440" r:id="rId360" display="Voir la fiche"/>
    <hyperlink ref="R441" r:id="rId361" display="Voir la fiche"/>
    <hyperlink ref="R442" r:id="rId362" display="Voir la fiche"/>
    <hyperlink ref="R443" r:id="rId363" display="Voir la fiche"/>
    <hyperlink ref="R444" r:id="rId364" display="Voir la fiche"/>
    <hyperlink ref="R445" r:id="rId365" display="Voir la fiche"/>
    <hyperlink ref="R446" r:id="rId366" display="Voir la fiche"/>
    <hyperlink ref="R447" r:id="rId367" display="Voir la fiche"/>
    <hyperlink ref="R448" r:id="rId368" display="Voir la fiche"/>
    <hyperlink ref="R449" r:id="rId369" display="Voir la fiche"/>
    <hyperlink ref="R450" r:id="rId370" display="Voir la fiche"/>
    <hyperlink ref="R451" r:id="rId371" display="Voir la fiche"/>
    <hyperlink ref="R452" r:id="rId372" display="Voir la fiche"/>
    <hyperlink ref="R453" r:id="rId373" display="Voir la fiche"/>
    <hyperlink ref="R454" r:id="rId374" display="Voir la fiche"/>
    <hyperlink ref="R456" r:id="rId375" display="Voir la fiche"/>
    <hyperlink ref="R457" r:id="rId376" display="Voir la fiche"/>
    <hyperlink ref="R458" r:id="rId377" display="Voir la fiche"/>
    <hyperlink ref="R459" r:id="rId378" display="Voir la fiche"/>
    <hyperlink ref="R460" r:id="rId379" display="Voir la fiche"/>
    <hyperlink ref="R461" r:id="rId380" display="Voir la fiche"/>
    <hyperlink ref="R462" r:id="rId381" display="Voir la fiche"/>
    <hyperlink ref="R463" r:id="rId382" display="Voir la fiche"/>
    <hyperlink ref="R464" r:id="rId383" display="Voir la fiche"/>
    <hyperlink ref="R465" r:id="rId384" display="Voir la fiche"/>
    <hyperlink ref="R466" r:id="rId385" display="Voir la fiche"/>
    <hyperlink ref="R467" r:id="rId386" display="Voir la fiche"/>
    <hyperlink ref="R468" r:id="rId387" display="Voir la fiche"/>
    <hyperlink ref="R469" r:id="rId388" display="Voir la fiche"/>
    <hyperlink ref="R470" r:id="rId389" display="Voir la fiche"/>
    <hyperlink ref="R472" r:id="rId390" display="Voir la fiche"/>
    <hyperlink ref="R473" r:id="rId391" display="Voir la fiche"/>
    <hyperlink ref="R474" r:id="rId392" display="Voir la fiche"/>
    <hyperlink ref="R475" r:id="rId393" display="Voir la fiche"/>
    <hyperlink ref="R476" r:id="rId394" display="Voir la fiche"/>
    <hyperlink ref="R477" r:id="rId395" display="Voir la fiche"/>
    <hyperlink ref="R478" r:id="rId396" display="Voir la fiche"/>
    <hyperlink ref="R479" r:id="rId397" display="Voir la fiche"/>
    <hyperlink ref="R480" r:id="rId398" display="Voir la fiche"/>
    <hyperlink ref="R481" r:id="rId399" display="Voir la fiche"/>
    <hyperlink ref="R482" r:id="rId400" display="Voir la fiche"/>
    <hyperlink ref="R483" r:id="rId401" display="Voir la fiche"/>
    <hyperlink ref="R484" r:id="rId402" display="Voir la fiche"/>
    <hyperlink ref="R485" r:id="rId403" display="Voir la fiche"/>
    <hyperlink ref="R487" r:id="rId404" display="Voir la fiche"/>
    <hyperlink ref="R489" r:id="rId405" display="Voir la fiche"/>
    <hyperlink ref="R491" r:id="rId406" display="Voir la fiche"/>
    <hyperlink ref="R492" r:id="rId407" display="Voir la fiche"/>
    <hyperlink ref="R494" r:id="rId408" display="Voir la fiche"/>
    <hyperlink ref="R495" r:id="rId409" display="Voir la fiche"/>
    <hyperlink ref="R496" r:id="rId410" display="Voir la fiche"/>
    <hyperlink ref="R497" r:id="rId411" display="Voir la fiche"/>
    <hyperlink ref="R498" r:id="rId412" display="Voir la fiche"/>
    <hyperlink ref="R500" r:id="rId413" display="Voir la fiche"/>
    <hyperlink ref="R501" r:id="rId414" display="Voir la fiche"/>
    <hyperlink ref="R502" r:id="rId415" display="Voir la fiche"/>
    <hyperlink ref="R503" r:id="rId416" display="Voir la fiche"/>
    <hyperlink ref="R505" r:id="rId417" display="Voir la fiche"/>
    <hyperlink ref="R506" r:id="rId418" display="Voir la fiche"/>
    <hyperlink ref="R508" r:id="rId419" display="Voir la fiche"/>
    <hyperlink ref="R509" r:id="rId420" display="Voir la fiche"/>
    <hyperlink ref="R510" r:id="rId421" display="Voir la fiche"/>
    <hyperlink ref="R511" r:id="rId422" display="Voir la fiche"/>
    <hyperlink ref="R512" r:id="rId423" display="Voir la fiche"/>
    <hyperlink ref="R513" r:id="rId424" display="Voir la fiche"/>
    <hyperlink ref="R514" r:id="rId425" display="Voir la fiche"/>
    <hyperlink ref="R515" r:id="rId426" display="Voir la fiche"/>
    <hyperlink ref="R516" r:id="rId427" display="Voir la fiche"/>
    <hyperlink ref="R517" r:id="rId428" display="Voir la fiche"/>
    <hyperlink ref="R518" r:id="rId429" display="Voir la fiche"/>
    <hyperlink ref="R519" r:id="rId430" display="Voir la fiche"/>
    <hyperlink ref="R520" r:id="rId431" display="Voir la fiche"/>
    <hyperlink ref="R521" r:id="rId432" display="Voir la fiche"/>
    <hyperlink ref="R522" r:id="rId433" display="Voir la fiche"/>
    <hyperlink ref="R523" r:id="rId434" display="Voir la fiche"/>
    <hyperlink ref="R524" r:id="rId435" display="Voir la fiche"/>
    <hyperlink ref="R525" r:id="rId436" display="Voir la fiche"/>
    <hyperlink ref="R526" r:id="rId437" display="Voir la fiche"/>
    <hyperlink ref="R527" r:id="rId438" display="Voir la fiche"/>
    <hyperlink ref="R528" r:id="rId439" display="Voir la fiche"/>
    <hyperlink ref="R529" r:id="rId440" display="Voir la fiche"/>
    <hyperlink ref="R530" r:id="rId441" display="Voir la fiche"/>
    <hyperlink ref="R531" r:id="rId442" display="Voir la fiche"/>
    <hyperlink ref="R532" r:id="rId443" display="Voir la fiche"/>
    <hyperlink ref="R533" r:id="rId444" display="Voir la fiche"/>
    <hyperlink ref="R534" r:id="rId445" display="Voir la fiche"/>
    <hyperlink ref="R535" r:id="rId446" display="Voir la fiche"/>
    <hyperlink ref="R536" r:id="rId447" display="Voir la fiche"/>
    <hyperlink ref="R537" r:id="rId448" display="Voir la fiche"/>
    <hyperlink ref="R539" r:id="rId449" display="Voir la fiche"/>
    <hyperlink ref="R540" r:id="rId450" display="Voir la fiche"/>
    <hyperlink ref="R542" r:id="rId451" display="Voir la fiche"/>
    <hyperlink ref="R543" r:id="rId452" display="Voir la fiche"/>
    <hyperlink ref="R544" r:id="rId453" display="Voir la fiche"/>
    <hyperlink ref="R546" r:id="rId454" display="Voir la fiche"/>
    <hyperlink ref="R547" r:id="rId455" display="Voir la fiche"/>
    <hyperlink ref="R548" r:id="rId456" display="Voir la fiche"/>
    <hyperlink ref="R549" r:id="rId457" display="Voir la fiche"/>
    <hyperlink ref="R550" r:id="rId458" display="Voir la fiche"/>
    <hyperlink ref="R551" r:id="rId459" display="Voir la fiche"/>
    <hyperlink ref="R552" r:id="rId460" display="Voir la fiche"/>
    <hyperlink ref="R553" r:id="rId461" display="Voir la fiche"/>
    <hyperlink ref="R554" r:id="rId462" display="Voir la fiche"/>
    <hyperlink ref="R555" r:id="rId463" display="Voir la fiche"/>
    <hyperlink ref="R556" r:id="rId464" display="Voir la fiche"/>
    <hyperlink ref="R557" r:id="rId465" display="Voir la fiche"/>
    <hyperlink ref="R558" r:id="rId466" display="Voir la fiche"/>
    <hyperlink ref="R559" r:id="rId467" display="Voir la fiche"/>
    <hyperlink ref="R560" r:id="rId468" display="Voir la fiche"/>
    <hyperlink ref="R561" r:id="rId469" display="Voir la fiche"/>
    <hyperlink ref="R562" r:id="rId470" display="Voir la fiche"/>
    <hyperlink ref="R563" r:id="rId471" display="Voir la fiche"/>
    <hyperlink ref="R564" r:id="rId472" display="Voir la fiche"/>
    <hyperlink ref="R565" r:id="rId473" display="Voir la fiche"/>
    <hyperlink ref="R566" r:id="rId474" display="Voir la fiche"/>
    <hyperlink ref="R567" r:id="rId475" display="Voir la fiche"/>
    <hyperlink ref="R568" r:id="rId476" display="Voir la fiche"/>
    <hyperlink ref="R569" r:id="rId477" display="Voir la fiche"/>
    <hyperlink ref="R570" r:id="rId478" display="Voir la fiche"/>
    <hyperlink ref="R571" r:id="rId479" display="Voir la fiche"/>
    <hyperlink ref="R572" r:id="rId480" display="Voir la fiche"/>
    <hyperlink ref="R573" r:id="rId481" display="Voir la fiche"/>
    <hyperlink ref="R574" r:id="rId482" display="Voir la fiche"/>
    <hyperlink ref="R575" r:id="rId483" display="Voir la fiche"/>
    <hyperlink ref="R576" r:id="rId484" display="Voir la fiche"/>
    <hyperlink ref="R577" r:id="rId485" display="Voir la fiche"/>
    <hyperlink ref="R578" r:id="rId486" display="Voir la fiche"/>
    <hyperlink ref="R579" r:id="rId487" display="Voir la fiche"/>
    <hyperlink ref="R580" r:id="rId488" display="Voir la fiche"/>
    <hyperlink ref="R581" r:id="rId489" display="Voir la fiche"/>
    <hyperlink ref="R582" r:id="rId490" display="Voir la fiche"/>
    <hyperlink ref="R583" r:id="rId491" display="Voir la fiche"/>
    <hyperlink ref="R584" r:id="rId492" display="Voir la fiche"/>
    <hyperlink ref="R586" r:id="rId493" display="Voir la fiche"/>
    <hyperlink ref="R587" r:id="rId494" display="Voir la fiche"/>
    <hyperlink ref="R588" r:id="rId495" display="Voir la fiche"/>
    <hyperlink ref="R589" r:id="rId496" display="Voir la fiche"/>
    <hyperlink ref="R590" r:id="rId497" display="Voir la fiche"/>
    <hyperlink ref="R591" r:id="rId498" display="Voir la fiche"/>
    <hyperlink ref="R592" r:id="rId499" display="Voir la fiche"/>
    <hyperlink ref="R593" r:id="rId500" display="Voir la fiche"/>
    <hyperlink ref="R594" r:id="rId501" display="Voir la fiche"/>
    <hyperlink ref="R595" r:id="rId502" display="Voir la fiche"/>
    <hyperlink ref="R596" r:id="rId503" display="Voir la fiche"/>
    <hyperlink ref="R597" r:id="rId504" display="Voir la fiche"/>
    <hyperlink ref="R598" r:id="rId505" display="Voir la fiche"/>
    <hyperlink ref="R599" r:id="rId506" display="Voir la fiche"/>
    <hyperlink ref="R600" r:id="rId507" display="Voir la fiche"/>
    <hyperlink ref="R601" r:id="rId508" display="Voir la fiche"/>
    <hyperlink ref="R602" r:id="rId509" display="Voir la fiche"/>
    <hyperlink ref="R603" r:id="rId510" display="Voir la fiche"/>
    <hyperlink ref="R604" r:id="rId511" display="Voir la fiche"/>
    <hyperlink ref="R605" r:id="rId512" display="Voir la fiche"/>
    <hyperlink ref="R606" r:id="rId513" display="Voir la fiche"/>
    <hyperlink ref="R607" r:id="rId514" display="Voir la fiche"/>
    <hyperlink ref="R608" r:id="rId515" display="Voir la fiche"/>
    <hyperlink ref="R609" r:id="rId516" display="Voir la fiche"/>
    <hyperlink ref="R610" r:id="rId517" display="Voir la fiche"/>
    <hyperlink ref="R611" r:id="rId518" display="Voir la fiche"/>
    <hyperlink ref="R612" r:id="rId519" display="Voir la fiche"/>
    <hyperlink ref="R614" r:id="rId520" display="Voir la fiche"/>
    <hyperlink ref="R615" r:id="rId521" display="Voir la fiche"/>
    <hyperlink ref="R616" r:id="rId522" display="Voir la fiche"/>
    <hyperlink ref="R617" r:id="rId523" display="Voir la fiche"/>
    <hyperlink ref="R618" r:id="rId524" display="Voir la fiche"/>
    <hyperlink ref="R619" r:id="rId525" display="Voir la fiche"/>
    <hyperlink ref="R620" r:id="rId526" display="Voir la fiche"/>
    <hyperlink ref="R621" r:id="rId527" display="Voir la fiche"/>
    <hyperlink ref="R622" r:id="rId528" display="Voir la fiche"/>
    <hyperlink ref="R623" r:id="rId529" display="Voir la fiche"/>
    <hyperlink ref="R624" r:id="rId530" display="Voir la fiche"/>
    <hyperlink ref="R625" r:id="rId531" display="Voir la fiche"/>
    <hyperlink ref="R626" r:id="rId532" display="Voir la fiche"/>
    <hyperlink ref="R627" r:id="rId533" display="Voir la fiche"/>
    <hyperlink ref="R628" r:id="rId534" display="Voir la fiche"/>
    <hyperlink ref="R629" r:id="rId535" display="Voir la fiche"/>
    <hyperlink ref="R630" r:id="rId536" display="Voir la fiche"/>
    <hyperlink ref="R631" r:id="rId537" display="Voir la fiche"/>
    <hyperlink ref="R632" r:id="rId538" display="Voir la fiche"/>
    <hyperlink ref="R633" r:id="rId539" display="Voir la fiche"/>
    <hyperlink ref="R634" r:id="rId540" display="Voir la fiche"/>
    <hyperlink ref="R635" r:id="rId541" display="Voir la fiche"/>
    <hyperlink ref="R636" r:id="rId542" display="Voir la fiche"/>
    <hyperlink ref="R637" r:id="rId543" display="Voir la fiche"/>
    <hyperlink ref="R638" r:id="rId544" display="Voir la fiche"/>
    <hyperlink ref="R639" r:id="rId545" display="Voir la fiche"/>
    <hyperlink ref="R640" r:id="rId546" display="Voir la fiche"/>
    <hyperlink ref="R641" r:id="rId547" display="Voir la fiche"/>
    <hyperlink ref="R642" r:id="rId548" display="Voir la fiche"/>
    <hyperlink ref="R643" r:id="rId549" display="Voir la fiche"/>
    <hyperlink ref="R644" r:id="rId550" display="Voir la fiche"/>
    <hyperlink ref="R645" r:id="rId551" display="Voir la fiche"/>
    <hyperlink ref="R646" r:id="rId552" display="Voir la fiche"/>
    <hyperlink ref="R647" r:id="rId553" display="Voir la fiche"/>
    <hyperlink ref="R648" r:id="rId554" display="Voir la fiche"/>
    <hyperlink ref="R650" r:id="rId555" display="Voir la fiche"/>
    <hyperlink ref="R651" r:id="rId556" display="Voir la fiche"/>
    <hyperlink ref="R652" r:id="rId557" display="Voir la fiche"/>
    <hyperlink ref="R653" r:id="rId558" display="Voir la fiche"/>
    <hyperlink ref="R654" r:id="rId559" display="Voir la fiche"/>
    <hyperlink ref="R655" r:id="rId560" display="Voir la fiche"/>
    <hyperlink ref="R656" r:id="rId561" display="Voir la fiche"/>
    <hyperlink ref="R657" r:id="rId562" display="Voir la fiche"/>
    <hyperlink ref="R658" r:id="rId563" display="Voir la fiche"/>
    <hyperlink ref="R659" r:id="rId564" display="Voir la fiche"/>
    <hyperlink ref="R661" r:id="rId565" display="Voir la fiche"/>
    <hyperlink ref="R662" r:id="rId566" display="Voir la fiche"/>
    <hyperlink ref="R663" r:id="rId567" display="Voir la fiche"/>
    <hyperlink ref="R664" r:id="rId568" display="Voir la fiche"/>
    <hyperlink ref="R665" r:id="rId569" display="Voir la fiche"/>
    <hyperlink ref="R666" r:id="rId570" display="Voir la fiche"/>
    <hyperlink ref="R667" r:id="rId571" display="Voir la fiche"/>
    <hyperlink ref="R668" r:id="rId572" display="Voir la fiche"/>
    <hyperlink ref="R669" r:id="rId573" display="Voir la fiche"/>
    <hyperlink ref="R670" r:id="rId574" display="Voir la fiche"/>
    <hyperlink ref="R671" r:id="rId575" display="Voir la fiche"/>
    <hyperlink ref="R672" r:id="rId576" display="Voir la fiche"/>
    <hyperlink ref="R673" r:id="rId577" display="Voir la fiche"/>
    <hyperlink ref="R674" r:id="rId578" display="Voir la fiche"/>
    <hyperlink ref="R675" r:id="rId579" display="Voir la fiche"/>
    <hyperlink ref="R676" r:id="rId580" display="Voir la fiche"/>
    <hyperlink ref="R677" r:id="rId581" display="Voir la fiche"/>
    <hyperlink ref="R678" r:id="rId582" display="Voir la fiche"/>
    <hyperlink ref="R679" r:id="rId583" display="Voir la fiche"/>
    <hyperlink ref="R680" r:id="rId584" display="Voir la fiche"/>
    <hyperlink ref="R682" r:id="rId585" display="Voir la fiche"/>
    <hyperlink ref="R683" r:id="rId586" display="Voir la fiche"/>
    <hyperlink ref="R684" r:id="rId587" display="Voir la fiche"/>
    <hyperlink ref="R685" r:id="rId588" display="Voir la fiche"/>
    <hyperlink ref="R686" r:id="rId589" display="Voir la fiche"/>
    <hyperlink ref="R687" r:id="rId590" display="Voir la fiche"/>
    <hyperlink ref="R688" r:id="rId591" display="Voir la fiche"/>
    <hyperlink ref="R689" r:id="rId592" display="Voir la fiche"/>
    <hyperlink ref="R690" r:id="rId593" display="Voir la fiche"/>
    <hyperlink ref="R691" r:id="rId594" display="Voir la fiche"/>
    <hyperlink ref="R692" r:id="rId595" display="Voir la fiche"/>
    <hyperlink ref="R693" r:id="rId596" display="Voir la fiche"/>
    <hyperlink ref="R694" r:id="rId597" display="Voir la fiche"/>
    <hyperlink ref="R695" r:id="rId598" display="Voir la fiche"/>
    <hyperlink ref="R696" r:id="rId599" display="Voir la fiche"/>
    <hyperlink ref="R697" r:id="rId600" display="Voir la fiche"/>
    <hyperlink ref="R698" r:id="rId601" display="Voir la fiche"/>
    <hyperlink ref="R699" r:id="rId602" display="Voir la fiche"/>
    <hyperlink ref="R700" r:id="rId603" display="Voir la fiche"/>
    <hyperlink ref="R701" r:id="rId604" display="Voir la fiche"/>
    <hyperlink ref="R702" r:id="rId605" display="Voir la fiche"/>
    <hyperlink ref="R703" r:id="rId606" display="Voir la fiche"/>
    <hyperlink ref="R704" r:id="rId607" display="Voir la fiche"/>
    <hyperlink ref="R705" r:id="rId608" display="Voir la fiche"/>
    <hyperlink ref="R706" r:id="rId609" display="Voir la fiche"/>
    <hyperlink ref="R707" r:id="rId610" display="Voir la fiche"/>
    <hyperlink ref="R708" r:id="rId611" display="Voir la fiche"/>
    <hyperlink ref="R709" r:id="rId612" display="Voir la fiche"/>
    <hyperlink ref="R711" r:id="rId613" display="Voir la fiche"/>
    <hyperlink ref="R712" r:id="rId614" display="Voir la fiche"/>
    <hyperlink ref="R713" r:id="rId615" display="Voir la fiche"/>
    <hyperlink ref="R714" r:id="rId616" display="Voir la fiche"/>
    <hyperlink ref="R715" r:id="rId617" display="Voir la fiche"/>
    <hyperlink ref="R716" r:id="rId618" display="Voir la fiche"/>
    <hyperlink ref="R717" r:id="rId619" display="Voir la fiche"/>
    <hyperlink ref="R718" r:id="rId620" display="Voir la fiche"/>
    <hyperlink ref="R719" r:id="rId621" display="Voir la fiche"/>
    <hyperlink ref="R720" r:id="rId622" display="Voir la fiche"/>
    <hyperlink ref="R721" r:id="rId623" display="Voir la fiche"/>
    <hyperlink ref="R722" r:id="rId624" display="Voir la fiche"/>
    <hyperlink ref="R724" r:id="rId625" display="Voir la fiche"/>
    <hyperlink ref="R725" r:id="rId626" display="Voir la fiche"/>
    <hyperlink ref="R727" r:id="rId627" display="Voir la fiche"/>
    <hyperlink ref="R728" r:id="rId628" display="Voir la fiche"/>
    <hyperlink ref="R729" r:id="rId629" display="Voir la fiche"/>
    <hyperlink ref="R730" r:id="rId630" display="Voir la fiche"/>
    <hyperlink ref="R731" r:id="rId631" display="Voir la fiche"/>
    <hyperlink ref="R732" r:id="rId632" display="Voir la fiche"/>
    <hyperlink ref="R733" r:id="rId633" display="Voir la fiche"/>
    <hyperlink ref="R734" r:id="rId634" display="Voir la fiche"/>
    <hyperlink ref="R735" r:id="rId635" display="Voir la fiche"/>
    <hyperlink ref="R736" r:id="rId636" display="Voir la fiche"/>
    <hyperlink ref="R737" r:id="rId637" display="Voir la fiche"/>
    <hyperlink ref="R738" r:id="rId638" display="Voir la fiche"/>
    <hyperlink ref="R739" r:id="rId639" display="Voir la fiche"/>
    <hyperlink ref="R740" r:id="rId640" display="Voir la fiche"/>
    <hyperlink ref="R741" r:id="rId641" display="Voir la fiche"/>
    <hyperlink ref="R742" r:id="rId642" display="Voir la fiche"/>
    <hyperlink ref="R743" r:id="rId643" display="Voir la fiche"/>
    <hyperlink ref="R744" r:id="rId644" display="Voir la fiche"/>
    <hyperlink ref="R745" r:id="rId645" display="Voir la fiche"/>
    <hyperlink ref="R746" r:id="rId646" display="Voir la fiche"/>
    <hyperlink ref="R747" r:id="rId647" display="Voir la fiche"/>
    <hyperlink ref="R748" r:id="rId648" display="Voir la fiche"/>
    <hyperlink ref="R749" r:id="rId649" display="Voir la fiche"/>
    <hyperlink ref="R750" r:id="rId650" display="Voir la fiche"/>
    <hyperlink ref="R751" r:id="rId651" display="Voir la fiche"/>
    <hyperlink ref="R752" r:id="rId652" display="Voir la fiche"/>
    <hyperlink ref="R753" r:id="rId653" display="Voir la fiche"/>
    <hyperlink ref="R754" r:id="rId654" display="Voir la fiche"/>
    <hyperlink ref="R755" r:id="rId655" display="Voir la fiche"/>
    <hyperlink ref="R756" r:id="rId656" display="Voir la fiche"/>
    <hyperlink ref="R757" r:id="rId657" display="Voir la fiche"/>
    <hyperlink ref="R758" r:id="rId658" display="Voir la fiche"/>
    <hyperlink ref="R759" r:id="rId659" display="Voir la fiche"/>
    <hyperlink ref="R760" r:id="rId660" display="Voir la fiche"/>
    <hyperlink ref="R761" r:id="rId661" display="Voir la fiche"/>
    <hyperlink ref="R762" r:id="rId662" display="Voir la fiche"/>
    <hyperlink ref="R763" r:id="rId663" display="Voir la fiche"/>
    <hyperlink ref="R765" r:id="rId664" display="Voir la fiche"/>
    <hyperlink ref="R766" r:id="rId665" display="Voir la fiche"/>
    <hyperlink ref="R767" r:id="rId666" display="Voir la fiche"/>
    <hyperlink ref="R768" r:id="rId667" display="Voir la fiche"/>
    <hyperlink ref="R769" r:id="rId668" display="Voir la fiche"/>
    <hyperlink ref="R770" r:id="rId669" display="Voir la fiche"/>
    <hyperlink ref="R772" r:id="rId670" display="Voir la fiche"/>
    <hyperlink ref="R773" r:id="rId671" display="Voir la fiche"/>
    <hyperlink ref="R774" r:id="rId672" display="Voir la fiche"/>
    <hyperlink ref="R775" r:id="rId673" display="Voir la fiche"/>
    <hyperlink ref="R776" r:id="rId674" display="Voir la fiche"/>
    <hyperlink ref="R777" r:id="rId675" display="Voir la fiche"/>
    <hyperlink ref="R778" r:id="rId676" display="Voir la fiche"/>
    <hyperlink ref="R779" r:id="rId677" display="Voir la fiche"/>
    <hyperlink ref="R780" r:id="rId678" display="Voir la fiche"/>
    <hyperlink ref="R781" r:id="rId679" display="Voir la fiche"/>
    <hyperlink ref="R782" r:id="rId680" display="Voir la fiche"/>
    <hyperlink ref="R783" r:id="rId681" display="Voir la fiche"/>
    <hyperlink ref="R784" r:id="rId682" display="Voir la fiche"/>
    <hyperlink ref="R785" r:id="rId683" display="Voir la fiche"/>
    <hyperlink ref="R786" r:id="rId684" display="Voir la fiche"/>
    <hyperlink ref="R787" r:id="rId685" display="Voir la fiche"/>
    <hyperlink ref="R788" r:id="rId686" display="Voir la fiche"/>
    <hyperlink ref="R789" r:id="rId687" display="Voir la fiche"/>
    <hyperlink ref="R790" r:id="rId688" display="Voir la fiche"/>
    <hyperlink ref="R791" r:id="rId689" display="Voir la fiche"/>
    <hyperlink ref="R793" r:id="rId690" display="Voir la fiche"/>
    <hyperlink ref="R794" r:id="rId691" display="Voir la fiche"/>
    <hyperlink ref="R795" r:id="rId692" display="Voir la fiche"/>
    <hyperlink ref="R796" r:id="rId693" display="Voir la fiche"/>
    <hyperlink ref="R797" r:id="rId694" display="Voir la fiche"/>
    <hyperlink ref="R798" r:id="rId695" display="Voir la fiche"/>
    <hyperlink ref="R799" r:id="rId696" display="Voir la fiche"/>
    <hyperlink ref="R800" r:id="rId697" display="Voir la fiche"/>
    <hyperlink ref="R801" r:id="rId698" display="Voir la fiche"/>
    <hyperlink ref="R802" r:id="rId699" display="Voir la fiche"/>
    <hyperlink ref="R803" r:id="rId700" display="Voir la fiche"/>
    <hyperlink ref="R804" r:id="rId701" display="Voir la fiche"/>
    <hyperlink ref="R805" r:id="rId702" display="Voir la fiche"/>
    <hyperlink ref="R806" r:id="rId703" display="Voir la fiche"/>
    <hyperlink ref="R808" r:id="rId704" display="Voir la fiche"/>
    <hyperlink ref="R809" r:id="rId705" display="Voir la fiche"/>
    <hyperlink ref="R811" r:id="rId706" display="Voir la fiche"/>
    <hyperlink ref="R812" r:id="rId707" display="Voir la fiche"/>
    <hyperlink ref="R813" r:id="rId708" display="Voir la fiche"/>
    <hyperlink ref="R814" r:id="rId709" display="Voir la fiche"/>
    <hyperlink ref="R815" r:id="rId710" display="Voir la fiche"/>
    <hyperlink ref="R816" r:id="rId711" display="Voir la fiche"/>
    <hyperlink ref="R818" r:id="rId712" display="Voir la fiche"/>
    <hyperlink ref="R819" r:id="rId713" display="Voir la fiche"/>
    <hyperlink ref="R820" r:id="rId714" display="Voir la fiche"/>
    <hyperlink ref="R821" r:id="rId715" display="Voir la fiche"/>
    <hyperlink ref="R822" r:id="rId716" display="Voir la fiche"/>
    <hyperlink ref="R823" r:id="rId717" display="Voir la fiche"/>
    <hyperlink ref="R824" r:id="rId718" display="Voir la fiche"/>
    <hyperlink ref="R825" r:id="rId719" display="Voir la fiche"/>
    <hyperlink ref="R826" r:id="rId720" display="Voir la fiche"/>
    <hyperlink ref="R827" r:id="rId721" display="Voir la fiche"/>
    <hyperlink ref="R828" r:id="rId722" display="Voir la fiche"/>
    <hyperlink ref="R829" r:id="rId723" display="Voir la fiche"/>
    <hyperlink ref="R830" r:id="rId724" display="Voir la fiche"/>
    <hyperlink ref="R832" r:id="rId725" display="Voir la fiche"/>
    <hyperlink ref="R833" r:id="rId726" display="Voir la fiche"/>
    <hyperlink ref="R834" r:id="rId727" display="Voir la fiche"/>
    <hyperlink ref="R835" r:id="rId728" display="Voir la fiche"/>
    <hyperlink ref="R836" r:id="rId729" display="Voir la fiche"/>
    <hyperlink ref="R837" r:id="rId730" display="Voir la fiche"/>
    <hyperlink ref="R838" r:id="rId731" display="Voir la fiche"/>
    <hyperlink ref="R839" r:id="rId732" display="Voir la fiche"/>
    <hyperlink ref="R840" r:id="rId733" display="Voir la fiche"/>
    <hyperlink ref="R841" r:id="rId734" display="Voir la fiche"/>
    <hyperlink ref="R842" r:id="rId735" display="Voir la fiche"/>
    <hyperlink ref="R843" r:id="rId736" display="Voir la fiche"/>
    <hyperlink ref="R844" r:id="rId737" display="Voir la fiche"/>
    <hyperlink ref="R845" r:id="rId738" display="Voir la fiche"/>
    <hyperlink ref="R846" r:id="rId739" display="Voir la fiche"/>
    <hyperlink ref="R847" r:id="rId740" display="Voir la fiche"/>
    <hyperlink ref="R848" r:id="rId741" display="Voir la fiche"/>
    <hyperlink ref="R849" r:id="rId742" display="Voir la fiche"/>
    <hyperlink ref="R850" r:id="rId743" display="Voir la fiche"/>
    <hyperlink ref="R851" r:id="rId744" display="Voir la fiche"/>
    <hyperlink ref="R852" r:id="rId745" display="Voir la fiche"/>
    <hyperlink ref="R853" r:id="rId746" display="Voir la fiche"/>
    <hyperlink ref="R855" r:id="rId747" display="Voir la fiche"/>
    <hyperlink ref="R856" r:id="rId748" display="Voir la fiche"/>
    <hyperlink ref="R857" r:id="rId749" display="Voir la fiche"/>
    <hyperlink ref="R859" r:id="rId750" display="Voir la fiche"/>
    <hyperlink ref="R860" r:id="rId751" display="Voir la fiche"/>
    <hyperlink ref="R861" r:id="rId752" display="Voir la fiche"/>
    <hyperlink ref="R862" r:id="rId753" display="Voir la fiche"/>
    <hyperlink ref="R863" r:id="rId754" display="Voir la fiche"/>
    <hyperlink ref="R864" r:id="rId755" display="Voir la fiche"/>
    <hyperlink ref="R865" r:id="rId756" display="Voir la fiche"/>
    <hyperlink ref="R866" r:id="rId757" display="Voir la fiche"/>
    <hyperlink ref="R867" r:id="rId758" display="Voir la fiche"/>
    <hyperlink ref="R868" r:id="rId759" display="Voir la fiche"/>
    <hyperlink ref="R869" r:id="rId760" display="Voir la fiche"/>
    <hyperlink ref="R870" r:id="rId761" display="Voir la fiche"/>
    <hyperlink ref="R871" r:id="rId762" display="Voir la fiche"/>
    <hyperlink ref="R872" r:id="rId763" display="Voir la fiche"/>
    <hyperlink ref="R873" r:id="rId764" display="Voir la fiche"/>
    <hyperlink ref="R874" r:id="rId765" display="Voir la fiche"/>
    <hyperlink ref="R875" r:id="rId766" display="Voir la fiche"/>
    <hyperlink ref="R876" r:id="rId767" display="Voir la fiche"/>
    <hyperlink ref="R877" r:id="rId768" display="Voir la fiche"/>
    <hyperlink ref="R878" r:id="rId769" display="Voir la fiche"/>
    <hyperlink ref="R880" r:id="rId770" display="Voir la fiche"/>
    <hyperlink ref="R881" r:id="rId771" display="Voir la fiche"/>
    <hyperlink ref="R882" r:id="rId772" display="Voir la fiche"/>
    <hyperlink ref="R883" r:id="rId773" display="Voir la fiche"/>
    <hyperlink ref="R884" r:id="rId774" display="Voir la fiche"/>
    <hyperlink ref="R886" r:id="rId775" display="Voir la fiche"/>
    <hyperlink ref="R887" r:id="rId776" display="Voir la fiche"/>
    <hyperlink ref="R888" r:id="rId777" display="Voir la fiche"/>
    <hyperlink ref="R889" r:id="rId778" display="Voir la fiche"/>
    <hyperlink ref="R890" r:id="rId779" display="Voir la fiche"/>
    <hyperlink ref="R891" r:id="rId780" display="Voir la fiche"/>
    <hyperlink ref="R892" r:id="rId781" display="Voir la fiche"/>
    <hyperlink ref="R893" r:id="rId782" display="Voir la fiche"/>
    <hyperlink ref="R894" r:id="rId783" display="Voir la fiche"/>
    <hyperlink ref="R895" r:id="rId784" display="Voir la fiche"/>
    <hyperlink ref="R896" r:id="rId785" display="Voir la fiche"/>
    <hyperlink ref="R897" r:id="rId786" display="Voir la fiche"/>
    <hyperlink ref="R899" r:id="rId787" display="Voir la fiche"/>
    <hyperlink ref="R900" r:id="rId788" display="Voir la fiche"/>
    <hyperlink ref="R901" r:id="rId789" display="Voir la fiche"/>
    <hyperlink ref="R902" r:id="rId790" display="Voir la fiche"/>
    <hyperlink ref="R903" r:id="rId791" display="Voir la fiche"/>
    <hyperlink ref="R904" r:id="rId792" display="Voir la fiche"/>
    <hyperlink ref="R905" r:id="rId793" display="Voir la fiche"/>
    <hyperlink ref="R906" r:id="rId794" display="Voir la fiche"/>
    <hyperlink ref="R907" r:id="rId795" display="Voir la fiche"/>
    <hyperlink ref="R908" r:id="rId796" display="Voir la fiche"/>
    <hyperlink ref="R909" r:id="rId797" display="Voir la fiche"/>
    <hyperlink ref="R910" r:id="rId798" display="Voir la fiche"/>
    <hyperlink ref="R911" r:id="rId799" display="Voir la fiche"/>
    <hyperlink ref="R912" r:id="rId800" display="Voir la fiche"/>
    <hyperlink ref="R913" r:id="rId801" display="Voir la fiche"/>
    <hyperlink ref="R914" r:id="rId802" display="Voir la fiche"/>
    <hyperlink ref="R915" r:id="rId803" display="Voir la fiche"/>
    <hyperlink ref="R916" r:id="rId804" display="Voir la fiche"/>
    <hyperlink ref="R917" r:id="rId805" display="Voir la fiche"/>
    <hyperlink ref="R918" r:id="rId806" display="Voir la fiche"/>
    <hyperlink ref="R919" r:id="rId807" display="Voir la fiche"/>
    <hyperlink ref="R920" r:id="rId808" display="Voir la fiche"/>
    <hyperlink ref="R921" r:id="rId809" display="Voir la fiche"/>
    <hyperlink ref="R922" r:id="rId810" display="Voir la fiche"/>
    <hyperlink ref="R923" r:id="rId811" display="Voir la fiche"/>
    <hyperlink ref="R924" r:id="rId812" display="Voir la fiche"/>
    <hyperlink ref="R925" r:id="rId813" display="Voir la fiche"/>
    <hyperlink ref="R926" r:id="rId814" display="Voir la fiche"/>
    <hyperlink ref="R927" r:id="rId815" display="Voir la fiche"/>
    <hyperlink ref="R928" r:id="rId816" display="Voir la fiche"/>
    <hyperlink ref="R929" r:id="rId817" display="Voir la fiche"/>
    <hyperlink ref="R930" r:id="rId818" display="Voir la fiche"/>
    <hyperlink ref="R931" r:id="rId819" display="Voir la fiche"/>
    <hyperlink ref="R932" r:id="rId820" display="Voir la fiche"/>
    <hyperlink ref="R933" r:id="rId821" display="Voir la fiche"/>
    <hyperlink ref="R934" r:id="rId822" display="Voir la fiche"/>
    <hyperlink ref="R935" r:id="rId823" display="Voir la fiche"/>
    <hyperlink ref="R936" r:id="rId824" display="Voir la fiche"/>
    <hyperlink ref="R937" r:id="rId825" display="Voir la fiche"/>
    <hyperlink ref="R938" r:id="rId826" display="Voir la fiche"/>
    <hyperlink ref="R939" r:id="rId827" display="Voir la fiche"/>
    <hyperlink ref="R940" r:id="rId828" display="Voir la fiche"/>
    <hyperlink ref="R941" r:id="rId829" display="Voir la fiche"/>
    <hyperlink ref="R942" r:id="rId830" display="Voir la fiche"/>
    <hyperlink ref="R943" r:id="rId831" display="Voir la fiche"/>
    <hyperlink ref="R944" r:id="rId832" display="Voir la fiche"/>
    <hyperlink ref="R946" r:id="rId833" display="Voir la fiche"/>
    <hyperlink ref="R947" r:id="rId834" display="Voir la fiche"/>
    <hyperlink ref="R948" r:id="rId835" display="Voir la fiche"/>
    <hyperlink ref="R949" r:id="rId836" display="Voir la fiche"/>
    <hyperlink ref="R950" r:id="rId837" display="Voir la fiche"/>
    <hyperlink ref="R951" r:id="rId838" display="Voir la fiche"/>
    <hyperlink ref="R952" r:id="rId839" display="Voir la fiche"/>
    <hyperlink ref="R953" r:id="rId840" display="Voir la fiche"/>
    <hyperlink ref="R954" r:id="rId841" display="Voir la fiche"/>
    <hyperlink ref="R955" r:id="rId842" display="Voir la fiche"/>
    <hyperlink ref="R956" r:id="rId843" display="Voir la fiche"/>
    <hyperlink ref="R957" r:id="rId844" display="Voir la fiche"/>
    <hyperlink ref="R958" r:id="rId845" display="Voir la fiche"/>
    <hyperlink ref="R959" r:id="rId846" display="Voir la fiche"/>
    <hyperlink ref="R961" r:id="rId847" display="Voir la fiche"/>
    <hyperlink ref="R962" r:id="rId848" display="Voir la fiche"/>
    <hyperlink ref="R963" r:id="rId849" display="Voir la fiche"/>
    <hyperlink ref="R965" r:id="rId850" display="Voir la fiche"/>
    <hyperlink ref="R966" r:id="rId851" display="Voir la fiche"/>
    <hyperlink ref="R967" r:id="rId852" display="Voir la fiche"/>
    <hyperlink ref="R968" r:id="rId853" display="Voir la fiche"/>
    <hyperlink ref="R969" r:id="rId854" display="Voir la fiche"/>
    <hyperlink ref="R970" r:id="rId855" display="Voir la fiche"/>
    <hyperlink ref="R971" r:id="rId856" display="Voir la fiche"/>
    <hyperlink ref="R972" r:id="rId857" display="Voir la fiche"/>
    <hyperlink ref="R973" r:id="rId858" display="Voir la fiche"/>
    <hyperlink ref="R974" r:id="rId859" display="Voir la fiche"/>
    <hyperlink ref="R975" r:id="rId860" display="Voir la fiche"/>
    <hyperlink ref="R977" r:id="rId861" display="Voir la fiche"/>
    <hyperlink ref="R978" r:id="rId862" display="Voir la fiche"/>
    <hyperlink ref="R981" r:id="rId863" display="Voir la fiche"/>
    <hyperlink ref="R982" r:id="rId864" display="Voir la fiche"/>
    <hyperlink ref="R983" r:id="rId865" display="Voir la fiche"/>
    <hyperlink ref="R984" r:id="rId866" display="Voir la fiche"/>
    <hyperlink ref="R985" r:id="rId867" display="Voir la fiche"/>
    <hyperlink ref="R986" r:id="rId868" display="Voir la fiche"/>
    <hyperlink ref="R987" r:id="rId869" display="Voir la fiche"/>
    <hyperlink ref="R988" r:id="rId870" display="Voir la fiche"/>
    <hyperlink ref="R989" r:id="rId871" display="Voir la fiche"/>
    <hyperlink ref="R990" r:id="rId872" display="Voir la fiche"/>
    <hyperlink ref="R991" r:id="rId873" display="Voir la fiche"/>
    <hyperlink ref="R992" r:id="rId874" display="Voir la fiche"/>
    <hyperlink ref="R993" r:id="rId875" display="Voir la fiche"/>
    <hyperlink ref="R994" r:id="rId876" display="Voir la fiche"/>
    <hyperlink ref="R995" r:id="rId877" display="Voir la fiche"/>
    <hyperlink ref="R996" r:id="rId878" display="Voir la fiche"/>
    <hyperlink ref="R997" r:id="rId879" display="Voir la fiche"/>
    <hyperlink ref="R999" r:id="rId880" display="Voir la fiche"/>
    <hyperlink ref="R1000" r:id="rId881" display="Voir la fiche"/>
    <hyperlink ref="R1002" r:id="rId882" display="Voir la fiche"/>
    <hyperlink ref="R1003" r:id="rId883" display="Voir la fiche"/>
    <hyperlink ref="R1004" r:id="rId884" display="Voir la fiche"/>
    <hyperlink ref="R1005" r:id="rId885" display="Voir la fiche"/>
    <hyperlink ref="R1006" r:id="rId886" display="Voir la fiche"/>
    <hyperlink ref="R1007" r:id="rId887" display="Voir la fiche"/>
    <hyperlink ref="R1008" r:id="rId888" display="Voir la fiche"/>
    <hyperlink ref="R1009" r:id="rId889" display="Voir la fiche"/>
    <hyperlink ref="R1010" r:id="rId890" display="Voir la fiche"/>
    <hyperlink ref="R1011" r:id="rId891" display="Voir la fiche"/>
    <hyperlink ref="R1012" r:id="rId892" display="Voir la fiche"/>
    <hyperlink ref="R1013" r:id="rId893" display="Voir la fiche"/>
    <hyperlink ref="R1014" r:id="rId894" display="Voir la fiche"/>
    <hyperlink ref="R1015" r:id="rId895" display="Voir la fiche"/>
    <hyperlink ref="R1016" r:id="rId896" display="Voir la fiche"/>
    <hyperlink ref="R1017" r:id="rId897" display="Voir la fiche"/>
    <hyperlink ref="R1018" r:id="rId898" display="Voir la fiche"/>
    <hyperlink ref="R1019" r:id="rId899" display="Voir la fiche"/>
    <hyperlink ref="R1020" r:id="rId900" display="Voir la fiche"/>
    <hyperlink ref="R1021" r:id="rId901" display="Voir la fiche"/>
    <hyperlink ref="R1022" r:id="rId902" display="Voir la fiche"/>
    <hyperlink ref="R1023" r:id="rId903" display="Voir la fiche"/>
    <hyperlink ref="R1024" r:id="rId904" display="Voir la fiche"/>
    <hyperlink ref="R1025" r:id="rId905" display="Voir la fiche"/>
    <hyperlink ref="R1026" r:id="rId906" display="Voir la fiche"/>
    <hyperlink ref="R1027" r:id="rId907" display="Voir la fiche"/>
    <hyperlink ref="R1028" r:id="rId908" display="Voir la fiche"/>
    <hyperlink ref="R1029" r:id="rId909" display="Voir la fiche"/>
    <hyperlink ref="R1030" r:id="rId910" display="Voir la fiche"/>
    <hyperlink ref="R1031" r:id="rId911" display="Voir la fiche"/>
    <hyperlink ref="R1032" r:id="rId912" display="Voir la fiche"/>
    <hyperlink ref="R1033" r:id="rId913" display="Voir la fiche"/>
    <hyperlink ref="R1034" r:id="rId914" display="Voir la fiche"/>
    <hyperlink ref="R1035" r:id="rId915" display="Voir la fiche"/>
    <hyperlink ref="R1036" r:id="rId916" display="Voir la fiche"/>
    <hyperlink ref="R1037" r:id="rId917" display="Voir la fiche"/>
    <hyperlink ref="R1038" r:id="rId918" display="Voir la fiche"/>
    <hyperlink ref="R1039" r:id="rId919" display="Voir la fiche"/>
    <hyperlink ref="R1040" r:id="rId920" display="Voir la fiche"/>
    <hyperlink ref="R1041" r:id="rId921" display="Voir la fiche"/>
    <hyperlink ref="R1042" r:id="rId922" display="Voir la fiche"/>
    <hyperlink ref="R1043" r:id="rId923" display="Voir la fiche"/>
    <hyperlink ref="R1044" r:id="rId924" display="Voir la fiche"/>
    <hyperlink ref="R1045" r:id="rId925" display="Voir la fiche"/>
    <hyperlink ref="R1046" r:id="rId926" display="Voir la fiche"/>
    <hyperlink ref="R1047" r:id="rId927" display="Voir la fiche"/>
    <hyperlink ref="R1048" r:id="rId928" display="Voir la fiche"/>
    <hyperlink ref="R1049" r:id="rId929" display="Voir la fiche"/>
    <hyperlink ref="R1050" r:id="rId930" display="Voir la fiche"/>
    <hyperlink ref="R1051" r:id="rId931" display="Voir la fiche"/>
    <hyperlink ref="R1052" r:id="rId932" display="Voir la fiche"/>
    <hyperlink ref="R1053" r:id="rId933" display="Voir la fiche"/>
    <hyperlink ref="R1054" r:id="rId934" display="Voir la fiche"/>
    <hyperlink ref="R1055" r:id="rId935" display="Voir la fiche"/>
    <hyperlink ref="R1056" r:id="rId936" display="Voir la fiche"/>
    <hyperlink ref="R1057" r:id="rId937" display="Voir la fiche"/>
    <hyperlink ref="R1058" r:id="rId938" display="Voir la fiche"/>
    <hyperlink ref="R1059" r:id="rId939" display="Voir la fiche"/>
    <hyperlink ref="R1060" r:id="rId940" display="Voir la fiche"/>
    <hyperlink ref="R1061" r:id="rId941" display="Voir la fiche"/>
    <hyperlink ref="R1062" r:id="rId942" display="Voir la fiche"/>
    <hyperlink ref="R1063" r:id="rId943" display="Voir la fiche"/>
    <hyperlink ref="R1064" r:id="rId944" display="Voir la fiche"/>
    <hyperlink ref="R1065" r:id="rId945" display="Voir la fiche"/>
    <hyperlink ref="R1066" r:id="rId946" display="Voir la fiche"/>
    <hyperlink ref="R1067" r:id="rId947" display="Voir la fiche"/>
    <hyperlink ref="R1068" r:id="rId948" display="Voir la fiche"/>
    <hyperlink ref="R1069" r:id="rId949" display="Voir la fiche"/>
    <hyperlink ref="R1070" r:id="rId950" display="Voir la fiche"/>
    <hyperlink ref="R1071" r:id="rId951" display="Voir la fiche"/>
    <hyperlink ref="R1072" r:id="rId952" display="Voir la fiche"/>
    <hyperlink ref="R1073" r:id="rId953" display="Voir la fiche"/>
    <hyperlink ref="R1074" r:id="rId954" display="Voir la fiche"/>
    <hyperlink ref="R1075" r:id="rId955" display="Voir la fiche"/>
    <hyperlink ref="R1076" r:id="rId956" display="Voir la fiche"/>
    <hyperlink ref="R1077" r:id="rId957" display="Voir la fiche"/>
    <hyperlink ref="R1078" r:id="rId958" display="Voir la fiche"/>
    <hyperlink ref="R1079" r:id="rId959" display="Voir la fiche"/>
    <hyperlink ref="R1080" r:id="rId960" display="Voir la fiche"/>
    <hyperlink ref="R1081" r:id="rId961" display="Voir la fiche"/>
    <hyperlink ref="R1082" r:id="rId962" display="Voir la fiche"/>
    <hyperlink ref="R1083" r:id="rId963" display="Voir la fiche"/>
    <hyperlink ref="R1084" r:id="rId964" display="Voir la fiche"/>
    <hyperlink ref="R1085" r:id="rId965" display="Voir la fiche"/>
    <hyperlink ref="R1086" r:id="rId966" display="Voir la fiche"/>
    <hyperlink ref="R1087" r:id="rId967" display="Voir la fiche"/>
    <hyperlink ref="R1088" r:id="rId968" display="Voir la fiche"/>
    <hyperlink ref="R1089" r:id="rId969" display="Voir la fiche"/>
    <hyperlink ref="R1090" r:id="rId970" display="Voir la fiche"/>
    <hyperlink ref="R1091" r:id="rId971" display="Voir la fiche"/>
    <hyperlink ref="R1092" r:id="rId972" display="Voir la fiche"/>
    <hyperlink ref="R1093" r:id="rId973" display="Voir la fiche"/>
    <hyperlink ref="R1094" r:id="rId974" display="Voir la fiche"/>
    <hyperlink ref="R1095" r:id="rId975" display="Voir la fiche"/>
    <hyperlink ref="R1096" r:id="rId976" display="Voir la fiche"/>
    <hyperlink ref="R1097" r:id="rId977" display="Voir la fiche"/>
    <hyperlink ref="R1098" r:id="rId978" display="Voir la fiche"/>
    <hyperlink ref="R1099" r:id="rId979" display="Voir la fiche"/>
    <hyperlink ref="R1100" r:id="rId980" display="Voir la fiche"/>
    <hyperlink ref="R1101" r:id="rId981" display="Voir la fiche"/>
    <hyperlink ref="R1102" r:id="rId982" display="Voir la fiche"/>
    <hyperlink ref="R1103" r:id="rId983" display="Voir la fiche"/>
    <hyperlink ref="R1104" r:id="rId984" display="Voir la fiche"/>
    <hyperlink ref="R1105" r:id="rId985" display="Voir la fiche"/>
    <hyperlink ref="R1106" r:id="rId986" display="Voir la fiche"/>
    <hyperlink ref="R1107" r:id="rId987" display="Voir la fiche"/>
    <hyperlink ref="R1108" r:id="rId988" display="Voir la fiche"/>
    <hyperlink ref="R1109" r:id="rId989" display="Voir la fiche"/>
    <hyperlink ref="R1110" r:id="rId990" display="Voir la fiche"/>
    <hyperlink ref="R1111" r:id="rId991" display="Voir la fiche"/>
    <hyperlink ref="R1112" r:id="rId992" display="Voir la fiche"/>
    <hyperlink ref="R1113" r:id="rId993" display="Voir la fiche"/>
    <hyperlink ref="R1114" r:id="rId994" display="Voir la fiche"/>
    <hyperlink ref="R1115" r:id="rId995" display="Voir la fiche"/>
    <hyperlink ref="R1116" r:id="rId996" display="Voir la fiche"/>
    <hyperlink ref="R1117" r:id="rId997" display="Voir la fiche"/>
    <hyperlink ref="R1118" r:id="rId998" display="Voir la fiche"/>
    <hyperlink ref="R1119" r:id="rId999" display="Voir la fiche"/>
    <hyperlink ref="R1120" r:id="rId1000" display="Voir la fiche"/>
    <hyperlink ref="R1121" r:id="rId1001" display="Voir la fiche"/>
    <hyperlink ref="R1122" r:id="rId1002" display="Voir la fiche"/>
    <hyperlink ref="R1123" r:id="rId1003" display="Voir la fiche"/>
    <hyperlink ref="R1124" r:id="rId1004" display="Voir la fiche"/>
    <hyperlink ref="R1125" r:id="rId1005" display="Voir la fiche"/>
    <hyperlink ref="R1126" r:id="rId1006" display="Voir la fiche"/>
    <hyperlink ref="R1127" r:id="rId1007" display="Voir la fiche"/>
    <hyperlink ref="R1128" r:id="rId1008" display="Voir la fiche"/>
    <hyperlink ref="R1129" r:id="rId1009" display="Voir la fiche"/>
    <hyperlink ref="R1130" r:id="rId1010" display="Voir la fiche"/>
    <hyperlink ref="R1131" r:id="rId1011" display="Voir la fiche"/>
    <hyperlink ref="R1132" r:id="rId1012" display="Voir la fiche"/>
    <hyperlink ref="R1133" r:id="rId1013" display="Voir la fiche"/>
    <hyperlink ref="R1134" r:id="rId1014" display="Voir la fiche"/>
    <hyperlink ref="R1135" r:id="rId1015" display="Voir la fiche"/>
    <hyperlink ref="R1136" r:id="rId1016" display="Voir la fiche"/>
    <hyperlink ref="R1137" r:id="rId1017" display="Voir la fiche"/>
    <hyperlink ref="R1138" r:id="rId1018" display="Voir la fiche"/>
    <hyperlink ref="R1139" r:id="rId1019" display="Voir la fiche"/>
    <hyperlink ref="R1140" r:id="rId1020" display="Voir la fiche"/>
    <hyperlink ref="R1141" r:id="rId1021" display="Voir la fiche"/>
    <hyperlink ref="R1142" r:id="rId1022" display="Voir la fiche"/>
    <hyperlink ref="R1143" r:id="rId1023" display="Voir la fiche"/>
    <hyperlink ref="R1144" r:id="rId1024" display="Voir la fiche"/>
    <hyperlink ref="R1145" r:id="rId1025" display="Voir la fiche"/>
    <hyperlink ref="R1146" r:id="rId1026" display="Voir la fiche"/>
    <hyperlink ref="R1147" r:id="rId1027" display="Voir la fiche"/>
    <hyperlink ref="R1148" r:id="rId1028" display="Voir la fiche"/>
    <hyperlink ref="R1149" r:id="rId1029" display="Voir la fiche"/>
    <hyperlink ref="R1150" r:id="rId1030" display="Voir la fiche"/>
    <hyperlink ref="R1151" r:id="rId1031" display="Voir la fiche"/>
    <hyperlink ref="R1152" r:id="rId1032" display="Voir la fiche"/>
    <hyperlink ref="R1153" r:id="rId1033"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03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C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58"/>
  </cols>
  <sheetData>
    <row r="1" customFormat="false" ht="30" hidden="false" customHeight="true" outlineLevel="0" collapsed="false">
      <c r="A1" s="14" t="s">
        <v>3644</v>
      </c>
      <c r="B1" s="14"/>
      <c r="C1" s="14"/>
    </row>
    <row r="2" customFormat="false" ht="30" hidden="false" customHeight="true" outlineLevel="0" collapsed="false">
      <c r="A2" s="3" t="s">
        <v>3645</v>
      </c>
      <c r="B2" s="3"/>
      <c r="C2" s="3"/>
    </row>
    <row r="4" customFormat="false" ht="31.5" hidden="false" customHeight="true" outlineLevel="0" collapsed="false">
      <c r="A4" s="18" t="s">
        <v>3646</v>
      </c>
      <c r="B4" s="18" t="s">
        <v>3647</v>
      </c>
      <c r="C4" s="18" t="s">
        <v>3648</v>
      </c>
    </row>
    <row r="5" customFormat="false" ht="15" hidden="false" customHeight="false" outlineLevel="0" collapsed="false">
      <c r="A5" s="50" t="s">
        <v>3649</v>
      </c>
      <c r="B5" s="77" t="n">
        <v>42</v>
      </c>
      <c r="C5" s="78" t="s">
        <v>3650</v>
      </c>
    </row>
    <row r="6" customFormat="false" ht="15" hidden="false" customHeight="false" outlineLevel="0" collapsed="false">
      <c r="A6" s="56" t="s">
        <v>3651</v>
      </c>
      <c r="B6" s="79" t="n">
        <v>40</v>
      </c>
      <c r="C6" s="80" t="s">
        <v>3652</v>
      </c>
    </row>
    <row r="7" customFormat="false" ht="15" hidden="false" customHeight="false" outlineLevel="0" collapsed="false">
      <c r="A7" s="50" t="s">
        <v>3653</v>
      </c>
      <c r="B7" s="77" t="n">
        <v>7</v>
      </c>
      <c r="C7" s="78" t="s">
        <v>3654</v>
      </c>
    </row>
    <row r="8" customFormat="false" ht="15" hidden="false" customHeight="false" outlineLevel="0" collapsed="false">
      <c r="A8" s="56" t="s">
        <v>3655</v>
      </c>
      <c r="B8" s="79" t="n">
        <v>2</v>
      </c>
      <c r="C8" s="80" t="s">
        <v>3656</v>
      </c>
    </row>
    <row r="9" customFormat="false" ht="15" hidden="false" customHeight="false" outlineLevel="0" collapsed="false">
      <c r="A9" s="50" t="s">
        <v>3657</v>
      </c>
      <c r="B9" s="77"/>
      <c r="C9" s="78" t="s">
        <v>3658</v>
      </c>
    </row>
    <row r="10" customFormat="false" ht="15" hidden="false" customHeight="false" outlineLevel="0" collapsed="false">
      <c r="A10" s="56" t="s">
        <v>3659</v>
      </c>
      <c r="B10" s="79" t="n">
        <v>1</v>
      </c>
      <c r="C10" s="80" t="s">
        <v>3660</v>
      </c>
    </row>
    <row r="11" customFormat="false" ht="15" hidden="false" customHeight="false" outlineLevel="0" collapsed="false">
      <c r="A11" s="50" t="s">
        <v>3661</v>
      </c>
      <c r="B11" s="77" t="n">
        <v>20</v>
      </c>
      <c r="C11" s="78" t="s">
        <v>3662</v>
      </c>
    </row>
    <row r="12" customFormat="false" ht="15" hidden="false" customHeight="false" outlineLevel="0" collapsed="false">
      <c r="A12" s="56" t="s">
        <v>3663</v>
      </c>
      <c r="B12" s="79" t="n">
        <v>10</v>
      </c>
      <c r="C12" s="80" t="s">
        <v>3664</v>
      </c>
    </row>
    <row r="13" customFormat="false" ht="15" hidden="false" customHeight="false" outlineLevel="0" collapsed="false">
      <c r="A13" s="50" t="s">
        <v>3665</v>
      </c>
      <c r="B13" s="77" t="n">
        <v>5.5</v>
      </c>
      <c r="C13" s="78" t="s">
        <v>3664</v>
      </c>
    </row>
  </sheetData>
  <mergeCells count="2">
    <mergeCell ref="A1:C1"/>
    <mergeCell ref="A2:C2"/>
  </mergeCells>
  <printOptions headings="false" gridLines="false" gridLinesSet="true" horizontalCentered="false" verticalCentered="false"/>
  <pageMargins left="0.25" right="0.25" top="0.4" bottom="0.4"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&amp;L&amp;8 Catalogue TCE ANELEC — 09/09/2026 — document interne&amp;R&amp;8 Page &amp;P /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G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2"/>
    <col collapsed="false" customWidth="true" hidden="false" outlineLevel="0" max="3" min="3" style="0" width="30"/>
    <col collapsed="false" customWidth="true" hidden="false" outlineLevel="0" max="4" min="4" style="0" width="18"/>
    <col collapsed="false" customWidth="true" hidden="false" outlineLevel="0" max="5" min="5" style="0" width="62"/>
    <col collapsed="false" customWidth="true" hidden="false" outlineLevel="0" max="6" min="6" style="0" width="16"/>
    <col collapsed="false" customWidth="true" hidden="false" outlineLevel="0" max="7" min="7" style="0" width="15"/>
  </cols>
  <sheetData>
    <row r="1" customFormat="false" ht="30" hidden="false" customHeight="true" outlineLevel="0" collapsed="false">
      <c r="A1" s="14" t="s">
        <v>3666</v>
      </c>
      <c r="B1" s="14"/>
      <c r="C1" s="14"/>
      <c r="D1" s="14"/>
      <c r="E1" s="14"/>
      <c r="F1" s="14"/>
      <c r="G1" s="14"/>
    </row>
    <row r="2" customFormat="false" ht="30" hidden="false" customHeight="true" outlineLevel="0" collapsed="false">
      <c r="A2" s="3" t="s">
        <v>3667</v>
      </c>
      <c r="B2" s="3"/>
      <c r="C2" s="3"/>
      <c r="D2" s="3"/>
      <c r="E2" s="3"/>
      <c r="F2" s="3"/>
      <c r="G2" s="3"/>
    </row>
    <row r="4" customFormat="false" ht="31.5" hidden="false" customHeight="true" outlineLevel="0" collapsed="false">
      <c r="A4" s="18" t="s">
        <v>3668</v>
      </c>
      <c r="B4" s="18" t="s">
        <v>3669</v>
      </c>
      <c r="C4" s="18" t="s">
        <v>3670</v>
      </c>
      <c r="D4" s="18" t="s">
        <v>3671</v>
      </c>
      <c r="E4" s="18" t="s">
        <v>3672</v>
      </c>
      <c r="F4" s="18" t="s">
        <v>3673</v>
      </c>
      <c r="G4" s="18" t="s">
        <v>3674</v>
      </c>
    </row>
    <row r="5" customFormat="false" ht="42" hidden="false" customHeight="true" outlineLevel="0" collapsed="false">
      <c r="A5" s="19" t="s">
        <v>76</v>
      </c>
      <c r="B5" s="81" t="s">
        <v>3675</v>
      </c>
      <c r="C5" s="63" t="s">
        <v>3676</v>
      </c>
      <c r="D5" s="82" t="s">
        <v>3677</v>
      </c>
      <c r="E5" s="19" t="s">
        <v>3678</v>
      </c>
      <c r="F5" s="83" t="n">
        <v>397</v>
      </c>
      <c r="G5" s="83" t="n">
        <v>211</v>
      </c>
    </row>
    <row r="6" customFormat="false" ht="42" hidden="false" customHeight="true" outlineLevel="0" collapsed="false">
      <c r="A6" s="19" t="s">
        <v>3309</v>
      </c>
      <c r="B6" s="81" t="s">
        <v>3679</v>
      </c>
      <c r="C6" s="63" t="s">
        <v>3676</v>
      </c>
      <c r="D6" s="82" t="s">
        <v>3677</v>
      </c>
      <c r="E6" s="19" t="s">
        <v>3680</v>
      </c>
      <c r="F6" s="83" t="n">
        <v>150</v>
      </c>
      <c r="G6" s="83" t="n">
        <v>150</v>
      </c>
    </row>
    <row r="7" customFormat="false" ht="42" hidden="false" customHeight="true" outlineLevel="0" collapsed="false">
      <c r="A7" s="19" t="s">
        <v>77</v>
      </c>
      <c r="B7" s="81" t="s">
        <v>3681</v>
      </c>
      <c r="C7" s="63" t="s">
        <v>3682</v>
      </c>
      <c r="D7" s="84" t="s">
        <v>3683</v>
      </c>
      <c r="E7" s="19" t="s">
        <v>3684</v>
      </c>
      <c r="F7" s="83" t="n">
        <v>29489</v>
      </c>
      <c r="G7" s="83" t="n">
        <v>93</v>
      </c>
    </row>
    <row r="8" customFormat="false" ht="42" hidden="false" customHeight="true" outlineLevel="0" collapsed="false">
      <c r="A8" s="19" t="s">
        <v>78</v>
      </c>
      <c r="B8" s="81" t="s">
        <v>3685</v>
      </c>
      <c r="C8" s="63" t="s">
        <v>3682</v>
      </c>
      <c r="D8" s="84" t="s">
        <v>3683</v>
      </c>
      <c r="E8" s="19" t="s">
        <v>3686</v>
      </c>
      <c r="F8" s="83" t="n">
        <v>290</v>
      </c>
      <c r="G8" s="83" t="n">
        <v>37</v>
      </c>
    </row>
    <row r="9" customFormat="false" ht="42" hidden="false" customHeight="true" outlineLevel="0" collapsed="false">
      <c r="A9" s="19" t="s">
        <v>79</v>
      </c>
      <c r="B9" s="81" t="s">
        <v>3687</v>
      </c>
      <c r="C9" s="63" t="s">
        <v>3688</v>
      </c>
      <c r="D9" s="84" t="s">
        <v>3683</v>
      </c>
      <c r="E9" s="19" t="s">
        <v>3689</v>
      </c>
      <c r="F9" s="83" t="n">
        <v>661</v>
      </c>
      <c r="G9" s="83" t="n">
        <v>76</v>
      </c>
    </row>
    <row r="10" customFormat="false" ht="42" hidden="false" customHeight="true" outlineLevel="0" collapsed="false">
      <c r="A10" s="19" t="s">
        <v>80</v>
      </c>
      <c r="B10" s="81" t="s">
        <v>3690</v>
      </c>
      <c r="C10" s="63" t="s">
        <v>3691</v>
      </c>
      <c r="D10" s="84" t="s">
        <v>3683</v>
      </c>
      <c r="E10" s="19" t="s">
        <v>3692</v>
      </c>
      <c r="F10" s="83" t="n">
        <v>397</v>
      </c>
      <c r="G10" s="83" t="n">
        <v>202</v>
      </c>
    </row>
    <row r="11" customFormat="false" ht="42" hidden="false" customHeight="true" outlineLevel="0" collapsed="false">
      <c r="A11" s="19" t="s">
        <v>81</v>
      </c>
      <c r="B11" s="81" t="s">
        <v>3693</v>
      </c>
      <c r="C11" s="63" t="s">
        <v>3694</v>
      </c>
      <c r="D11" s="82" t="s">
        <v>3695</v>
      </c>
      <c r="E11" s="19" t="s">
        <v>3696</v>
      </c>
      <c r="F11" s="83" t="n">
        <v>58250</v>
      </c>
      <c r="G11" s="83" t="n">
        <v>218</v>
      </c>
    </row>
    <row r="12" customFormat="false" ht="42" hidden="false" customHeight="true" outlineLevel="0" collapsed="false">
      <c r="A12" s="19" t="s">
        <v>82</v>
      </c>
      <c r="B12" s="81" t="s">
        <v>3697</v>
      </c>
      <c r="C12" s="63" t="s">
        <v>3682</v>
      </c>
      <c r="D12" s="84" t="s">
        <v>3683</v>
      </c>
      <c r="E12" s="19" t="s">
        <v>3698</v>
      </c>
      <c r="F12" s="83" t="n">
        <v>268</v>
      </c>
      <c r="G12" s="83" t="n">
        <v>55</v>
      </c>
    </row>
    <row r="13" customFormat="false" ht="42" hidden="false" customHeight="true" outlineLevel="0" collapsed="false">
      <c r="A13" s="19" t="s">
        <v>83</v>
      </c>
      <c r="B13" s="81" t="s">
        <v>3699</v>
      </c>
      <c r="C13" s="63" t="s">
        <v>3682</v>
      </c>
      <c r="D13" s="84" t="s">
        <v>3683</v>
      </c>
      <c r="E13" s="19" t="s">
        <v>3700</v>
      </c>
      <c r="F13" s="83" t="n">
        <v>296</v>
      </c>
      <c r="G13" s="83" t="n">
        <v>21</v>
      </c>
    </row>
  </sheetData>
  <mergeCells count="2">
    <mergeCell ref="A1:G1"/>
    <mergeCell ref="A2:G2"/>
  </mergeCells>
  <hyperlinks>
    <hyperlink ref="B5" r:id="rId1" display="https://www.afdb.fr"/>
    <hyperlink ref="B6" r:id="rId2" display="https://icilux.com/fr/"/>
    <hyperlink ref="B7" r:id="rId3" display="https://www.yesss-fr.com"/>
    <hyperlink ref="B8" r:id="rId4" display="https://www.rexel.fr"/>
    <hyperlink ref="B9" r:id="rId5" display="https://www.laplateforme.com"/>
    <hyperlink ref="B10" r:id="rId6" display="https://www.chausson.fr"/>
    <hyperlink ref="B11" r:id="rId7" display="https://www.pointp.fr"/>
    <hyperlink ref="B12" r:id="rId8" display="https://www.prolians.fr"/>
    <hyperlink ref="B13" r:id="rId9" display="https://www.sfic.com"/>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G2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3" min="3" style="0" width="8"/>
    <col collapsed="false" customWidth="true" hidden="false" outlineLevel="0" max="4" min="4" style="0" width="14"/>
    <col collapsed="false" customWidth="true" hidden="false" outlineLevel="0" max="5" min="5" style="0" width="26"/>
    <col collapsed="false" customWidth="true" hidden="false" outlineLevel="0" max="6" min="6" style="0" width="40"/>
    <col collapsed="false" customWidth="true" hidden="false" outlineLevel="0" max="7" min="7" style="0" width="20"/>
  </cols>
  <sheetData>
    <row r="1" customFormat="false" ht="36" hidden="false" customHeight="true" outlineLevel="0" collapsed="false">
      <c r="A1" s="72" t="s">
        <v>3701</v>
      </c>
      <c r="B1" s="72" t="s">
        <v>3702</v>
      </c>
      <c r="C1" s="72" t="s">
        <v>75</v>
      </c>
      <c r="D1" s="72" t="s">
        <v>3703</v>
      </c>
      <c r="E1" s="72" t="s">
        <v>3704</v>
      </c>
      <c r="F1" s="72" t="s">
        <v>3705</v>
      </c>
      <c r="G1" s="72" t="s">
        <v>3671</v>
      </c>
    </row>
    <row r="2" customFormat="false" ht="15" hidden="false" customHeight="false" outlineLevel="0" collapsed="false">
      <c r="A2" s="24" t="s">
        <v>3706</v>
      </c>
      <c r="B2" s="23" t="s">
        <v>3707</v>
      </c>
      <c r="C2" s="26" t="s">
        <v>553</v>
      </c>
      <c r="D2" s="24" t="s">
        <v>3708</v>
      </c>
      <c r="E2" s="24" t="s">
        <v>66</v>
      </c>
      <c r="F2" s="23" t="s">
        <v>688</v>
      </c>
      <c r="G2" s="26" t="s">
        <v>3709</v>
      </c>
    </row>
    <row r="3" customFormat="false" ht="15" hidden="false" customHeight="false" outlineLevel="0" collapsed="false">
      <c r="A3" s="20" t="s">
        <v>3706</v>
      </c>
      <c r="B3" s="19" t="s">
        <v>3710</v>
      </c>
      <c r="C3" s="22" t="s">
        <v>553</v>
      </c>
      <c r="D3" s="20" t="s">
        <v>3711</v>
      </c>
      <c r="E3" s="20" t="s">
        <v>66</v>
      </c>
      <c r="F3" s="19" t="s">
        <v>684</v>
      </c>
      <c r="G3" s="22" t="s">
        <v>3709</v>
      </c>
    </row>
    <row r="4" customFormat="false" ht="15" hidden="false" customHeight="false" outlineLevel="0" collapsed="false">
      <c r="A4" s="24" t="s">
        <v>3706</v>
      </c>
      <c r="B4" s="23" t="s">
        <v>3712</v>
      </c>
      <c r="C4" s="26" t="s">
        <v>3713</v>
      </c>
      <c r="D4" s="24" t="s">
        <v>3714</v>
      </c>
      <c r="E4" s="24" t="s">
        <v>66</v>
      </c>
      <c r="F4" s="23" t="s">
        <v>686</v>
      </c>
      <c r="G4" s="26" t="s">
        <v>3709</v>
      </c>
    </row>
    <row r="5" customFormat="false" ht="15" hidden="false" customHeight="false" outlineLevel="0" collapsed="false">
      <c r="A5" s="20" t="s">
        <v>3706</v>
      </c>
      <c r="B5" s="19" t="s">
        <v>3715</v>
      </c>
      <c r="C5" s="22" t="s">
        <v>91</v>
      </c>
      <c r="D5" s="20" t="s">
        <v>3716</v>
      </c>
      <c r="E5" s="20" t="s">
        <v>66</v>
      </c>
      <c r="F5" s="19" t="s">
        <v>693</v>
      </c>
      <c r="G5" s="22" t="s">
        <v>3709</v>
      </c>
    </row>
    <row r="6" customFormat="false" ht="15" hidden="false" customHeight="false" outlineLevel="0" collapsed="false">
      <c r="A6" s="85" t="s">
        <v>3706</v>
      </c>
      <c r="B6" s="86" t="s">
        <v>3717</v>
      </c>
      <c r="C6" s="87" t="s">
        <v>91</v>
      </c>
      <c r="D6" s="85" t="s">
        <v>3718</v>
      </c>
      <c r="E6" s="85" t="s">
        <v>3719</v>
      </c>
      <c r="F6" s="86"/>
      <c r="G6" s="87" t="s">
        <v>3720</v>
      </c>
    </row>
    <row r="7" customFormat="false" ht="15" hidden="false" customHeight="false" outlineLevel="0" collapsed="false">
      <c r="A7" s="85" t="s">
        <v>3706</v>
      </c>
      <c r="B7" s="86" t="s">
        <v>3721</v>
      </c>
      <c r="C7" s="87" t="s">
        <v>3722</v>
      </c>
      <c r="D7" s="85" t="s">
        <v>3723</v>
      </c>
      <c r="E7" s="85" t="s">
        <v>3719</v>
      </c>
      <c r="F7" s="86"/>
      <c r="G7" s="87" t="s">
        <v>3720</v>
      </c>
    </row>
    <row r="8" customFormat="false" ht="15" hidden="false" customHeight="false" outlineLevel="0" collapsed="false">
      <c r="A8" s="24" t="s">
        <v>3706</v>
      </c>
      <c r="B8" s="23" t="s">
        <v>3724</v>
      </c>
      <c r="C8" s="26" t="s">
        <v>3722</v>
      </c>
      <c r="D8" s="24" t="s">
        <v>3725</v>
      </c>
      <c r="E8" s="24" t="s">
        <v>66</v>
      </c>
      <c r="F8" s="23" t="s">
        <v>691</v>
      </c>
      <c r="G8" s="26" t="s">
        <v>3709</v>
      </c>
    </row>
    <row r="9" customFormat="false" ht="15" hidden="false" customHeight="false" outlineLevel="0" collapsed="false">
      <c r="A9" s="20" t="s">
        <v>3706</v>
      </c>
      <c r="B9" s="19" t="s">
        <v>3726</v>
      </c>
      <c r="C9" s="22" t="s">
        <v>2209</v>
      </c>
      <c r="D9" s="20" t="s">
        <v>3727</v>
      </c>
      <c r="E9" s="20" t="s">
        <v>66</v>
      </c>
      <c r="F9" s="19" t="s">
        <v>699</v>
      </c>
      <c r="G9" s="22" t="s">
        <v>3709</v>
      </c>
    </row>
    <row r="10" customFormat="false" ht="15" hidden="false" customHeight="false" outlineLevel="0" collapsed="false">
      <c r="A10" s="24" t="s">
        <v>3706</v>
      </c>
      <c r="B10" s="23" t="s">
        <v>3728</v>
      </c>
      <c r="C10" s="26" t="s">
        <v>2209</v>
      </c>
      <c r="D10" s="24" t="s">
        <v>3729</v>
      </c>
      <c r="E10" s="24" t="s">
        <v>66</v>
      </c>
      <c r="F10" s="23" t="s">
        <v>705</v>
      </c>
      <c r="G10" s="26" t="s">
        <v>3709</v>
      </c>
    </row>
    <row r="11" customFormat="false" ht="15" hidden="false" customHeight="false" outlineLevel="0" collapsed="false">
      <c r="A11" s="85" t="s">
        <v>3706</v>
      </c>
      <c r="B11" s="86" t="s">
        <v>3730</v>
      </c>
      <c r="C11" s="87" t="s">
        <v>137</v>
      </c>
      <c r="D11" s="85" t="s">
        <v>3731</v>
      </c>
      <c r="E11" s="85" t="s">
        <v>3719</v>
      </c>
      <c r="F11" s="86"/>
      <c r="G11" s="87" t="s">
        <v>3720</v>
      </c>
    </row>
    <row r="12" customFormat="false" ht="15" hidden="false" customHeight="false" outlineLevel="0" collapsed="false">
      <c r="A12" s="85" t="s">
        <v>3706</v>
      </c>
      <c r="B12" s="86" t="s">
        <v>3732</v>
      </c>
      <c r="C12" s="87" t="s">
        <v>137</v>
      </c>
      <c r="D12" s="85" t="s">
        <v>3733</v>
      </c>
      <c r="E12" s="85" t="s">
        <v>3719</v>
      </c>
      <c r="F12" s="86"/>
      <c r="G12" s="87" t="s">
        <v>3720</v>
      </c>
    </row>
    <row r="13" customFormat="false" ht="15" hidden="false" customHeight="false" outlineLevel="0" collapsed="false">
      <c r="A13" s="85" t="s">
        <v>3706</v>
      </c>
      <c r="B13" s="86" t="s">
        <v>3734</v>
      </c>
      <c r="C13" s="87" t="s">
        <v>2209</v>
      </c>
      <c r="D13" s="85" t="s">
        <v>3735</v>
      </c>
      <c r="E13" s="85" t="s">
        <v>3719</v>
      </c>
      <c r="F13" s="86"/>
      <c r="G13" s="87" t="s">
        <v>3720</v>
      </c>
    </row>
    <row r="14" customFormat="false" ht="15" hidden="false" customHeight="false" outlineLevel="0" collapsed="false">
      <c r="A14" s="85" t="s">
        <v>3706</v>
      </c>
      <c r="B14" s="86" t="s">
        <v>3736</v>
      </c>
      <c r="C14" s="87" t="s">
        <v>500</v>
      </c>
      <c r="D14" s="85" t="s">
        <v>3737</v>
      </c>
      <c r="E14" s="85" t="s">
        <v>3719</v>
      </c>
      <c r="F14" s="86"/>
      <c r="G14" s="87" t="s">
        <v>3720</v>
      </c>
    </row>
    <row r="15" customFormat="false" ht="15" hidden="false" customHeight="false" outlineLevel="0" collapsed="false">
      <c r="A15" s="85" t="s">
        <v>3706</v>
      </c>
      <c r="B15" s="86" t="s">
        <v>3738</v>
      </c>
      <c r="C15" s="87" t="s">
        <v>553</v>
      </c>
      <c r="D15" s="85" t="s">
        <v>3739</v>
      </c>
      <c r="E15" s="85" t="s">
        <v>3719</v>
      </c>
      <c r="F15" s="86"/>
      <c r="G15" s="87" t="s">
        <v>3720</v>
      </c>
    </row>
    <row r="16" customFormat="false" ht="15" hidden="false" customHeight="false" outlineLevel="0" collapsed="false">
      <c r="A16" s="85" t="s">
        <v>3706</v>
      </c>
      <c r="B16" s="86" t="s">
        <v>3740</v>
      </c>
      <c r="C16" s="87" t="s">
        <v>91</v>
      </c>
      <c r="D16" s="85" t="s">
        <v>3741</v>
      </c>
      <c r="E16" s="85" t="s">
        <v>3719</v>
      </c>
      <c r="F16" s="86"/>
      <c r="G16" s="87" t="s">
        <v>3720</v>
      </c>
    </row>
    <row r="17" customFormat="false" ht="15" hidden="false" customHeight="false" outlineLevel="0" collapsed="false">
      <c r="A17" s="85" t="s">
        <v>3706</v>
      </c>
      <c r="B17" s="86" t="s">
        <v>3742</v>
      </c>
      <c r="C17" s="87" t="s">
        <v>91</v>
      </c>
      <c r="D17" s="85" t="s">
        <v>3743</v>
      </c>
      <c r="E17" s="85" t="s">
        <v>3719</v>
      </c>
      <c r="F17" s="86"/>
      <c r="G17" s="87" t="s">
        <v>3720</v>
      </c>
    </row>
    <row r="18" customFormat="false" ht="15" hidden="false" customHeight="false" outlineLevel="0" collapsed="false">
      <c r="A18" s="85" t="s">
        <v>3706</v>
      </c>
      <c r="B18" s="86" t="s">
        <v>3744</v>
      </c>
      <c r="C18" s="87" t="s">
        <v>137</v>
      </c>
      <c r="D18" s="85" t="s">
        <v>3745</v>
      </c>
      <c r="E18" s="85" t="s">
        <v>3719</v>
      </c>
      <c r="F18" s="86"/>
      <c r="G18" s="87" t="s">
        <v>3720</v>
      </c>
    </row>
    <row r="19" customFormat="false" ht="15" hidden="false" customHeight="false" outlineLevel="0" collapsed="false">
      <c r="A19" s="85" t="s">
        <v>3706</v>
      </c>
      <c r="B19" s="86" t="s">
        <v>3746</v>
      </c>
      <c r="C19" s="87" t="s">
        <v>553</v>
      </c>
      <c r="D19" s="85" t="s">
        <v>3747</v>
      </c>
      <c r="E19" s="85" t="s">
        <v>3719</v>
      </c>
      <c r="F19" s="86"/>
      <c r="G19" s="87" t="s">
        <v>3720</v>
      </c>
    </row>
    <row r="20" customFormat="false" ht="15" hidden="false" customHeight="false" outlineLevel="0" collapsed="false">
      <c r="A20" s="85" t="s">
        <v>3706</v>
      </c>
      <c r="B20" s="86" t="s">
        <v>3748</v>
      </c>
      <c r="C20" s="87" t="s">
        <v>91</v>
      </c>
      <c r="D20" s="85" t="s">
        <v>3749</v>
      </c>
      <c r="E20" s="85" t="s">
        <v>3719</v>
      </c>
      <c r="F20" s="86"/>
      <c r="G20" s="87" t="s">
        <v>3720</v>
      </c>
    </row>
    <row r="21" customFormat="false" ht="15" hidden="false" customHeight="false" outlineLevel="0" collapsed="false">
      <c r="A21" s="20" t="s">
        <v>3706</v>
      </c>
      <c r="B21" s="19" t="s">
        <v>3750</v>
      </c>
      <c r="C21" s="22" t="s">
        <v>708</v>
      </c>
      <c r="D21" s="20" t="s">
        <v>3751</v>
      </c>
      <c r="E21" s="20" t="s">
        <v>66</v>
      </c>
      <c r="F21" s="19" t="s">
        <v>707</v>
      </c>
      <c r="G21" s="22" t="s">
        <v>3709</v>
      </c>
    </row>
    <row r="22" customFormat="false" ht="15" hidden="false" customHeight="false" outlineLevel="0" collapsed="false">
      <c r="A22" s="24" t="s">
        <v>3752</v>
      </c>
      <c r="B22" s="23" t="s">
        <v>3753</v>
      </c>
      <c r="C22" s="26" t="s">
        <v>2209</v>
      </c>
      <c r="D22" s="24" t="s">
        <v>3754</v>
      </c>
      <c r="E22" s="24" t="s">
        <v>62</v>
      </c>
      <c r="F22" s="23" t="s">
        <v>525</v>
      </c>
      <c r="G22" s="26" t="s">
        <v>3709</v>
      </c>
    </row>
    <row r="23" customFormat="false" ht="15" hidden="false" customHeight="false" outlineLevel="0" collapsed="false">
      <c r="A23" s="20" t="s">
        <v>3752</v>
      </c>
      <c r="B23" s="19" t="s">
        <v>3755</v>
      </c>
      <c r="C23" s="22" t="s">
        <v>2209</v>
      </c>
      <c r="D23" s="20" t="s">
        <v>3756</v>
      </c>
      <c r="E23" s="20" t="s">
        <v>62</v>
      </c>
      <c r="F23" s="19" t="s">
        <v>527</v>
      </c>
      <c r="G23" s="22" t="s">
        <v>3709</v>
      </c>
    </row>
    <row r="24" customFormat="false" ht="15" hidden="false" customHeight="false" outlineLevel="0" collapsed="false">
      <c r="A24" s="24" t="s">
        <v>3752</v>
      </c>
      <c r="B24" s="23" t="s">
        <v>3757</v>
      </c>
      <c r="C24" s="26" t="s">
        <v>2209</v>
      </c>
      <c r="D24" s="24" t="s">
        <v>3758</v>
      </c>
      <c r="E24" s="24" t="s">
        <v>62</v>
      </c>
      <c r="F24" s="23" t="s">
        <v>531</v>
      </c>
      <c r="G24" s="26" t="s">
        <v>3709</v>
      </c>
    </row>
    <row r="25" customFormat="false" ht="15" hidden="false" customHeight="false" outlineLevel="0" collapsed="false">
      <c r="A25" s="88" t="s">
        <v>3752</v>
      </c>
      <c r="B25" s="89" t="s">
        <v>3759</v>
      </c>
      <c r="C25" s="90" t="s">
        <v>2209</v>
      </c>
      <c r="D25" s="88" t="s">
        <v>3760</v>
      </c>
      <c r="E25" s="88" t="s">
        <v>62</v>
      </c>
      <c r="F25" s="89" t="s">
        <v>529</v>
      </c>
      <c r="G25" s="90" t="s">
        <v>3761</v>
      </c>
    </row>
    <row r="26" customFormat="false" ht="15" hidden="false" customHeight="false" outlineLevel="0" collapsed="false">
      <c r="A26" s="85" t="s">
        <v>3752</v>
      </c>
      <c r="B26" s="86" t="s">
        <v>3762</v>
      </c>
      <c r="C26" s="87" t="s">
        <v>137</v>
      </c>
      <c r="D26" s="85" t="s">
        <v>3763</v>
      </c>
      <c r="E26" s="85" t="s">
        <v>3719</v>
      </c>
      <c r="F26" s="86"/>
      <c r="G26" s="87" t="s">
        <v>3720</v>
      </c>
    </row>
    <row r="27" customFormat="false" ht="15" hidden="false" customHeight="false" outlineLevel="0" collapsed="false">
      <c r="A27" s="88" t="s">
        <v>3752</v>
      </c>
      <c r="B27" s="89" t="s">
        <v>3764</v>
      </c>
      <c r="C27" s="90" t="s">
        <v>137</v>
      </c>
      <c r="D27" s="88" t="s">
        <v>3765</v>
      </c>
      <c r="E27" s="88" t="s">
        <v>62</v>
      </c>
      <c r="F27" s="89" t="s">
        <v>536</v>
      </c>
      <c r="G27" s="90" t="s">
        <v>3761</v>
      </c>
    </row>
    <row r="28" customFormat="false" ht="15" hidden="false" customHeight="false" outlineLevel="0" collapsed="false">
      <c r="A28" s="24" t="s">
        <v>3752</v>
      </c>
      <c r="B28" s="23" t="s">
        <v>3766</v>
      </c>
      <c r="C28" s="26" t="s">
        <v>2209</v>
      </c>
      <c r="D28" s="24" t="s">
        <v>3767</v>
      </c>
      <c r="E28" s="24" t="s">
        <v>62</v>
      </c>
      <c r="F28" s="23" t="s">
        <v>544</v>
      </c>
      <c r="G28" s="26" t="s">
        <v>3709</v>
      </c>
    </row>
    <row r="29" customFormat="false" ht="15" hidden="false" customHeight="false" outlineLevel="0" collapsed="false">
      <c r="A29" s="20" t="s">
        <v>3752</v>
      </c>
      <c r="B29" s="19" t="s">
        <v>3768</v>
      </c>
      <c r="C29" s="22" t="s">
        <v>2209</v>
      </c>
      <c r="D29" s="20" t="s">
        <v>3769</v>
      </c>
      <c r="E29" s="20" t="s">
        <v>62</v>
      </c>
      <c r="F29" s="19" t="s">
        <v>546</v>
      </c>
      <c r="G29" s="22" t="s">
        <v>3709</v>
      </c>
    </row>
    <row r="30" customFormat="false" ht="15" hidden="false" customHeight="false" outlineLevel="0" collapsed="false">
      <c r="A30" s="24" t="s">
        <v>3752</v>
      </c>
      <c r="B30" s="23" t="s">
        <v>3770</v>
      </c>
      <c r="C30" s="26" t="s">
        <v>708</v>
      </c>
      <c r="D30" s="24" t="s">
        <v>3771</v>
      </c>
      <c r="E30" s="24" t="s">
        <v>62</v>
      </c>
      <c r="F30" s="23" t="s">
        <v>552</v>
      </c>
      <c r="G30" s="26" t="s">
        <v>3709</v>
      </c>
    </row>
    <row r="31" customFormat="false" ht="15" hidden="false" customHeight="false" outlineLevel="0" collapsed="false">
      <c r="A31" s="85" t="s">
        <v>3752</v>
      </c>
      <c r="B31" s="86" t="s">
        <v>3772</v>
      </c>
      <c r="C31" s="87" t="s">
        <v>708</v>
      </c>
      <c r="D31" s="85" t="s">
        <v>3773</v>
      </c>
      <c r="E31" s="85" t="s">
        <v>3719</v>
      </c>
      <c r="F31" s="86"/>
      <c r="G31" s="87" t="s">
        <v>3720</v>
      </c>
    </row>
    <row r="32" customFormat="false" ht="15" hidden="false" customHeight="false" outlineLevel="0" collapsed="false">
      <c r="A32" s="24" t="s">
        <v>3752</v>
      </c>
      <c r="B32" s="23" t="s">
        <v>3774</v>
      </c>
      <c r="C32" s="26" t="s">
        <v>500</v>
      </c>
      <c r="D32" s="24" t="s">
        <v>3775</v>
      </c>
      <c r="E32" s="24" t="s">
        <v>63</v>
      </c>
      <c r="F32" s="23" t="s">
        <v>576</v>
      </c>
      <c r="G32" s="26" t="s">
        <v>3709</v>
      </c>
    </row>
    <row r="33" customFormat="false" ht="15" hidden="false" customHeight="false" outlineLevel="0" collapsed="false">
      <c r="A33" s="20" t="s">
        <v>3752</v>
      </c>
      <c r="B33" s="19" t="s">
        <v>3776</v>
      </c>
      <c r="C33" s="22" t="s">
        <v>500</v>
      </c>
      <c r="D33" s="20" t="s">
        <v>3777</v>
      </c>
      <c r="E33" s="20" t="s">
        <v>63</v>
      </c>
      <c r="F33" s="19" t="s">
        <v>581</v>
      </c>
      <c r="G33" s="22" t="s">
        <v>3709</v>
      </c>
    </row>
    <row r="34" customFormat="false" ht="15" hidden="false" customHeight="false" outlineLevel="0" collapsed="false">
      <c r="A34" s="24" t="s">
        <v>3752</v>
      </c>
      <c r="B34" s="23" t="s">
        <v>3778</v>
      </c>
      <c r="C34" s="26" t="s">
        <v>500</v>
      </c>
      <c r="D34" s="24" t="s">
        <v>3779</v>
      </c>
      <c r="E34" s="24" t="s">
        <v>63</v>
      </c>
      <c r="F34" s="23" t="s">
        <v>583</v>
      </c>
      <c r="G34" s="26" t="s">
        <v>3709</v>
      </c>
    </row>
    <row r="35" customFormat="false" ht="15" hidden="false" customHeight="false" outlineLevel="0" collapsed="false">
      <c r="A35" s="20" t="s">
        <v>3752</v>
      </c>
      <c r="B35" s="19" t="s">
        <v>3780</v>
      </c>
      <c r="C35" s="22" t="s">
        <v>2209</v>
      </c>
      <c r="D35" s="20" t="s">
        <v>3781</v>
      </c>
      <c r="E35" s="20" t="s">
        <v>64</v>
      </c>
      <c r="F35" s="19" t="s">
        <v>619</v>
      </c>
      <c r="G35" s="22" t="s">
        <v>3709</v>
      </c>
    </row>
    <row r="36" customFormat="false" ht="15" hidden="false" customHeight="false" outlineLevel="0" collapsed="false">
      <c r="A36" s="24" t="s">
        <v>3752</v>
      </c>
      <c r="B36" s="23" t="s">
        <v>3782</v>
      </c>
      <c r="C36" s="26" t="s">
        <v>553</v>
      </c>
      <c r="D36" s="24" t="s">
        <v>3783</v>
      </c>
      <c r="E36" s="24" t="s">
        <v>64</v>
      </c>
      <c r="F36" s="23" t="s">
        <v>625</v>
      </c>
      <c r="G36" s="26" t="s">
        <v>3709</v>
      </c>
    </row>
    <row r="37" customFormat="false" ht="15" hidden="false" customHeight="false" outlineLevel="0" collapsed="false">
      <c r="A37" s="20" t="s">
        <v>3752</v>
      </c>
      <c r="B37" s="19" t="s">
        <v>3784</v>
      </c>
      <c r="C37" s="22" t="s">
        <v>553</v>
      </c>
      <c r="D37" s="20" t="s">
        <v>3785</v>
      </c>
      <c r="E37" s="20" t="s">
        <v>64</v>
      </c>
      <c r="F37" s="19" t="s">
        <v>627</v>
      </c>
      <c r="G37" s="22" t="s">
        <v>3709</v>
      </c>
    </row>
    <row r="38" customFormat="false" ht="15" hidden="false" customHeight="false" outlineLevel="0" collapsed="false">
      <c r="A38" s="24" t="s">
        <v>3752</v>
      </c>
      <c r="B38" s="23" t="s">
        <v>3786</v>
      </c>
      <c r="C38" s="26" t="s">
        <v>2209</v>
      </c>
      <c r="D38" s="24" t="s">
        <v>3787</v>
      </c>
      <c r="E38" s="24" t="s">
        <v>64</v>
      </c>
      <c r="F38" s="23" t="s">
        <v>636</v>
      </c>
      <c r="G38" s="26" t="s">
        <v>3709</v>
      </c>
    </row>
    <row r="39" customFormat="false" ht="15" hidden="false" customHeight="false" outlineLevel="0" collapsed="false">
      <c r="A39" s="20" t="s">
        <v>3752</v>
      </c>
      <c r="B39" s="19" t="s">
        <v>3788</v>
      </c>
      <c r="C39" s="22" t="s">
        <v>2209</v>
      </c>
      <c r="D39" s="20" t="s">
        <v>3789</v>
      </c>
      <c r="E39" s="20" t="s">
        <v>64</v>
      </c>
      <c r="F39" s="19" t="s">
        <v>638</v>
      </c>
      <c r="G39" s="22" t="s">
        <v>3709</v>
      </c>
    </row>
    <row r="40" customFormat="false" ht="15" hidden="false" customHeight="false" outlineLevel="0" collapsed="false">
      <c r="A40" s="88" t="s">
        <v>3752</v>
      </c>
      <c r="B40" s="89" t="s">
        <v>3790</v>
      </c>
      <c r="C40" s="90" t="s">
        <v>91</v>
      </c>
      <c r="D40" s="88" t="s">
        <v>3791</v>
      </c>
      <c r="E40" s="88" t="s">
        <v>65</v>
      </c>
      <c r="F40" s="89" t="s">
        <v>653</v>
      </c>
      <c r="G40" s="90" t="s">
        <v>3761</v>
      </c>
    </row>
    <row r="41" customFormat="false" ht="15" hidden="false" customHeight="false" outlineLevel="0" collapsed="false">
      <c r="A41" s="20" t="s">
        <v>3752</v>
      </c>
      <c r="B41" s="19" t="s">
        <v>3792</v>
      </c>
      <c r="C41" s="22" t="s">
        <v>91</v>
      </c>
      <c r="D41" s="20" t="s">
        <v>3793</v>
      </c>
      <c r="E41" s="20" t="s">
        <v>65</v>
      </c>
      <c r="F41" s="19" t="s">
        <v>651</v>
      </c>
      <c r="G41" s="22" t="s">
        <v>3709</v>
      </c>
    </row>
    <row r="42" customFormat="false" ht="15" hidden="false" customHeight="false" outlineLevel="0" collapsed="false">
      <c r="A42" s="24" t="s">
        <v>3752</v>
      </c>
      <c r="B42" s="23" t="s">
        <v>3794</v>
      </c>
      <c r="C42" s="26" t="s">
        <v>137</v>
      </c>
      <c r="D42" s="24" t="s">
        <v>3795</v>
      </c>
      <c r="E42" s="24" t="s">
        <v>65</v>
      </c>
      <c r="F42" s="23" t="s">
        <v>665</v>
      </c>
      <c r="G42" s="26" t="s">
        <v>3709</v>
      </c>
    </row>
    <row r="43" customFormat="false" ht="15" hidden="false" customHeight="false" outlineLevel="0" collapsed="false">
      <c r="A43" s="20" t="s">
        <v>3752</v>
      </c>
      <c r="B43" s="19" t="s">
        <v>3796</v>
      </c>
      <c r="C43" s="22" t="s">
        <v>137</v>
      </c>
      <c r="D43" s="20" t="s">
        <v>3797</v>
      </c>
      <c r="E43" s="20" t="s">
        <v>62</v>
      </c>
      <c r="F43" s="19" t="s">
        <v>542</v>
      </c>
      <c r="G43" s="22" t="s">
        <v>3709</v>
      </c>
    </row>
    <row r="44" customFormat="false" ht="15" hidden="false" customHeight="false" outlineLevel="0" collapsed="false">
      <c r="A44" s="24" t="s">
        <v>3752</v>
      </c>
      <c r="B44" s="23" t="s">
        <v>3798</v>
      </c>
      <c r="C44" s="26" t="s">
        <v>374</v>
      </c>
      <c r="D44" s="24" t="s">
        <v>3799</v>
      </c>
      <c r="E44" s="24" t="s">
        <v>62</v>
      </c>
      <c r="F44" s="23" t="s">
        <v>558</v>
      </c>
      <c r="G44" s="26" t="s">
        <v>3709</v>
      </c>
    </row>
    <row r="45" customFormat="false" ht="15" hidden="false" customHeight="false" outlineLevel="0" collapsed="false">
      <c r="A45" s="85" t="s">
        <v>3752</v>
      </c>
      <c r="B45" s="86" t="s">
        <v>3800</v>
      </c>
      <c r="C45" s="87" t="s">
        <v>519</v>
      </c>
      <c r="D45" s="85" t="s">
        <v>3801</v>
      </c>
      <c r="E45" s="85" t="s">
        <v>3719</v>
      </c>
      <c r="F45" s="86"/>
      <c r="G45" s="87" t="s">
        <v>3720</v>
      </c>
    </row>
    <row r="46" customFormat="false" ht="15" hidden="false" customHeight="false" outlineLevel="0" collapsed="false">
      <c r="A46" s="85" t="s">
        <v>3802</v>
      </c>
      <c r="B46" s="86" t="s">
        <v>3803</v>
      </c>
      <c r="C46" s="87" t="s">
        <v>2301</v>
      </c>
      <c r="D46" s="85" t="s">
        <v>3804</v>
      </c>
      <c r="E46" s="85" t="s">
        <v>3719</v>
      </c>
      <c r="F46" s="86"/>
      <c r="G46" s="87" t="s">
        <v>3720</v>
      </c>
    </row>
    <row r="47" customFormat="false" ht="15" hidden="false" customHeight="false" outlineLevel="0" collapsed="false">
      <c r="A47" s="85" t="s">
        <v>3802</v>
      </c>
      <c r="B47" s="86" t="s">
        <v>3805</v>
      </c>
      <c r="C47" s="87" t="s">
        <v>2301</v>
      </c>
      <c r="D47" s="85" t="s">
        <v>3806</v>
      </c>
      <c r="E47" s="85" t="s">
        <v>3719</v>
      </c>
      <c r="F47" s="86"/>
      <c r="G47" s="87" t="s">
        <v>3720</v>
      </c>
    </row>
    <row r="48" customFormat="false" ht="15" hidden="false" customHeight="false" outlineLevel="0" collapsed="false">
      <c r="A48" s="24" t="s">
        <v>3802</v>
      </c>
      <c r="B48" s="23" t="s">
        <v>3807</v>
      </c>
      <c r="C48" s="26" t="s">
        <v>2301</v>
      </c>
      <c r="D48" s="24" t="s">
        <v>3808</v>
      </c>
      <c r="E48" s="24" t="s">
        <v>67</v>
      </c>
      <c r="F48" s="23" t="s">
        <v>730</v>
      </c>
      <c r="G48" s="26" t="s">
        <v>3709</v>
      </c>
    </row>
    <row r="49" customFormat="false" ht="15" hidden="false" customHeight="false" outlineLevel="0" collapsed="false">
      <c r="A49" s="20" t="s">
        <v>3802</v>
      </c>
      <c r="B49" s="19" t="s">
        <v>3809</v>
      </c>
      <c r="C49" s="22" t="s">
        <v>2301</v>
      </c>
      <c r="D49" s="20" t="s">
        <v>3810</v>
      </c>
      <c r="E49" s="20" t="s">
        <v>62</v>
      </c>
      <c r="F49" s="19" t="s">
        <v>566</v>
      </c>
      <c r="G49" s="22" t="s">
        <v>3709</v>
      </c>
    </row>
    <row r="50" customFormat="false" ht="15" hidden="false" customHeight="false" outlineLevel="0" collapsed="false">
      <c r="A50" s="85" t="s">
        <v>3802</v>
      </c>
      <c r="B50" s="86" t="s">
        <v>3811</v>
      </c>
      <c r="C50" s="87" t="s">
        <v>91</v>
      </c>
      <c r="D50" s="85" t="s">
        <v>3812</v>
      </c>
      <c r="E50" s="85" t="s">
        <v>3719</v>
      </c>
      <c r="F50" s="86"/>
      <c r="G50" s="87" t="s">
        <v>3720</v>
      </c>
    </row>
    <row r="51" customFormat="false" ht="15" hidden="false" customHeight="false" outlineLevel="0" collapsed="false">
      <c r="A51" s="20" t="s">
        <v>3802</v>
      </c>
      <c r="B51" s="19" t="s">
        <v>3813</v>
      </c>
      <c r="C51" s="22" t="s">
        <v>91</v>
      </c>
      <c r="D51" s="20" t="s">
        <v>3814</v>
      </c>
      <c r="E51" s="20" t="s">
        <v>65</v>
      </c>
      <c r="F51" s="19" t="s">
        <v>669</v>
      </c>
      <c r="G51" s="22" t="s">
        <v>3709</v>
      </c>
    </row>
    <row r="52" customFormat="false" ht="15" hidden="false" customHeight="false" outlineLevel="0" collapsed="false">
      <c r="A52" s="88" t="s">
        <v>3802</v>
      </c>
      <c r="B52" s="89" t="s">
        <v>3815</v>
      </c>
      <c r="C52" s="90" t="s">
        <v>91</v>
      </c>
      <c r="D52" s="88" t="s">
        <v>3816</v>
      </c>
      <c r="E52" s="88" t="s">
        <v>60</v>
      </c>
      <c r="F52" s="89" t="s">
        <v>464</v>
      </c>
      <c r="G52" s="90" t="s">
        <v>3761</v>
      </c>
    </row>
    <row r="53" customFormat="false" ht="15" hidden="false" customHeight="false" outlineLevel="0" collapsed="false">
      <c r="A53" s="20" t="s">
        <v>3802</v>
      </c>
      <c r="B53" s="19" t="s">
        <v>3817</v>
      </c>
      <c r="C53" s="22" t="s">
        <v>91</v>
      </c>
      <c r="D53" s="20" t="s">
        <v>3818</v>
      </c>
      <c r="E53" s="20" t="s">
        <v>56</v>
      </c>
      <c r="F53" s="19" t="s">
        <v>233</v>
      </c>
      <c r="G53" s="22" t="s">
        <v>3709</v>
      </c>
    </row>
    <row r="54" customFormat="false" ht="15" hidden="false" customHeight="false" outlineLevel="0" collapsed="false">
      <c r="A54" s="88" t="s">
        <v>3802</v>
      </c>
      <c r="B54" s="89" t="s">
        <v>3819</v>
      </c>
      <c r="C54" s="90" t="s">
        <v>91</v>
      </c>
      <c r="D54" s="88" t="s">
        <v>3820</v>
      </c>
      <c r="E54" s="88" t="s">
        <v>60</v>
      </c>
      <c r="F54" s="89" t="s">
        <v>436</v>
      </c>
      <c r="G54" s="90" t="s">
        <v>3761</v>
      </c>
    </row>
    <row r="55" customFormat="false" ht="15" hidden="false" customHeight="false" outlineLevel="0" collapsed="false">
      <c r="A55" s="20" t="s">
        <v>3802</v>
      </c>
      <c r="B55" s="19" t="s">
        <v>3821</v>
      </c>
      <c r="C55" s="22" t="s">
        <v>91</v>
      </c>
      <c r="D55" s="20" t="s">
        <v>3822</v>
      </c>
      <c r="E55" s="20" t="s">
        <v>60</v>
      </c>
      <c r="F55" s="19" t="s">
        <v>436</v>
      </c>
      <c r="G55" s="22" t="s">
        <v>3709</v>
      </c>
    </row>
    <row r="56" customFormat="false" ht="15" hidden="false" customHeight="false" outlineLevel="0" collapsed="false">
      <c r="A56" s="85" t="s">
        <v>3802</v>
      </c>
      <c r="B56" s="86" t="s">
        <v>3823</v>
      </c>
      <c r="C56" s="87" t="s">
        <v>91</v>
      </c>
      <c r="D56" s="85" t="s">
        <v>3824</v>
      </c>
      <c r="E56" s="85" t="s">
        <v>3719</v>
      </c>
      <c r="F56" s="86"/>
      <c r="G56" s="87" t="s">
        <v>3720</v>
      </c>
    </row>
    <row r="57" customFormat="false" ht="15" hidden="false" customHeight="false" outlineLevel="0" collapsed="false">
      <c r="A57" s="85" t="s">
        <v>3802</v>
      </c>
      <c r="B57" s="86" t="s">
        <v>3825</v>
      </c>
      <c r="C57" s="87" t="s">
        <v>91</v>
      </c>
      <c r="D57" s="85" t="s">
        <v>3826</v>
      </c>
      <c r="E57" s="85" t="s">
        <v>3719</v>
      </c>
      <c r="F57" s="86"/>
      <c r="G57" s="87" t="s">
        <v>3720</v>
      </c>
    </row>
    <row r="58" customFormat="false" ht="15" hidden="false" customHeight="false" outlineLevel="0" collapsed="false">
      <c r="A58" s="85" t="s">
        <v>3802</v>
      </c>
      <c r="B58" s="86" t="s">
        <v>3827</v>
      </c>
      <c r="C58" s="87" t="s">
        <v>91</v>
      </c>
      <c r="D58" s="85" t="s">
        <v>3828</v>
      </c>
      <c r="E58" s="85" t="s">
        <v>3719</v>
      </c>
      <c r="F58" s="86"/>
      <c r="G58" s="87" t="s">
        <v>3720</v>
      </c>
    </row>
    <row r="59" customFormat="false" ht="15" hidden="false" customHeight="false" outlineLevel="0" collapsed="false">
      <c r="A59" s="85" t="s">
        <v>3802</v>
      </c>
      <c r="B59" s="86" t="s">
        <v>3829</v>
      </c>
      <c r="C59" s="87" t="s">
        <v>91</v>
      </c>
      <c r="D59" s="85" t="s">
        <v>3830</v>
      </c>
      <c r="E59" s="85" t="s">
        <v>3719</v>
      </c>
      <c r="F59" s="86"/>
      <c r="G59" s="87" t="s">
        <v>3720</v>
      </c>
    </row>
    <row r="60" customFormat="false" ht="15" hidden="false" customHeight="false" outlineLevel="0" collapsed="false">
      <c r="A60" s="85" t="s">
        <v>3802</v>
      </c>
      <c r="B60" s="86" t="s">
        <v>3831</v>
      </c>
      <c r="C60" s="87" t="s">
        <v>91</v>
      </c>
      <c r="D60" s="85" t="s">
        <v>3832</v>
      </c>
      <c r="E60" s="85" t="s">
        <v>3719</v>
      </c>
      <c r="F60" s="86"/>
      <c r="G60" s="87" t="s">
        <v>3720</v>
      </c>
    </row>
    <row r="61" customFormat="false" ht="15" hidden="false" customHeight="false" outlineLevel="0" collapsed="false">
      <c r="A61" s="20" t="s">
        <v>3802</v>
      </c>
      <c r="B61" s="19" t="s">
        <v>3833</v>
      </c>
      <c r="C61" s="22" t="s">
        <v>91</v>
      </c>
      <c r="D61" s="20" t="s">
        <v>3834</v>
      </c>
      <c r="E61" s="20" t="s">
        <v>61</v>
      </c>
      <c r="F61" s="19" t="s">
        <v>911</v>
      </c>
      <c r="G61" s="22" t="s">
        <v>3709</v>
      </c>
    </row>
    <row r="62" customFormat="false" ht="15" hidden="false" customHeight="false" outlineLevel="0" collapsed="false">
      <c r="A62" s="85" t="s">
        <v>3802</v>
      </c>
      <c r="B62" s="86" t="s">
        <v>3835</v>
      </c>
      <c r="C62" s="87" t="s">
        <v>91</v>
      </c>
      <c r="D62" s="85" t="s">
        <v>3836</v>
      </c>
      <c r="E62" s="85" t="s">
        <v>3719</v>
      </c>
      <c r="F62" s="86"/>
      <c r="G62" s="87" t="s">
        <v>3720</v>
      </c>
    </row>
    <row r="63" customFormat="false" ht="15" hidden="false" customHeight="false" outlineLevel="0" collapsed="false">
      <c r="A63" s="85" t="s">
        <v>3802</v>
      </c>
      <c r="B63" s="86" t="s">
        <v>3837</v>
      </c>
      <c r="C63" s="87" t="s">
        <v>2301</v>
      </c>
      <c r="D63" s="85" t="s">
        <v>3838</v>
      </c>
      <c r="E63" s="85" t="s">
        <v>3719</v>
      </c>
      <c r="F63" s="86"/>
      <c r="G63" s="87" t="s">
        <v>3720</v>
      </c>
    </row>
    <row r="64" customFormat="false" ht="15" hidden="false" customHeight="false" outlineLevel="0" collapsed="false">
      <c r="A64" s="85" t="s">
        <v>3802</v>
      </c>
      <c r="B64" s="86" t="s">
        <v>3839</v>
      </c>
      <c r="C64" s="87" t="s">
        <v>2301</v>
      </c>
      <c r="D64" s="85" t="s">
        <v>3840</v>
      </c>
      <c r="E64" s="85" t="s">
        <v>3719</v>
      </c>
      <c r="F64" s="86"/>
      <c r="G64" s="87" t="s">
        <v>3720</v>
      </c>
    </row>
    <row r="65" customFormat="false" ht="15" hidden="false" customHeight="false" outlineLevel="0" collapsed="false">
      <c r="A65" s="85" t="s">
        <v>3802</v>
      </c>
      <c r="B65" s="86" t="s">
        <v>3841</v>
      </c>
      <c r="C65" s="87" t="s">
        <v>91</v>
      </c>
      <c r="D65" s="85" t="s">
        <v>3842</v>
      </c>
      <c r="E65" s="85" t="s">
        <v>3719</v>
      </c>
      <c r="F65" s="86"/>
      <c r="G65" s="87" t="s">
        <v>3720</v>
      </c>
    </row>
    <row r="66" customFormat="false" ht="15" hidden="false" customHeight="false" outlineLevel="0" collapsed="false">
      <c r="A66" s="24" t="s">
        <v>3843</v>
      </c>
      <c r="B66" s="23" t="s">
        <v>3844</v>
      </c>
      <c r="C66" s="26" t="s">
        <v>137</v>
      </c>
      <c r="D66" s="24" t="s">
        <v>3845</v>
      </c>
      <c r="E66" s="24" t="s">
        <v>55</v>
      </c>
      <c r="F66" s="23" t="s">
        <v>140</v>
      </c>
      <c r="G66" s="26" t="s">
        <v>3709</v>
      </c>
    </row>
    <row r="67" customFormat="false" ht="15" hidden="false" customHeight="false" outlineLevel="0" collapsed="false">
      <c r="A67" s="20" t="s">
        <v>3843</v>
      </c>
      <c r="B67" s="19" t="s">
        <v>3846</v>
      </c>
      <c r="C67" s="22" t="s">
        <v>137</v>
      </c>
      <c r="D67" s="20" t="s">
        <v>3847</v>
      </c>
      <c r="E67" s="20" t="s">
        <v>55</v>
      </c>
      <c r="F67" s="19" t="s">
        <v>142</v>
      </c>
      <c r="G67" s="22" t="s">
        <v>3709</v>
      </c>
    </row>
    <row r="68" customFormat="false" ht="15" hidden="false" customHeight="false" outlineLevel="0" collapsed="false">
      <c r="A68" s="88" t="s">
        <v>3843</v>
      </c>
      <c r="B68" s="89" t="s">
        <v>3848</v>
      </c>
      <c r="C68" s="90" t="s">
        <v>137</v>
      </c>
      <c r="D68" s="88" t="s">
        <v>3849</v>
      </c>
      <c r="E68" s="88" t="s">
        <v>55</v>
      </c>
      <c r="F68" s="89" t="s">
        <v>153</v>
      </c>
      <c r="G68" s="90" t="s">
        <v>3761</v>
      </c>
    </row>
    <row r="69" customFormat="false" ht="15" hidden="false" customHeight="false" outlineLevel="0" collapsed="false">
      <c r="A69" s="85" t="s">
        <v>3843</v>
      </c>
      <c r="B69" s="86" t="s">
        <v>3850</v>
      </c>
      <c r="C69" s="87" t="s">
        <v>137</v>
      </c>
      <c r="D69" s="85" t="s">
        <v>3851</v>
      </c>
      <c r="E69" s="85" t="s">
        <v>3719</v>
      </c>
      <c r="F69" s="86"/>
      <c r="G69" s="87" t="s">
        <v>3720</v>
      </c>
    </row>
    <row r="70" customFormat="false" ht="15" hidden="false" customHeight="false" outlineLevel="0" collapsed="false">
      <c r="A70" s="88" t="s">
        <v>3843</v>
      </c>
      <c r="B70" s="89" t="s">
        <v>3852</v>
      </c>
      <c r="C70" s="90" t="s">
        <v>91</v>
      </c>
      <c r="D70" s="88" t="s">
        <v>3853</v>
      </c>
      <c r="E70" s="88" t="s">
        <v>55</v>
      </c>
      <c r="F70" s="89" t="s">
        <v>113</v>
      </c>
      <c r="G70" s="90" t="s">
        <v>3761</v>
      </c>
    </row>
    <row r="71" customFormat="false" ht="15" hidden="false" customHeight="false" outlineLevel="0" collapsed="false">
      <c r="A71" s="85" t="s">
        <v>3843</v>
      </c>
      <c r="B71" s="86" t="s">
        <v>3854</v>
      </c>
      <c r="C71" s="87" t="s">
        <v>91</v>
      </c>
      <c r="D71" s="85" t="s">
        <v>3855</v>
      </c>
      <c r="E71" s="85" t="s">
        <v>3719</v>
      </c>
      <c r="F71" s="86"/>
      <c r="G71" s="87" t="s">
        <v>3720</v>
      </c>
    </row>
    <row r="72" customFormat="false" ht="15" hidden="false" customHeight="false" outlineLevel="0" collapsed="false">
      <c r="A72" s="88" t="s">
        <v>3843</v>
      </c>
      <c r="B72" s="89" t="s">
        <v>3856</v>
      </c>
      <c r="C72" s="90" t="s">
        <v>91</v>
      </c>
      <c r="D72" s="88" t="s">
        <v>3857</v>
      </c>
      <c r="E72" s="88" t="s">
        <v>55</v>
      </c>
      <c r="F72" s="89" t="s">
        <v>171</v>
      </c>
      <c r="G72" s="90" t="s">
        <v>3761</v>
      </c>
    </row>
    <row r="73" customFormat="false" ht="15" hidden="false" customHeight="false" outlineLevel="0" collapsed="false">
      <c r="A73" s="88" t="s">
        <v>3843</v>
      </c>
      <c r="B73" s="89" t="s">
        <v>3858</v>
      </c>
      <c r="C73" s="90" t="s">
        <v>91</v>
      </c>
      <c r="D73" s="88" t="s">
        <v>3859</v>
      </c>
      <c r="E73" s="88" t="s">
        <v>55</v>
      </c>
      <c r="F73" s="89" t="s">
        <v>90</v>
      </c>
      <c r="G73" s="90" t="s">
        <v>3761</v>
      </c>
    </row>
    <row r="74" customFormat="false" ht="15" hidden="false" customHeight="false" outlineLevel="0" collapsed="false">
      <c r="A74" s="24" t="s">
        <v>3843</v>
      </c>
      <c r="B74" s="23" t="s">
        <v>3860</v>
      </c>
      <c r="C74" s="26" t="s">
        <v>91</v>
      </c>
      <c r="D74" s="24" t="s">
        <v>3861</v>
      </c>
      <c r="E74" s="24" t="s">
        <v>55</v>
      </c>
      <c r="F74" s="23" t="s">
        <v>107</v>
      </c>
      <c r="G74" s="26" t="s">
        <v>3709</v>
      </c>
    </row>
    <row r="75" customFormat="false" ht="15" hidden="false" customHeight="false" outlineLevel="0" collapsed="false">
      <c r="A75" s="85" t="s">
        <v>3843</v>
      </c>
      <c r="B75" s="86" t="s">
        <v>3862</v>
      </c>
      <c r="C75" s="87" t="s">
        <v>91</v>
      </c>
      <c r="D75" s="85" t="s">
        <v>3863</v>
      </c>
      <c r="E75" s="85" t="s">
        <v>3719</v>
      </c>
      <c r="F75" s="86"/>
      <c r="G75" s="87" t="s">
        <v>3720</v>
      </c>
    </row>
    <row r="76" customFormat="false" ht="15" hidden="false" customHeight="false" outlineLevel="0" collapsed="false">
      <c r="A76" s="85" t="s">
        <v>3843</v>
      </c>
      <c r="B76" s="86" t="s">
        <v>3864</v>
      </c>
      <c r="C76" s="87" t="s">
        <v>91</v>
      </c>
      <c r="D76" s="85" t="s">
        <v>3865</v>
      </c>
      <c r="E76" s="85" t="s">
        <v>3719</v>
      </c>
      <c r="F76" s="86"/>
      <c r="G76" s="87" t="s">
        <v>3720</v>
      </c>
    </row>
    <row r="77" customFormat="false" ht="15" hidden="false" customHeight="false" outlineLevel="0" collapsed="false">
      <c r="A77" s="20" t="s">
        <v>3843</v>
      </c>
      <c r="B77" s="19" t="s">
        <v>3866</v>
      </c>
      <c r="C77" s="22" t="s">
        <v>91</v>
      </c>
      <c r="D77" s="20" t="s">
        <v>3867</v>
      </c>
      <c r="E77" s="20" t="s">
        <v>55</v>
      </c>
      <c r="F77" s="19" t="s">
        <v>116</v>
      </c>
      <c r="G77" s="22" t="s">
        <v>3709</v>
      </c>
    </row>
    <row r="78" customFormat="false" ht="15" hidden="false" customHeight="false" outlineLevel="0" collapsed="false">
      <c r="A78" s="24" t="s">
        <v>3843</v>
      </c>
      <c r="B78" s="23" t="s">
        <v>3868</v>
      </c>
      <c r="C78" s="26" t="s">
        <v>91</v>
      </c>
      <c r="D78" s="24" t="s">
        <v>3869</v>
      </c>
      <c r="E78" s="24" t="s">
        <v>57</v>
      </c>
      <c r="F78" s="23" t="s">
        <v>253</v>
      </c>
      <c r="G78" s="26" t="s">
        <v>3709</v>
      </c>
    </row>
    <row r="79" customFormat="false" ht="15" hidden="false" customHeight="false" outlineLevel="0" collapsed="false">
      <c r="A79" s="20" t="s">
        <v>3843</v>
      </c>
      <c r="B79" s="19" t="s">
        <v>3870</v>
      </c>
      <c r="C79" s="22" t="s">
        <v>91</v>
      </c>
      <c r="D79" s="20" t="s">
        <v>3871</v>
      </c>
      <c r="E79" s="20" t="s">
        <v>57</v>
      </c>
      <c r="F79" s="19" t="s">
        <v>257</v>
      </c>
      <c r="G79" s="22" t="s">
        <v>3709</v>
      </c>
    </row>
    <row r="80" customFormat="false" ht="15" hidden="false" customHeight="false" outlineLevel="0" collapsed="false">
      <c r="A80" s="85" t="s">
        <v>3843</v>
      </c>
      <c r="B80" s="86" t="s">
        <v>3872</v>
      </c>
      <c r="C80" s="87" t="s">
        <v>91</v>
      </c>
      <c r="D80" s="85" t="s">
        <v>3873</v>
      </c>
      <c r="E80" s="85" t="s">
        <v>3719</v>
      </c>
      <c r="F80" s="86"/>
      <c r="G80" s="87" t="s">
        <v>3720</v>
      </c>
    </row>
    <row r="81" customFormat="false" ht="15" hidden="false" customHeight="false" outlineLevel="0" collapsed="false">
      <c r="A81" s="20" t="s">
        <v>3843</v>
      </c>
      <c r="B81" s="19" t="s">
        <v>3874</v>
      </c>
      <c r="C81" s="22" t="s">
        <v>137</v>
      </c>
      <c r="D81" s="20" t="s">
        <v>3875</v>
      </c>
      <c r="E81" s="20" t="s">
        <v>55</v>
      </c>
      <c r="F81" s="19" t="s">
        <v>164</v>
      </c>
      <c r="G81" s="22" t="s">
        <v>3709</v>
      </c>
    </row>
    <row r="82" customFormat="false" ht="15" hidden="false" customHeight="false" outlineLevel="0" collapsed="false">
      <c r="A82" s="24" t="s">
        <v>3843</v>
      </c>
      <c r="B82" s="23" t="s">
        <v>3876</v>
      </c>
      <c r="C82" s="26" t="s">
        <v>91</v>
      </c>
      <c r="D82" s="24" t="s">
        <v>3877</v>
      </c>
      <c r="E82" s="24" t="s">
        <v>55</v>
      </c>
      <c r="F82" s="23" t="s">
        <v>198</v>
      </c>
      <c r="G82" s="26" t="s">
        <v>3709</v>
      </c>
    </row>
    <row r="83" customFormat="false" ht="15" hidden="false" customHeight="false" outlineLevel="0" collapsed="false">
      <c r="A83" s="20" t="s">
        <v>3843</v>
      </c>
      <c r="B83" s="19" t="s">
        <v>197</v>
      </c>
      <c r="C83" s="22" t="s">
        <v>91</v>
      </c>
      <c r="D83" s="20" t="s">
        <v>3878</v>
      </c>
      <c r="E83" s="20" t="s">
        <v>55</v>
      </c>
      <c r="F83" s="19" t="s">
        <v>196</v>
      </c>
      <c r="G83" s="22" t="s">
        <v>3709</v>
      </c>
    </row>
    <row r="84" customFormat="false" ht="15" hidden="false" customHeight="false" outlineLevel="0" collapsed="false">
      <c r="A84" s="24" t="s">
        <v>3843</v>
      </c>
      <c r="B84" s="23" t="s">
        <v>3879</v>
      </c>
      <c r="C84" s="26" t="s">
        <v>91</v>
      </c>
      <c r="D84" s="24" t="s">
        <v>3880</v>
      </c>
      <c r="E84" s="24" t="s">
        <v>55</v>
      </c>
      <c r="F84" s="23" t="s">
        <v>183</v>
      </c>
      <c r="G84" s="26" t="s">
        <v>3709</v>
      </c>
    </row>
    <row r="85" customFormat="false" ht="15" hidden="false" customHeight="false" outlineLevel="0" collapsed="false">
      <c r="A85" s="20" t="s">
        <v>3843</v>
      </c>
      <c r="B85" s="19" t="s">
        <v>134</v>
      </c>
      <c r="C85" s="22" t="s">
        <v>91</v>
      </c>
      <c r="D85" s="20" t="s">
        <v>3881</v>
      </c>
      <c r="E85" s="20" t="s">
        <v>55</v>
      </c>
      <c r="F85" s="19" t="s">
        <v>134</v>
      </c>
      <c r="G85" s="22" t="s">
        <v>3709</v>
      </c>
    </row>
    <row r="86" customFormat="false" ht="15" hidden="false" customHeight="false" outlineLevel="0" collapsed="false">
      <c r="A86" s="88" t="s">
        <v>3882</v>
      </c>
      <c r="B86" s="89" t="s">
        <v>3883</v>
      </c>
      <c r="C86" s="90" t="s">
        <v>137</v>
      </c>
      <c r="D86" s="88" t="s">
        <v>3884</v>
      </c>
      <c r="E86" s="88" t="s">
        <v>56</v>
      </c>
      <c r="F86" s="89" t="s">
        <v>205</v>
      </c>
      <c r="G86" s="90" t="s">
        <v>3761</v>
      </c>
    </row>
    <row r="87" customFormat="false" ht="15" hidden="false" customHeight="false" outlineLevel="0" collapsed="false">
      <c r="A87" s="20" t="s">
        <v>3882</v>
      </c>
      <c r="B87" s="19" t="s">
        <v>3885</v>
      </c>
      <c r="C87" s="22" t="s">
        <v>91</v>
      </c>
      <c r="D87" s="20" t="s">
        <v>3886</v>
      </c>
      <c r="E87" s="20" t="s">
        <v>55</v>
      </c>
      <c r="F87" s="19" t="s">
        <v>194</v>
      </c>
      <c r="G87" s="22" t="s">
        <v>3709</v>
      </c>
    </row>
    <row r="88" customFormat="false" ht="15" hidden="false" customHeight="false" outlineLevel="0" collapsed="false">
      <c r="A88" s="85" t="s">
        <v>3882</v>
      </c>
      <c r="B88" s="86" t="s">
        <v>3887</v>
      </c>
      <c r="C88" s="87" t="s">
        <v>91</v>
      </c>
      <c r="D88" s="85" t="s">
        <v>3888</v>
      </c>
      <c r="E88" s="85" t="s">
        <v>3719</v>
      </c>
      <c r="F88" s="86"/>
      <c r="G88" s="87" t="s">
        <v>3720</v>
      </c>
    </row>
    <row r="89" customFormat="false" ht="15" hidden="false" customHeight="false" outlineLevel="0" collapsed="false">
      <c r="A89" s="20" t="s">
        <v>3882</v>
      </c>
      <c r="B89" s="19" t="s">
        <v>3889</v>
      </c>
      <c r="C89" s="22" t="s">
        <v>91</v>
      </c>
      <c r="D89" s="20" t="s">
        <v>3890</v>
      </c>
      <c r="E89" s="20" t="s">
        <v>56</v>
      </c>
      <c r="F89" s="19" t="s">
        <v>207</v>
      </c>
      <c r="G89" s="22" t="s">
        <v>3709</v>
      </c>
    </row>
    <row r="90" customFormat="false" ht="15" hidden="false" customHeight="false" outlineLevel="0" collapsed="false">
      <c r="A90" s="88" t="s">
        <v>3882</v>
      </c>
      <c r="B90" s="89" t="s">
        <v>3891</v>
      </c>
      <c r="C90" s="90" t="s">
        <v>91</v>
      </c>
      <c r="D90" s="88" t="s">
        <v>3892</v>
      </c>
      <c r="E90" s="88" t="s">
        <v>56</v>
      </c>
      <c r="F90" s="89" t="s">
        <v>213</v>
      </c>
      <c r="G90" s="90" t="s">
        <v>3761</v>
      </c>
    </row>
    <row r="91" customFormat="false" ht="15" hidden="false" customHeight="false" outlineLevel="0" collapsed="false">
      <c r="A91" s="85" t="s">
        <v>3882</v>
      </c>
      <c r="B91" s="86" t="s">
        <v>3893</v>
      </c>
      <c r="C91" s="87" t="s">
        <v>91</v>
      </c>
      <c r="D91" s="85" t="s">
        <v>3894</v>
      </c>
      <c r="E91" s="85" t="s">
        <v>3719</v>
      </c>
      <c r="F91" s="86"/>
      <c r="G91" s="87" t="s">
        <v>3720</v>
      </c>
    </row>
    <row r="92" customFormat="false" ht="15" hidden="false" customHeight="false" outlineLevel="0" collapsed="false">
      <c r="A92" s="85" t="s">
        <v>3882</v>
      </c>
      <c r="B92" s="86" t="s">
        <v>3895</v>
      </c>
      <c r="C92" s="87" t="s">
        <v>91</v>
      </c>
      <c r="D92" s="85" t="s">
        <v>3896</v>
      </c>
      <c r="E92" s="85" t="s">
        <v>3719</v>
      </c>
      <c r="F92" s="86"/>
      <c r="G92" s="87" t="s">
        <v>3720</v>
      </c>
    </row>
    <row r="93" customFormat="false" ht="15" hidden="false" customHeight="false" outlineLevel="0" collapsed="false">
      <c r="A93" s="88" t="s">
        <v>3882</v>
      </c>
      <c r="B93" s="89" t="s">
        <v>3897</v>
      </c>
      <c r="C93" s="90" t="s">
        <v>91</v>
      </c>
      <c r="D93" s="88" t="s">
        <v>3898</v>
      </c>
      <c r="E93" s="88" t="s">
        <v>56</v>
      </c>
      <c r="F93" s="89" t="s">
        <v>239</v>
      </c>
      <c r="G93" s="90" t="s">
        <v>3761</v>
      </c>
    </row>
    <row r="94" customFormat="false" ht="15" hidden="false" customHeight="false" outlineLevel="0" collapsed="false">
      <c r="A94" s="88" t="s">
        <v>3882</v>
      </c>
      <c r="B94" s="89" t="s">
        <v>3899</v>
      </c>
      <c r="C94" s="90" t="s">
        <v>91</v>
      </c>
      <c r="D94" s="88" t="s">
        <v>3900</v>
      </c>
      <c r="E94" s="88" t="s">
        <v>56</v>
      </c>
      <c r="F94" s="89" t="s">
        <v>231</v>
      </c>
      <c r="G94" s="90" t="s">
        <v>3761</v>
      </c>
    </row>
    <row r="95" customFormat="false" ht="15" hidden="false" customHeight="false" outlineLevel="0" collapsed="false">
      <c r="A95" s="20" t="s">
        <v>3882</v>
      </c>
      <c r="B95" s="19" t="s">
        <v>3901</v>
      </c>
      <c r="C95" s="22" t="s">
        <v>91</v>
      </c>
      <c r="D95" s="20" t="s">
        <v>3902</v>
      </c>
      <c r="E95" s="20" t="s">
        <v>56</v>
      </c>
      <c r="F95" s="19" t="s">
        <v>235</v>
      </c>
      <c r="G95" s="22" t="s">
        <v>3709</v>
      </c>
    </row>
    <row r="96" customFormat="false" ht="15" hidden="false" customHeight="false" outlineLevel="0" collapsed="false">
      <c r="A96" s="24" t="s">
        <v>3882</v>
      </c>
      <c r="B96" s="23" t="s">
        <v>3903</v>
      </c>
      <c r="C96" s="26" t="s">
        <v>91</v>
      </c>
      <c r="D96" s="24" t="s">
        <v>3904</v>
      </c>
      <c r="E96" s="24" t="s">
        <v>56</v>
      </c>
      <c r="F96" s="23" t="s">
        <v>227</v>
      </c>
      <c r="G96" s="26" t="s">
        <v>3709</v>
      </c>
    </row>
    <row r="97" customFormat="false" ht="15" hidden="false" customHeight="false" outlineLevel="0" collapsed="false">
      <c r="A97" s="85" t="s">
        <v>3882</v>
      </c>
      <c r="B97" s="86" t="s">
        <v>3905</v>
      </c>
      <c r="C97" s="87" t="s">
        <v>91</v>
      </c>
      <c r="D97" s="85" t="s">
        <v>3906</v>
      </c>
      <c r="E97" s="85" t="s">
        <v>3719</v>
      </c>
      <c r="F97" s="86"/>
      <c r="G97" s="87" t="s">
        <v>3720</v>
      </c>
    </row>
    <row r="98" customFormat="false" ht="15" hidden="false" customHeight="false" outlineLevel="0" collapsed="false">
      <c r="A98" s="85" t="s">
        <v>3882</v>
      </c>
      <c r="B98" s="86" t="s">
        <v>3907</v>
      </c>
      <c r="C98" s="87" t="s">
        <v>91</v>
      </c>
      <c r="D98" s="85" t="s">
        <v>3908</v>
      </c>
      <c r="E98" s="85" t="s">
        <v>3719</v>
      </c>
      <c r="F98" s="86"/>
      <c r="G98" s="87" t="s">
        <v>3720</v>
      </c>
    </row>
    <row r="99" customFormat="false" ht="15" hidden="false" customHeight="false" outlineLevel="0" collapsed="false">
      <c r="A99" s="85" t="s">
        <v>3882</v>
      </c>
      <c r="B99" s="86" t="s">
        <v>3909</v>
      </c>
      <c r="C99" s="87" t="s">
        <v>137</v>
      </c>
      <c r="D99" s="85" t="s">
        <v>3910</v>
      </c>
      <c r="E99" s="85" t="s">
        <v>3719</v>
      </c>
      <c r="F99" s="86"/>
      <c r="G99" s="87" t="s">
        <v>3720</v>
      </c>
    </row>
    <row r="100" customFormat="false" ht="15" hidden="false" customHeight="false" outlineLevel="0" collapsed="false">
      <c r="A100" s="88" t="s">
        <v>3882</v>
      </c>
      <c r="B100" s="89" t="s">
        <v>3911</v>
      </c>
      <c r="C100" s="90" t="s">
        <v>91</v>
      </c>
      <c r="D100" s="88" t="s">
        <v>3912</v>
      </c>
      <c r="E100" s="88" t="s">
        <v>56</v>
      </c>
      <c r="F100" s="89" t="s">
        <v>239</v>
      </c>
      <c r="G100" s="90" t="s">
        <v>3761</v>
      </c>
    </row>
    <row r="101" customFormat="false" ht="15" hidden="false" customHeight="false" outlineLevel="0" collapsed="false">
      <c r="A101" s="85" t="s">
        <v>3882</v>
      </c>
      <c r="B101" s="86" t="s">
        <v>3913</v>
      </c>
      <c r="C101" s="87" t="s">
        <v>91</v>
      </c>
      <c r="D101" s="85" t="s">
        <v>3914</v>
      </c>
      <c r="E101" s="85" t="s">
        <v>3719</v>
      </c>
      <c r="F101" s="86"/>
      <c r="G101" s="87" t="s">
        <v>3720</v>
      </c>
    </row>
    <row r="102" customFormat="false" ht="15" hidden="false" customHeight="false" outlineLevel="0" collapsed="false">
      <c r="A102" s="85" t="s">
        <v>3882</v>
      </c>
      <c r="B102" s="86" t="s">
        <v>3915</v>
      </c>
      <c r="C102" s="87" t="s">
        <v>91</v>
      </c>
      <c r="D102" s="85" t="s">
        <v>3916</v>
      </c>
      <c r="E102" s="85" t="s">
        <v>3719</v>
      </c>
      <c r="F102" s="86"/>
      <c r="G102" s="87" t="s">
        <v>3720</v>
      </c>
    </row>
    <row r="103" customFormat="false" ht="15" hidden="false" customHeight="false" outlineLevel="0" collapsed="false">
      <c r="A103" s="85" t="s">
        <v>3882</v>
      </c>
      <c r="B103" s="86" t="s">
        <v>3917</v>
      </c>
      <c r="C103" s="87" t="s">
        <v>91</v>
      </c>
      <c r="D103" s="85" t="s">
        <v>3918</v>
      </c>
      <c r="E103" s="85" t="s">
        <v>3719</v>
      </c>
      <c r="F103" s="86"/>
      <c r="G103" s="87" t="s">
        <v>3720</v>
      </c>
    </row>
    <row r="104" customFormat="false" ht="15" hidden="false" customHeight="false" outlineLevel="0" collapsed="false">
      <c r="A104" s="85" t="s">
        <v>3882</v>
      </c>
      <c r="B104" s="86" t="s">
        <v>3919</v>
      </c>
      <c r="C104" s="87" t="s">
        <v>91</v>
      </c>
      <c r="D104" s="85" t="s">
        <v>3920</v>
      </c>
      <c r="E104" s="85" t="s">
        <v>3719</v>
      </c>
      <c r="F104" s="86"/>
      <c r="G104" s="87" t="s">
        <v>3720</v>
      </c>
    </row>
    <row r="105" customFormat="false" ht="15" hidden="false" customHeight="false" outlineLevel="0" collapsed="false">
      <c r="A105" s="85" t="s">
        <v>3882</v>
      </c>
      <c r="B105" s="86" t="s">
        <v>3921</v>
      </c>
      <c r="C105" s="87" t="s">
        <v>91</v>
      </c>
      <c r="D105" s="85" t="s">
        <v>3922</v>
      </c>
      <c r="E105" s="85" t="s">
        <v>3719</v>
      </c>
      <c r="F105" s="86"/>
      <c r="G105" s="87" t="s">
        <v>3720</v>
      </c>
    </row>
    <row r="106" customFormat="false" ht="15" hidden="false" customHeight="false" outlineLevel="0" collapsed="false">
      <c r="A106" s="88" t="s">
        <v>3923</v>
      </c>
      <c r="B106" s="89" t="s">
        <v>3924</v>
      </c>
      <c r="C106" s="90" t="s">
        <v>137</v>
      </c>
      <c r="D106" s="88" t="s">
        <v>3925</v>
      </c>
      <c r="E106" s="88" t="s">
        <v>58</v>
      </c>
      <c r="F106" s="89" t="s">
        <v>292</v>
      </c>
      <c r="G106" s="90" t="s">
        <v>3761</v>
      </c>
    </row>
    <row r="107" customFormat="false" ht="15" hidden="false" customHeight="false" outlineLevel="0" collapsed="false">
      <c r="A107" s="20" t="s">
        <v>3923</v>
      </c>
      <c r="B107" s="19" t="s">
        <v>3926</v>
      </c>
      <c r="C107" s="22" t="s">
        <v>137</v>
      </c>
      <c r="D107" s="20" t="s">
        <v>3927</v>
      </c>
      <c r="E107" s="20" t="s">
        <v>58</v>
      </c>
      <c r="F107" s="19" t="s">
        <v>296</v>
      </c>
      <c r="G107" s="22" t="s">
        <v>3709</v>
      </c>
    </row>
    <row r="108" customFormat="false" ht="15" hidden="false" customHeight="false" outlineLevel="0" collapsed="false">
      <c r="A108" s="24" t="s">
        <v>3923</v>
      </c>
      <c r="B108" s="23" t="s">
        <v>3928</v>
      </c>
      <c r="C108" s="26" t="s">
        <v>137</v>
      </c>
      <c r="D108" s="24" t="s">
        <v>3929</v>
      </c>
      <c r="E108" s="24" t="s">
        <v>58</v>
      </c>
      <c r="F108" s="23" t="s">
        <v>300</v>
      </c>
      <c r="G108" s="26" t="s">
        <v>3709</v>
      </c>
    </row>
    <row r="109" customFormat="false" ht="15" hidden="false" customHeight="false" outlineLevel="0" collapsed="false">
      <c r="A109" s="85" t="s">
        <v>3923</v>
      </c>
      <c r="B109" s="86" t="s">
        <v>3930</v>
      </c>
      <c r="C109" s="87" t="s">
        <v>91</v>
      </c>
      <c r="D109" s="85" t="s">
        <v>3931</v>
      </c>
      <c r="E109" s="85" t="s">
        <v>3719</v>
      </c>
      <c r="F109" s="86"/>
      <c r="G109" s="87" t="s">
        <v>3720</v>
      </c>
    </row>
    <row r="110" customFormat="false" ht="15" hidden="false" customHeight="false" outlineLevel="0" collapsed="false">
      <c r="A110" s="85" t="s">
        <v>3923</v>
      </c>
      <c r="B110" s="86" t="s">
        <v>3932</v>
      </c>
      <c r="C110" s="87" t="s">
        <v>91</v>
      </c>
      <c r="D110" s="85" t="s">
        <v>3933</v>
      </c>
      <c r="E110" s="85" t="s">
        <v>3719</v>
      </c>
      <c r="F110" s="86"/>
      <c r="G110" s="87" t="s">
        <v>3720</v>
      </c>
    </row>
    <row r="111" customFormat="false" ht="15" hidden="false" customHeight="false" outlineLevel="0" collapsed="false">
      <c r="A111" s="85" t="s">
        <v>3923</v>
      </c>
      <c r="B111" s="86" t="s">
        <v>3934</v>
      </c>
      <c r="C111" s="87" t="s">
        <v>91</v>
      </c>
      <c r="D111" s="85" t="s">
        <v>3935</v>
      </c>
      <c r="E111" s="85" t="s">
        <v>3719</v>
      </c>
      <c r="F111" s="86"/>
      <c r="G111" s="87" t="s">
        <v>3720</v>
      </c>
    </row>
    <row r="112" customFormat="false" ht="15" hidden="false" customHeight="false" outlineLevel="0" collapsed="false">
      <c r="A112" s="85" t="s">
        <v>3923</v>
      </c>
      <c r="B112" s="86" t="s">
        <v>3936</v>
      </c>
      <c r="C112" s="87" t="s">
        <v>91</v>
      </c>
      <c r="D112" s="85" t="s">
        <v>3937</v>
      </c>
      <c r="E112" s="85" t="s">
        <v>3719</v>
      </c>
      <c r="F112" s="86"/>
      <c r="G112" s="87" t="s">
        <v>3720</v>
      </c>
    </row>
    <row r="113" customFormat="false" ht="15" hidden="false" customHeight="false" outlineLevel="0" collapsed="false">
      <c r="A113" s="85" t="s">
        <v>3923</v>
      </c>
      <c r="B113" s="86" t="s">
        <v>3938</v>
      </c>
      <c r="C113" s="87" t="s">
        <v>91</v>
      </c>
      <c r="D113" s="85" t="s">
        <v>3939</v>
      </c>
      <c r="E113" s="85" t="s">
        <v>3719</v>
      </c>
      <c r="F113" s="86"/>
      <c r="G113" s="87" t="s">
        <v>3720</v>
      </c>
    </row>
    <row r="114" customFormat="false" ht="15" hidden="false" customHeight="false" outlineLevel="0" collapsed="false">
      <c r="A114" s="88" t="s">
        <v>3923</v>
      </c>
      <c r="B114" s="89" t="s">
        <v>3940</v>
      </c>
      <c r="C114" s="90" t="s">
        <v>91</v>
      </c>
      <c r="D114" s="88" t="s">
        <v>3941</v>
      </c>
      <c r="E114" s="88" t="s">
        <v>58</v>
      </c>
      <c r="F114" s="89" t="s">
        <v>350</v>
      </c>
      <c r="G114" s="90" t="s">
        <v>3761</v>
      </c>
    </row>
    <row r="115" customFormat="false" ht="15" hidden="false" customHeight="false" outlineLevel="0" collapsed="false">
      <c r="A115" s="85" t="s">
        <v>3923</v>
      </c>
      <c r="B115" s="86" t="s">
        <v>3942</v>
      </c>
      <c r="C115" s="87" t="s">
        <v>91</v>
      </c>
      <c r="D115" s="85" t="s">
        <v>3943</v>
      </c>
      <c r="E115" s="85" t="s">
        <v>3719</v>
      </c>
      <c r="F115" s="86"/>
      <c r="G115" s="87" t="s">
        <v>3720</v>
      </c>
    </row>
    <row r="116" customFormat="false" ht="15" hidden="false" customHeight="false" outlineLevel="0" collapsed="false">
      <c r="A116" s="85" t="s">
        <v>3923</v>
      </c>
      <c r="B116" s="86" t="s">
        <v>3944</v>
      </c>
      <c r="C116" s="87" t="s">
        <v>91</v>
      </c>
      <c r="D116" s="85" t="s">
        <v>3945</v>
      </c>
      <c r="E116" s="85" t="s">
        <v>3719</v>
      </c>
      <c r="F116" s="86"/>
      <c r="G116" s="87" t="s">
        <v>3720</v>
      </c>
    </row>
    <row r="117" customFormat="false" ht="15" hidden="false" customHeight="false" outlineLevel="0" collapsed="false">
      <c r="A117" s="85" t="s">
        <v>3923</v>
      </c>
      <c r="B117" s="86" t="s">
        <v>3946</v>
      </c>
      <c r="C117" s="87" t="s">
        <v>91</v>
      </c>
      <c r="D117" s="85" t="s">
        <v>3947</v>
      </c>
      <c r="E117" s="85" t="s">
        <v>3719</v>
      </c>
      <c r="F117" s="86"/>
      <c r="G117" s="87" t="s">
        <v>3720</v>
      </c>
    </row>
    <row r="118" customFormat="false" ht="15" hidden="false" customHeight="false" outlineLevel="0" collapsed="false">
      <c r="A118" s="24" t="s">
        <v>3923</v>
      </c>
      <c r="B118" s="23" t="s">
        <v>3948</v>
      </c>
      <c r="C118" s="26" t="s">
        <v>91</v>
      </c>
      <c r="D118" s="24" t="s">
        <v>3949</v>
      </c>
      <c r="E118" s="24" t="s">
        <v>58</v>
      </c>
      <c r="F118" s="23" t="s">
        <v>327</v>
      </c>
      <c r="G118" s="26" t="s">
        <v>3709</v>
      </c>
    </row>
    <row r="119" customFormat="false" ht="15" hidden="false" customHeight="false" outlineLevel="0" collapsed="false">
      <c r="A119" s="20" t="s">
        <v>3923</v>
      </c>
      <c r="B119" s="19" t="s">
        <v>3950</v>
      </c>
      <c r="C119" s="22" t="s">
        <v>91</v>
      </c>
      <c r="D119" s="20" t="s">
        <v>3951</v>
      </c>
      <c r="E119" s="20" t="s">
        <v>58</v>
      </c>
      <c r="F119" s="19" t="s">
        <v>302</v>
      </c>
      <c r="G119" s="22" t="s">
        <v>3709</v>
      </c>
    </row>
    <row r="120" customFormat="false" ht="15" hidden="false" customHeight="false" outlineLevel="0" collapsed="false">
      <c r="A120" s="24" t="s">
        <v>3923</v>
      </c>
      <c r="B120" s="23" t="s">
        <v>3952</v>
      </c>
      <c r="C120" s="26" t="s">
        <v>137</v>
      </c>
      <c r="D120" s="24" t="s">
        <v>3953</v>
      </c>
      <c r="E120" s="24" t="s">
        <v>58</v>
      </c>
      <c r="F120" s="23" t="s">
        <v>329</v>
      </c>
      <c r="G120" s="26" t="s">
        <v>3709</v>
      </c>
    </row>
    <row r="121" customFormat="false" ht="15" hidden="false" customHeight="false" outlineLevel="0" collapsed="false">
      <c r="A121" s="20" t="s">
        <v>3923</v>
      </c>
      <c r="B121" s="19" t="s">
        <v>3954</v>
      </c>
      <c r="C121" s="22" t="s">
        <v>91</v>
      </c>
      <c r="D121" s="20" t="s">
        <v>3955</v>
      </c>
      <c r="E121" s="20" t="s">
        <v>58</v>
      </c>
      <c r="F121" s="19" t="s">
        <v>380</v>
      </c>
      <c r="G121" s="22" t="s">
        <v>3709</v>
      </c>
    </row>
    <row r="122" customFormat="false" ht="15" hidden="false" customHeight="false" outlineLevel="0" collapsed="false">
      <c r="A122" s="85" t="s">
        <v>3923</v>
      </c>
      <c r="B122" s="86" t="s">
        <v>3956</v>
      </c>
      <c r="C122" s="87" t="s">
        <v>91</v>
      </c>
      <c r="D122" s="85" t="s">
        <v>3957</v>
      </c>
      <c r="E122" s="85" t="s">
        <v>3719</v>
      </c>
      <c r="F122" s="86"/>
      <c r="G122" s="87" t="s">
        <v>3720</v>
      </c>
    </row>
    <row r="123" customFormat="false" ht="15" hidden="false" customHeight="false" outlineLevel="0" collapsed="false">
      <c r="A123" s="85" t="s">
        <v>3923</v>
      </c>
      <c r="B123" s="86" t="s">
        <v>3958</v>
      </c>
      <c r="C123" s="87" t="s">
        <v>91</v>
      </c>
      <c r="D123" s="85" t="s">
        <v>3959</v>
      </c>
      <c r="E123" s="85" t="s">
        <v>3719</v>
      </c>
      <c r="F123" s="86"/>
      <c r="G123" s="87" t="s">
        <v>3720</v>
      </c>
    </row>
    <row r="124" customFormat="false" ht="15" hidden="false" customHeight="false" outlineLevel="0" collapsed="false">
      <c r="A124" s="85" t="s">
        <v>3923</v>
      </c>
      <c r="B124" s="86" t="s">
        <v>3960</v>
      </c>
      <c r="C124" s="87" t="s">
        <v>2301</v>
      </c>
      <c r="D124" s="85" t="s">
        <v>3961</v>
      </c>
      <c r="E124" s="85" t="s">
        <v>3719</v>
      </c>
      <c r="F124" s="86"/>
      <c r="G124" s="87" t="s">
        <v>3720</v>
      </c>
    </row>
    <row r="125" customFormat="false" ht="15" hidden="false" customHeight="false" outlineLevel="0" collapsed="false">
      <c r="A125" s="85" t="s">
        <v>3923</v>
      </c>
      <c r="B125" s="86" t="s">
        <v>3962</v>
      </c>
      <c r="C125" s="87" t="s">
        <v>91</v>
      </c>
      <c r="D125" s="85" t="s">
        <v>3963</v>
      </c>
      <c r="E125" s="85" t="s">
        <v>3719</v>
      </c>
      <c r="F125" s="86"/>
      <c r="G125" s="87" t="s">
        <v>3720</v>
      </c>
    </row>
    <row r="126" customFormat="false" ht="15" hidden="false" customHeight="false" outlineLevel="0" collapsed="false">
      <c r="A126" s="85" t="s">
        <v>3964</v>
      </c>
      <c r="B126" s="86" t="s">
        <v>3965</v>
      </c>
      <c r="C126" s="87" t="s">
        <v>137</v>
      </c>
      <c r="D126" s="85" t="s">
        <v>3966</v>
      </c>
      <c r="E126" s="85" t="s">
        <v>3719</v>
      </c>
      <c r="F126" s="86"/>
      <c r="G126" s="87" t="s">
        <v>3720</v>
      </c>
    </row>
    <row r="127" customFormat="false" ht="15" hidden="false" customHeight="false" outlineLevel="0" collapsed="false">
      <c r="A127" s="20" t="s">
        <v>3964</v>
      </c>
      <c r="B127" s="19" t="s">
        <v>3967</v>
      </c>
      <c r="C127" s="22" t="s">
        <v>137</v>
      </c>
      <c r="D127" s="20" t="s">
        <v>3968</v>
      </c>
      <c r="E127" s="20" t="s">
        <v>59</v>
      </c>
      <c r="F127" s="19" t="s">
        <v>412</v>
      </c>
      <c r="G127" s="22" t="s">
        <v>3709</v>
      </c>
    </row>
    <row r="128" customFormat="false" ht="15" hidden="false" customHeight="false" outlineLevel="0" collapsed="false">
      <c r="A128" s="85" t="s">
        <v>3964</v>
      </c>
      <c r="B128" s="86" t="s">
        <v>3969</v>
      </c>
      <c r="C128" s="87" t="s">
        <v>91</v>
      </c>
      <c r="D128" s="85" t="s">
        <v>3970</v>
      </c>
      <c r="E128" s="85" t="s">
        <v>3719</v>
      </c>
      <c r="F128" s="86"/>
      <c r="G128" s="87" t="s">
        <v>3720</v>
      </c>
    </row>
    <row r="129" customFormat="false" ht="15" hidden="false" customHeight="false" outlineLevel="0" collapsed="false">
      <c r="A129" s="20" t="s">
        <v>3964</v>
      </c>
      <c r="B129" s="19" t="s">
        <v>3971</v>
      </c>
      <c r="C129" s="22" t="s">
        <v>91</v>
      </c>
      <c r="D129" s="20" t="s">
        <v>3972</v>
      </c>
      <c r="E129" s="20" t="s">
        <v>59</v>
      </c>
      <c r="F129" s="19" t="s">
        <v>410</v>
      </c>
      <c r="G129" s="22" t="s">
        <v>3709</v>
      </c>
    </row>
    <row r="130" customFormat="false" ht="15" hidden="false" customHeight="false" outlineLevel="0" collapsed="false">
      <c r="A130" s="24" t="s">
        <v>3964</v>
      </c>
      <c r="B130" s="23" t="s">
        <v>3973</v>
      </c>
      <c r="C130" s="26" t="s">
        <v>91</v>
      </c>
      <c r="D130" s="24" t="s">
        <v>3974</v>
      </c>
      <c r="E130" s="24" t="s">
        <v>59</v>
      </c>
      <c r="F130" s="23" t="s">
        <v>406</v>
      </c>
      <c r="G130" s="26" t="s">
        <v>3709</v>
      </c>
    </row>
    <row r="131" customFormat="false" ht="15" hidden="false" customHeight="false" outlineLevel="0" collapsed="false">
      <c r="A131" s="85" t="s">
        <v>3964</v>
      </c>
      <c r="B131" s="86" t="s">
        <v>3975</v>
      </c>
      <c r="C131" s="87" t="s">
        <v>91</v>
      </c>
      <c r="D131" s="85" t="s">
        <v>3976</v>
      </c>
      <c r="E131" s="85" t="s">
        <v>3719</v>
      </c>
      <c r="F131" s="86"/>
      <c r="G131" s="87" t="s">
        <v>3720</v>
      </c>
    </row>
    <row r="132" customFormat="false" ht="15" hidden="false" customHeight="false" outlineLevel="0" collapsed="false">
      <c r="A132" s="85" t="s">
        <v>3964</v>
      </c>
      <c r="B132" s="86" t="s">
        <v>3977</v>
      </c>
      <c r="C132" s="87" t="s">
        <v>91</v>
      </c>
      <c r="D132" s="85" t="s">
        <v>3978</v>
      </c>
      <c r="E132" s="85" t="s">
        <v>3719</v>
      </c>
      <c r="F132" s="86"/>
      <c r="G132" s="87" t="s">
        <v>3720</v>
      </c>
    </row>
    <row r="133" customFormat="false" ht="15" hidden="false" customHeight="false" outlineLevel="0" collapsed="false">
      <c r="A133" s="20" t="s">
        <v>3964</v>
      </c>
      <c r="B133" s="19" t="s">
        <v>3979</v>
      </c>
      <c r="C133" s="22" t="s">
        <v>91</v>
      </c>
      <c r="D133" s="20" t="s">
        <v>3980</v>
      </c>
      <c r="E133" s="20" t="s">
        <v>59</v>
      </c>
      <c r="F133" s="19" t="s">
        <v>390</v>
      </c>
      <c r="G133" s="22" t="s">
        <v>3709</v>
      </c>
    </row>
    <row r="134" customFormat="false" ht="15" hidden="false" customHeight="false" outlineLevel="0" collapsed="false">
      <c r="A134" s="85" t="s">
        <v>3964</v>
      </c>
      <c r="B134" s="86" t="s">
        <v>3981</v>
      </c>
      <c r="C134" s="87" t="s">
        <v>91</v>
      </c>
      <c r="D134" s="85" t="s">
        <v>3982</v>
      </c>
      <c r="E134" s="85" t="s">
        <v>3719</v>
      </c>
      <c r="F134" s="86"/>
      <c r="G134" s="87" t="s">
        <v>3720</v>
      </c>
    </row>
    <row r="135" customFormat="false" ht="15" hidden="false" customHeight="false" outlineLevel="0" collapsed="false">
      <c r="A135" s="85" t="s">
        <v>3964</v>
      </c>
      <c r="B135" s="86" t="s">
        <v>3983</v>
      </c>
      <c r="C135" s="87" t="s">
        <v>91</v>
      </c>
      <c r="D135" s="85" t="s">
        <v>3984</v>
      </c>
      <c r="E135" s="85" t="s">
        <v>3719</v>
      </c>
      <c r="F135" s="86"/>
      <c r="G135" s="87" t="s">
        <v>3720</v>
      </c>
    </row>
    <row r="136" customFormat="false" ht="15" hidden="false" customHeight="false" outlineLevel="0" collapsed="false">
      <c r="A136" s="85" t="s">
        <v>3964</v>
      </c>
      <c r="B136" s="86" t="s">
        <v>3985</v>
      </c>
      <c r="C136" s="87" t="s">
        <v>91</v>
      </c>
      <c r="D136" s="85" t="s">
        <v>3986</v>
      </c>
      <c r="E136" s="85" t="s">
        <v>3719</v>
      </c>
      <c r="F136" s="86"/>
      <c r="G136" s="87" t="s">
        <v>3720</v>
      </c>
    </row>
    <row r="137" customFormat="false" ht="15" hidden="false" customHeight="false" outlineLevel="0" collapsed="false">
      <c r="A137" s="85" t="s">
        <v>3964</v>
      </c>
      <c r="B137" s="86" t="s">
        <v>3987</v>
      </c>
      <c r="C137" s="87" t="s">
        <v>2209</v>
      </c>
      <c r="D137" s="85" t="s">
        <v>3988</v>
      </c>
      <c r="E137" s="85" t="s">
        <v>3719</v>
      </c>
      <c r="F137" s="86"/>
      <c r="G137" s="87" t="s">
        <v>3720</v>
      </c>
    </row>
    <row r="138" customFormat="false" ht="15" hidden="false" customHeight="false" outlineLevel="0" collapsed="false">
      <c r="A138" s="85" t="s">
        <v>3964</v>
      </c>
      <c r="B138" s="86" t="s">
        <v>3989</v>
      </c>
      <c r="C138" s="87" t="s">
        <v>91</v>
      </c>
      <c r="D138" s="85" t="s">
        <v>3990</v>
      </c>
      <c r="E138" s="85" t="s">
        <v>3719</v>
      </c>
      <c r="F138" s="86"/>
      <c r="G138" s="87" t="s">
        <v>3720</v>
      </c>
    </row>
    <row r="139" customFormat="false" ht="15" hidden="false" customHeight="false" outlineLevel="0" collapsed="false">
      <c r="A139" s="85" t="s">
        <v>3964</v>
      </c>
      <c r="B139" s="86" t="s">
        <v>3991</v>
      </c>
      <c r="C139" s="87" t="s">
        <v>137</v>
      </c>
      <c r="D139" s="85" t="s">
        <v>3992</v>
      </c>
      <c r="E139" s="85" t="s">
        <v>3719</v>
      </c>
      <c r="F139" s="86"/>
      <c r="G139" s="87" t="s">
        <v>3720</v>
      </c>
    </row>
    <row r="140" customFormat="false" ht="15" hidden="false" customHeight="false" outlineLevel="0" collapsed="false">
      <c r="A140" s="24" t="s">
        <v>3964</v>
      </c>
      <c r="B140" s="23" t="s">
        <v>3993</v>
      </c>
      <c r="C140" s="26" t="s">
        <v>91</v>
      </c>
      <c r="D140" s="24" t="s">
        <v>3994</v>
      </c>
      <c r="E140" s="24" t="s">
        <v>59</v>
      </c>
      <c r="F140" s="23" t="s">
        <v>428</v>
      </c>
      <c r="G140" s="26" t="s">
        <v>3709</v>
      </c>
    </row>
    <row r="141" customFormat="false" ht="15" hidden="false" customHeight="false" outlineLevel="0" collapsed="false">
      <c r="A141" s="85" t="s">
        <v>3964</v>
      </c>
      <c r="B141" s="86" t="s">
        <v>3995</v>
      </c>
      <c r="C141" s="87" t="s">
        <v>91</v>
      </c>
      <c r="D141" s="85" t="s">
        <v>3996</v>
      </c>
      <c r="E141" s="85" t="s">
        <v>3719</v>
      </c>
      <c r="F141" s="86"/>
      <c r="G141" s="87" t="s">
        <v>3720</v>
      </c>
    </row>
    <row r="142" customFormat="false" ht="15" hidden="false" customHeight="false" outlineLevel="0" collapsed="false">
      <c r="A142" s="85" t="s">
        <v>3964</v>
      </c>
      <c r="B142" s="86" t="s">
        <v>3997</v>
      </c>
      <c r="C142" s="87" t="s">
        <v>91</v>
      </c>
      <c r="D142" s="85" t="s">
        <v>3998</v>
      </c>
      <c r="E142" s="85" t="s">
        <v>3719</v>
      </c>
      <c r="F142" s="86"/>
      <c r="G142" s="87" t="s">
        <v>3720</v>
      </c>
    </row>
    <row r="143" customFormat="false" ht="15" hidden="false" customHeight="false" outlineLevel="0" collapsed="false">
      <c r="A143" s="20" t="s">
        <v>3964</v>
      </c>
      <c r="B143" s="19" t="s">
        <v>3999</v>
      </c>
      <c r="C143" s="22" t="s">
        <v>91</v>
      </c>
      <c r="D143" s="20" t="s">
        <v>4000</v>
      </c>
      <c r="E143" s="20" t="s">
        <v>59</v>
      </c>
      <c r="F143" s="19" t="s">
        <v>396</v>
      </c>
      <c r="G143" s="22" t="s">
        <v>3709</v>
      </c>
    </row>
    <row r="144" customFormat="false" ht="15" hidden="false" customHeight="false" outlineLevel="0" collapsed="false">
      <c r="A144" s="85" t="s">
        <v>3964</v>
      </c>
      <c r="B144" s="86" t="s">
        <v>4001</v>
      </c>
      <c r="C144" s="87" t="s">
        <v>91</v>
      </c>
      <c r="D144" s="85" t="s">
        <v>4002</v>
      </c>
      <c r="E144" s="85" t="s">
        <v>3719</v>
      </c>
      <c r="F144" s="86"/>
      <c r="G144" s="87" t="s">
        <v>3720</v>
      </c>
    </row>
    <row r="145" customFormat="false" ht="15" hidden="false" customHeight="false" outlineLevel="0" collapsed="false">
      <c r="A145" s="85" t="s">
        <v>3964</v>
      </c>
      <c r="B145" s="86" t="s">
        <v>4003</v>
      </c>
      <c r="C145" s="87" t="s">
        <v>91</v>
      </c>
      <c r="D145" s="85" t="s">
        <v>4004</v>
      </c>
      <c r="E145" s="85" t="s">
        <v>3719</v>
      </c>
      <c r="F145" s="86"/>
      <c r="G145" s="87" t="s">
        <v>3720</v>
      </c>
    </row>
    <row r="146" customFormat="false" ht="15" hidden="false" customHeight="false" outlineLevel="0" collapsed="false">
      <c r="A146" s="85" t="s">
        <v>4005</v>
      </c>
      <c r="B146" s="86" t="s">
        <v>4006</v>
      </c>
      <c r="C146" s="87" t="s">
        <v>91</v>
      </c>
      <c r="D146" s="85" t="s">
        <v>4007</v>
      </c>
      <c r="E146" s="85" t="s">
        <v>3719</v>
      </c>
      <c r="F146" s="86"/>
      <c r="G146" s="87" t="s">
        <v>3720</v>
      </c>
    </row>
    <row r="147" customFormat="false" ht="15" hidden="false" customHeight="false" outlineLevel="0" collapsed="false">
      <c r="A147" s="85" t="s">
        <v>4005</v>
      </c>
      <c r="B147" s="86" t="s">
        <v>4008</v>
      </c>
      <c r="C147" s="87" t="s">
        <v>91</v>
      </c>
      <c r="D147" s="85" t="s">
        <v>4009</v>
      </c>
      <c r="E147" s="85" t="s">
        <v>3719</v>
      </c>
      <c r="F147" s="86"/>
      <c r="G147" s="87" t="s">
        <v>3720</v>
      </c>
    </row>
    <row r="148" customFormat="false" ht="15" hidden="false" customHeight="false" outlineLevel="0" collapsed="false">
      <c r="A148" s="85" t="s">
        <v>4005</v>
      </c>
      <c r="B148" s="86" t="s">
        <v>4010</v>
      </c>
      <c r="C148" s="87" t="s">
        <v>91</v>
      </c>
      <c r="D148" s="85" t="s">
        <v>4011</v>
      </c>
      <c r="E148" s="85" t="s">
        <v>3719</v>
      </c>
      <c r="F148" s="86"/>
      <c r="G148" s="87" t="s">
        <v>3720</v>
      </c>
    </row>
    <row r="149" customFormat="false" ht="15" hidden="false" customHeight="false" outlineLevel="0" collapsed="false">
      <c r="A149" s="20" t="s">
        <v>4005</v>
      </c>
      <c r="B149" s="19" t="s">
        <v>4012</v>
      </c>
      <c r="C149" s="22" t="s">
        <v>91</v>
      </c>
      <c r="D149" s="20" t="s">
        <v>4013</v>
      </c>
      <c r="E149" s="20" t="s">
        <v>60</v>
      </c>
      <c r="F149" s="19" t="s">
        <v>458</v>
      </c>
      <c r="G149" s="22" t="s">
        <v>3709</v>
      </c>
    </row>
    <row r="150" customFormat="false" ht="15" hidden="false" customHeight="false" outlineLevel="0" collapsed="false">
      <c r="A150" s="24" t="s">
        <v>4005</v>
      </c>
      <c r="B150" s="23" t="s">
        <v>4014</v>
      </c>
      <c r="C150" s="26" t="s">
        <v>91</v>
      </c>
      <c r="D150" s="24" t="s">
        <v>4015</v>
      </c>
      <c r="E150" s="24" t="s">
        <v>60</v>
      </c>
      <c r="F150" s="23" t="s">
        <v>451</v>
      </c>
      <c r="G150" s="26" t="s">
        <v>3709</v>
      </c>
    </row>
    <row r="151" customFormat="false" ht="15" hidden="false" customHeight="false" outlineLevel="0" collapsed="false">
      <c r="A151" s="20" t="s">
        <v>4005</v>
      </c>
      <c r="B151" s="19" t="s">
        <v>4016</v>
      </c>
      <c r="C151" s="22" t="s">
        <v>91</v>
      </c>
      <c r="D151" s="20" t="s">
        <v>4017</v>
      </c>
      <c r="E151" s="20" t="s">
        <v>60</v>
      </c>
      <c r="F151" s="19" t="s">
        <v>460</v>
      </c>
      <c r="G151" s="22" t="s">
        <v>3709</v>
      </c>
    </row>
    <row r="152" customFormat="false" ht="15" hidden="false" customHeight="false" outlineLevel="0" collapsed="false">
      <c r="A152" s="24" t="s">
        <v>4005</v>
      </c>
      <c r="B152" s="23" t="s">
        <v>4018</v>
      </c>
      <c r="C152" s="26" t="s">
        <v>137</v>
      </c>
      <c r="D152" s="24" t="s">
        <v>4019</v>
      </c>
      <c r="E152" s="24" t="s">
        <v>60</v>
      </c>
      <c r="F152" s="23" t="s">
        <v>490</v>
      </c>
      <c r="G152" s="26" t="s">
        <v>3709</v>
      </c>
    </row>
    <row r="153" customFormat="false" ht="15" hidden="false" customHeight="false" outlineLevel="0" collapsed="false">
      <c r="A153" s="85" t="s">
        <v>4005</v>
      </c>
      <c r="B153" s="86" t="s">
        <v>4020</v>
      </c>
      <c r="C153" s="87" t="s">
        <v>137</v>
      </c>
      <c r="D153" s="85" t="s">
        <v>4021</v>
      </c>
      <c r="E153" s="85" t="s">
        <v>3719</v>
      </c>
      <c r="F153" s="86"/>
      <c r="G153" s="87" t="s">
        <v>3720</v>
      </c>
    </row>
    <row r="154" customFormat="false" ht="15" hidden="false" customHeight="false" outlineLevel="0" collapsed="false">
      <c r="A154" s="88" t="s">
        <v>4005</v>
      </c>
      <c r="B154" s="89" t="s">
        <v>4022</v>
      </c>
      <c r="C154" s="90" t="s">
        <v>91</v>
      </c>
      <c r="D154" s="88" t="s">
        <v>4023</v>
      </c>
      <c r="E154" s="88" t="s">
        <v>65</v>
      </c>
      <c r="F154" s="89" t="s">
        <v>667</v>
      </c>
      <c r="G154" s="90" t="s">
        <v>3761</v>
      </c>
    </row>
    <row r="155" customFormat="false" ht="15" hidden="false" customHeight="false" outlineLevel="0" collapsed="false">
      <c r="A155" s="20" t="s">
        <v>4005</v>
      </c>
      <c r="B155" s="19" t="s">
        <v>4024</v>
      </c>
      <c r="C155" s="22" t="s">
        <v>91</v>
      </c>
      <c r="D155" s="20" t="s">
        <v>4025</v>
      </c>
      <c r="E155" s="20" t="s">
        <v>60</v>
      </c>
      <c r="F155" s="19" t="s">
        <v>445</v>
      </c>
      <c r="G155" s="22" t="s">
        <v>3709</v>
      </c>
    </row>
    <row r="156" customFormat="false" ht="15" hidden="false" customHeight="false" outlineLevel="0" collapsed="false">
      <c r="A156" s="85" t="s">
        <v>4005</v>
      </c>
      <c r="B156" s="86" t="s">
        <v>4026</v>
      </c>
      <c r="C156" s="87" t="s">
        <v>91</v>
      </c>
      <c r="D156" s="85" t="s">
        <v>4027</v>
      </c>
      <c r="E156" s="85" t="s">
        <v>3719</v>
      </c>
      <c r="F156" s="86"/>
      <c r="G156" s="87" t="s">
        <v>3720</v>
      </c>
    </row>
    <row r="157" customFormat="false" ht="15" hidden="false" customHeight="false" outlineLevel="0" collapsed="false">
      <c r="A157" s="85" t="s">
        <v>4005</v>
      </c>
      <c r="B157" s="86" t="s">
        <v>4028</v>
      </c>
      <c r="C157" s="87" t="s">
        <v>91</v>
      </c>
      <c r="D157" s="85" t="s">
        <v>4029</v>
      </c>
      <c r="E157" s="85" t="s">
        <v>3719</v>
      </c>
      <c r="F157" s="86"/>
      <c r="G157" s="87" t="s">
        <v>3720</v>
      </c>
    </row>
    <row r="158" customFormat="false" ht="15" hidden="false" customHeight="false" outlineLevel="0" collapsed="false">
      <c r="A158" s="85" t="s">
        <v>4005</v>
      </c>
      <c r="B158" s="86" t="s">
        <v>4030</v>
      </c>
      <c r="C158" s="87" t="s">
        <v>91</v>
      </c>
      <c r="D158" s="85" t="s">
        <v>4031</v>
      </c>
      <c r="E158" s="85" t="s">
        <v>3719</v>
      </c>
      <c r="F158" s="86"/>
      <c r="G158" s="87" t="s">
        <v>3720</v>
      </c>
    </row>
    <row r="159" customFormat="false" ht="15" hidden="false" customHeight="false" outlineLevel="0" collapsed="false">
      <c r="A159" s="88" t="s">
        <v>4005</v>
      </c>
      <c r="B159" s="89" t="s">
        <v>4032</v>
      </c>
      <c r="C159" s="90" t="s">
        <v>91</v>
      </c>
      <c r="D159" s="88" t="s">
        <v>4033</v>
      </c>
      <c r="E159" s="88" t="s">
        <v>60</v>
      </c>
      <c r="F159" s="89" t="s">
        <v>464</v>
      </c>
      <c r="G159" s="90" t="s">
        <v>3761</v>
      </c>
    </row>
    <row r="160" customFormat="false" ht="15" hidden="false" customHeight="false" outlineLevel="0" collapsed="false">
      <c r="A160" s="85" t="s">
        <v>4005</v>
      </c>
      <c r="B160" s="86" t="s">
        <v>4034</v>
      </c>
      <c r="C160" s="87" t="s">
        <v>91</v>
      </c>
      <c r="D160" s="85" t="s">
        <v>4035</v>
      </c>
      <c r="E160" s="85" t="s">
        <v>3719</v>
      </c>
      <c r="F160" s="86"/>
      <c r="G160" s="87" t="s">
        <v>3720</v>
      </c>
    </row>
    <row r="161" customFormat="false" ht="15" hidden="false" customHeight="false" outlineLevel="0" collapsed="false">
      <c r="A161" s="20" t="s">
        <v>4005</v>
      </c>
      <c r="B161" s="19" t="s">
        <v>4036</v>
      </c>
      <c r="C161" s="22" t="s">
        <v>91</v>
      </c>
      <c r="D161" s="20" t="s">
        <v>4037</v>
      </c>
      <c r="E161" s="20" t="s">
        <v>60</v>
      </c>
      <c r="F161" s="19" t="s">
        <v>460</v>
      </c>
      <c r="G161" s="22" t="s">
        <v>3709</v>
      </c>
    </row>
    <row r="162" customFormat="false" ht="15" hidden="false" customHeight="false" outlineLevel="0" collapsed="false">
      <c r="A162" s="85" t="s">
        <v>4005</v>
      </c>
      <c r="B162" s="86" t="s">
        <v>4038</v>
      </c>
      <c r="C162" s="87" t="s">
        <v>91</v>
      </c>
      <c r="D162" s="85" t="s">
        <v>4039</v>
      </c>
      <c r="E162" s="85" t="s">
        <v>3719</v>
      </c>
      <c r="F162" s="86"/>
      <c r="G162" s="87" t="s">
        <v>3720</v>
      </c>
    </row>
    <row r="163" customFormat="false" ht="15" hidden="false" customHeight="false" outlineLevel="0" collapsed="false">
      <c r="A163" s="85" t="s">
        <v>4005</v>
      </c>
      <c r="B163" s="86" t="s">
        <v>4040</v>
      </c>
      <c r="C163" s="87" t="s">
        <v>91</v>
      </c>
      <c r="D163" s="85" t="s">
        <v>4041</v>
      </c>
      <c r="E163" s="85" t="s">
        <v>3719</v>
      </c>
      <c r="F163" s="86"/>
      <c r="G163" s="87" t="s">
        <v>3720</v>
      </c>
    </row>
    <row r="164" customFormat="false" ht="15" hidden="false" customHeight="false" outlineLevel="0" collapsed="false">
      <c r="A164" s="85" t="s">
        <v>4005</v>
      </c>
      <c r="B164" s="86" t="s">
        <v>4042</v>
      </c>
      <c r="C164" s="87" t="s">
        <v>91</v>
      </c>
      <c r="D164" s="85" t="s">
        <v>4043</v>
      </c>
      <c r="E164" s="85" t="s">
        <v>3719</v>
      </c>
      <c r="F164" s="86"/>
      <c r="G164" s="87" t="s">
        <v>3720</v>
      </c>
    </row>
    <row r="165" customFormat="false" ht="15" hidden="false" customHeight="false" outlineLevel="0" collapsed="false">
      <c r="A165" s="85" t="s">
        <v>4005</v>
      </c>
      <c r="B165" s="86" t="s">
        <v>4044</v>
      </c>
      <c r="C165" s="87" t="s">
        <v>91</v>
      </c>
      <c r="D165" s="85" t="s">
        <v>4045</v>
      </c>
      <c r="E165" s="85" t="s">
        <v>3719</v>
      </c>
      <c r="F165" s="86"/>
      <c r="G165" s="87" t="s">
        <v>3720</v>
      </c>
    </row>
    <row r="166" customFormat="false" ht="15" hidden="false" customHeight="false" outlineLevel="0" collapsed="false">
      <c r="A166" s="24" t="s">
        <v>4046</v>
      </c>
      <c r="B166" s="23" t="s">
        <v>4047</v>
      </c>
      <c r="C166" s="26" t="s">
        <v>91</v>
      </c>
      <c r="D166" s="24" t="s">
        <v>4048</v>
      </c>
      <c r="E166" s="24" t="s">
        <v>68</v>
      </c>
      <c r="F166" s="23" t="s">
        <v>761</v>
      </c>
      <c r="G166" s="26" t="s">
        <v>3709</v>
      </c>
    </row>
    <row r="167" customFormat="false" ht="15" hidden="false" customHeight="false" outlineLevel="0" collapsed="false">
      <c r="A167" s="88" t="s">
        <v>4046</v>
      </c>
      <c r="B167" s="89" t="s">
        <v>4049</v>
      </c>
      <c r="C167" s="90" t="s">
        <v>672</v>
      </c>
      <c r="D167" s="88" t="s">
        <v>4050</v>
      </c>
      <c r="E167" s="88" t="s">
        <v>68</v>
      </c>
      <c r="F167" s="89" t="s">
        <v>765</v>
      </c>
      <c r="G167" s="90" t="s">
        <v>3761</v>
      </c>
    </row>
    <row r="168" customFormat="false" ht="15" hidden="false" customHeight="false" outlineLevel="0" collapsed="false">
      <c r="A168" s="24" t="s">
        <v>4046</v>
      </c>
      <c r="B168" s="23" t="s">
        <v>4051</v>
      </c>
      <c r="C168" s="26" t="s">
        <v>672</v>
      </c>
      <c r="D168" s="24" t="s">
        <v>4052</v>
      </c>
      <c r="E168" s="24" t="s">
        <v>68</v>
      </c>
      <c r="F168" s="23" t="s">
        <v>763</v>
      </c>
      <c r="G168" s="26" t="s">
        <v>3709</v>
      </c>
    </row>
    <row r="169" customFormat="false" ht="15" hidden="false" customHeight="false" outlineLevel="0" collapsed="false">
      <c r="A169" s="20" t="s">
        <v>4046</v>
      </c>
      <c r="B169" s="19" t="s">
        <v>4053</v>
      </c>
      <c r="C169" s="22" t="s">
        <v>91</v>
      </c>
      <c r="D169" s="20" t="s">
        <v>4054</v>
      </c>
      <c r="E169" s="20" t="s">
        <v>68</v>
      </c>
      <c r="F169" s="19" t="s">
        <v>775</v>
      </c>
      <c r="G169" s="22" t="s">
        <v>3709</v>
      </c>
    </row>
    <row r="170" customFormat="false" ht="15" hidden="false" customHeight="false" outlineLevel="0" collapsed="false">
      <c r="A170" s="24" t="s">
        <v>4046</v>
      </c>
      <c r="B170" s="23" t="s">
        <v>4055</v>
      </c>
      <c r="C170" s="26" t="s">
        <v>91</v>
      </c>
      <c r="D170" s="24" t="s">
        <v>4056</v>
      </c>
      <c r="E170" s="24" t="s">
        <v>68</v>
      </c>
      <c r="F170" s="23" t="s">
        <v>767</v>
      </c>
      <c r="G170" s="26" t="s">
        <v>3709</v>
      </c>
    </row>
    <row r="171" customFormat="false" ht="15" hidden="false" customHeight="false" outlineLevel="0" collapsed="false">
      <c r="A171" s="85" t="s">
        <v>4046</v>
      </c>
      <c r="B171" s="86" t="s">
        <v>4057</v>
      </c>
      <c r="C171" s="87" t="s">
        <v>672</v>
      </c>
      <c r="D171" s="85" t="s">
        <v>4058</v>
      </c>
      <c r="E171" s="85" t="s">
        <v>3719</v>
      </c>
      <c r="F171" s="86"/>
      <c r="G171" s="87" t="s">
        <v>3720</v>
      </c>
    </row>
    <row r="172" customFormat="false" ht="15" hidden="false" customHeight="false" outlineLevel="0" collapsed="false">
      <c r="A172" s="24" t="s">
        <v>4046</v>
      </c>
      <c r="B172" s="23" t="s">
        <v>4059</v>
      </c>
      <c r="C172" s="26" t="s">
        <v>91</v>
      </c>
      <c r="D172" s="24" t="s">
        <v>4060</v>
      </c>
      <c r="E172" s="24" t="s">
        <v>68</v>
      </c>
      <c r="F172" s="23" t="s">
        <v>773</v>
      </c>
      <c r="G172" s="26" t="s">
        <v>3709</v>
      </c>
    </row>
    <row r="173" customFormat="false" ht="15" hidden="false" customHeight="false" outlineLevel="0" collapsed="false">
      <c r="A173" s="85" t="s">
        <v>4046</v>
      </c>
      <c r="B173" s="86" t="s">
        <v>4061</v>
      </c>
      <c r="C173" s="87" t="s">
        <v>91</v>
      </c>
      <c r="D173" s="85" t="s">
        <v>4062</v>
      </c>
      <c r="E173" s="85" t="s">
        <v>3719</v>
      </c>
      <c r="F173" s="86"/>
      <c r="G173" s="87" t="s">
        <v>3720</v>
      </c>
    </row>
    <row r="174" customFormat="false" ht="15" hidden="false" customHeight="false" outlineLevel="0" collapsed="false">
      <c r="A174" s="24" t="s">
        <v>4046</v>
      </c>
      <c r="B174" s="23" t="s">
        <v>4063</v>
      </c>
      <c r="C174" s="26" t="s">
        <v>91</v>
      </c>
      <c r="D174" s="24" t="s">
        <v>4064</v>
      </c>
      <c r="E174" s="24" t="s">
        <v>61</v>
      </c>
      <c r="F174" s="23" t="s">
        <v>504</v>
      </c>
      <c r="G174" s="26" t="s">
        <v>3709</v>
      </c>
    </row>
    <row r="175" customFormat="false" ht="15" hidden="false" customHeight="false" outlineLevel="0" collapsed="false">
      <c r="A175" s="20" t="s">
        <v>4046</v>
      </c>
      <c r="B175" s="19" t="s">
        <v>4065</v>
      </c>
      <c r="C175" s="22" t="s">
        <v>91</v>
      </c>
      <c r="D175" s="20" t="s">
        <v>4066</v>
      </c>
      <c r="E175" s="20" t="s">
        <v>61</v>
      </c>
      <c r="F175" s="19" t="s">
        <v>507</v>
      </c>
      <c r="G175" s="22" t="s">
        <v>3709</v>
      </c>
    </row>
    <row r="176" customFormat="false" ht="15" hidden="false" customHeight="false" outlineLevel="0" collapsed="false">
      <c r="A176" s="85" t="s">
        <v>4046</v>
      </c>
      <c r="B176" s="86" t="s">
        <v>3087</v>
      </c>
      <c r="C176" s="87" t="s">
        <v>91</v>
      </c>
      <c r="D176" s="85" t="s">
        <v>4067</v>
      </c>
      <c r="E176" s="85" t="s">
        <v>3719</v>
      </c>
      <c r="F176" s="86"/>
      <c r="G176" s="87" t="s">
        <v>3720</v>
      </c>
    </row>
    <row r="177" customFormat="false" ht="15" hidden="false" customHeight="false" outlineLevel="0" collapsed="false">
      <c r="A177" s="20" t="s">
        <v>4046</v>
      </c>
      <c r="B177" s="19" t="s">
        <v>4068</v>
      </c>
      <c r="C177" s="22" t="s">
        <v>91</v>
      </c>
      <c r="D177" s="20" t="s">
        <v>4069</v>
      </c>
      <c r="E177" s="20" t="s">
        <v>68</v>
      </c>
      <c r="F177" s="19" t="s">
        <v>794</v>
      </c>
      <c r="G177" s="22" t="s">
        <v>3709</v>
      </c>
    </row>
    <row r="178" customFormat="false" ht="15" hidden="false" customHeight="false" outlineLevel="0" collapsed="false">
      <c r="A178" s="88" t="s">
        <v>4046</v>
      </c>
      <c r="B178" s="89" t="s">
        <v>4070</v>
      </c>
      <c r="C178" s="90" t="s">
        <v>91</v>
      </c>
      <c r="D178" s="88" t="s">
        <v>4071</v>
      </c>
      <c r="E178" s="88" t="s">
        <v>61</v>
      </c>
      <c r="F178" s="89" t="s">
        <v>506</v>
      </c>
      <c r="G178" s="90" t="s">
        <v>3761</v>
      </c>
    </row>
    <row r="179" customFormat="false" ht="15" hidden="false" customHeight="false" outlineLevel="0" collapsed="false">
      <c r="A179" s="85" t="s">
        <v>4046</v>
      </c>
      <c r="B179" s="86" t="s">
        <v>4072</v>
      </c>
      <c r="C179" s="87" t="s">
        <v>91</v>
      </c>
      <c r="D179" s="85" t="s">
        <v>4073</v>
      </c>
      <c r="E179" s="85" t="s">
        <v>3719</v>
      </c>
      <c r="F179" s="86"/>
      <c r="G179" s="87" t="s">
        <v>3720</v>
      </c>
    </row>
    <row r="180" customFormat="false" ht="15" hidden="false" customHeight="false" outlineLevel="0" collapsed="false">
      <c r="A180" s="85" t="s">
        <v>4046</v>
      </c>
      <c r="B180" s="86" t="s">
        <v>4074</v>
      </c>
      <c r="C180" s="87" t="s">
        <v>137</v>
      </c>
      <c r="D180" s="85" t="s">
        <v>4075</v>
      </c>
      <c r="E180" s="85" t="s">
        <v>3719</v>
      </c>
      <c r="F180" s="86"/>
      <c r="G180" s="87" t="s">
        <v>3720</v>
      </c>
    </row>
    <row r="181" customFormat="false" ht="15" hidden="false" customHeight="false" outlineLevel="0" collapsed="false">
      <c r="A181" s="85" t="s">
        <v>4046</v>
      </c>
      <c r="B181" s="86" t="s">
        <v>4076</v>
      </c>
      <c r="C181" s="87" t="s">
        <v>91</v>
      </c>
      <c r="D181" s="85" t="s">
        <v>4077</v>
      </c>
      <c r="E181" s="85" t="s">
        <v>3719</v>
      </c>
      <c r="F181" s="86"/>
      <c r="G181" s="87" t="s">
        <v>3720</v>
      </c>
    </row>
    <row r="182" customFormat="false" ht="15" hidden="false" customHeight="false" outlineLevel="0" collapsed="false">
      <c r="A182" s="24" t="s">
        <v>4046</v>
      </c>
      <c r="B182" s="23" t="s">
        <v>4078</v>
      </c>
      <c r="C182" s="26" t="s">
        <v>91</v>
      </c>
      <c r="D182" s="24" t="s">
        <v>4079</v>
      </c>
      <c r="E182" s="24" t="s">
        <v>68</v>
      </c>
      <c r="F182" s="23" t="s">
        <v>769</v>
      </c>
      <c r="G182" s="26" t="s">
        <v>3709</v>
      </c>
    </row>
    <row r="183" customFormat="false" ht="15" hidden="false" customHeight="false" outlineLevel="0" collapsed="false">
      <c r="A183" s="85" t="s">
        <v>4046</v>
      </c>
      <c r="B183" s="86" t="s">
        <v>4080</v>
      </c>
      <c r="C183" s="87" t="s">
        <v>91</v>
      </c>
      <c r="D183" s="85" t="s">
        <v>4081</v>
      </c>
      <c r="E183" s="85" t="s">
        <v>3719</v>
      </c>
      <c r="F183" s="86"/>
      <c r="G183" s="87" t="s">
        <v>3720</v>
      </c>
    </row>
    <row r="184" customFormat="false" ht="15" hidden="false" customHeight="false" outlineLevel="0" collapsed="false">
      <c r="A184" s="88" t="s">
        <v>4046</v>
      </c>
      <c r="B184" s="89" t="s">
        <v>4082</v>
      </c>
      <c r="C184" s="90" t="s">
        <v>91</v>
      </c>
      <c r="D184" s="88" t="s">
        <v>4083</v>
      </c>
      <c r="E184" s="88" t="s">
        <v>68</v>
      </c>
      <c r="F184" s="89" t="s">
        <v>773</v>
      </c>
      <c r="G184" s="90" t="s">
        <v>3761</v>
      </c>
    </row>
    <row r="185" customFormat="false" ht="15" hidden="false" customHeight="false" outlineLevel="0" collapsed="false">
      <c r="A185" s="85" t="s">
        <v>4046</v>
      </c>
      <c r="B185" s="86" t="s">
        <v>4084</v>
      </c>
      <c r="C185" s="87" t="s">
        <v>91</v>
      </c>
      <c r="D185" s="85" t="s">
        <v>4085</v>
      </c>
      <c r="E185" s="85" t="s">
        <v>3719</v>
      </c>
      <c r="F185" s="86"/>
      <c r="G185" s="87" t="s">
        <v>3720</v>
      </c>
    </row>
    <row r="186" customFormat="false" ht="15" hidden="false" customHeight="false" outlineLevel="0" collapsed="false">
      <c r="A186" s="85" t="s">
        <v>4086</v>
      </c>
      <c r="B186" s="86" t="s">
        <v>4087</v>
      </c>
      <c r="C186" s="87" t="s">
        <v>374</v>
      </c>
      <c r="D186" s="85" t="s">
        <v>4088</v>
      </c>
      <c r="E186" s="85" t="s">
        <v>3719</v>
      </c>
      <c r="F186" s="86"/>
      <c r="G186" s="87" t="s">
        <v>3720</v>
      </c>
    </row>
    <row r="187" customFormat="false" ht="15" hidden="false" customHeight="false" outlineLevel="0" collapsed="false">
      <c r="A187" s="85" t="s">
        <v>4086</v>
      </c>
      <c r="B187" s="86" t="s">
        <v>4089</v>
      </c>
      <c r="C187" s="87" t="s">
        <v>374</v>
      </c>
      <c r="D187" s="85" t="s">
        <v>4090</v>
      </c>
      <c r="E187" s="85" t="s">
        <v>3719</v>
      </c>
      <c r="F187" s="86"/>
      <c r="G187" s="87" t="s">
        <v>3720</v>
      </c>
    </row>
    <row r="188" customFormat="false" ht="15" hidden="false" customHeight="false" outlineLevel="0" collapsed="false">
      <c r="A188" s="24" t="s">
        <v>4086</v>
      </c>
      <c r="B188" s="23" t="s">
        <v>4091</v>
      </c>
      <c r="C188" s="26" t="s">
        <v>2209</v>
      </c>
      <c r="D188" s="24" t="s">
        <v>4092</v>
      </c>
      <c r="E188" s="24" t="s">
        <v>63</v>
      </c>
      <c r="F188" s="23" t="s">
        <v>607</v>
      </c>
      <c r="G188" s="26" t="s">
        <v>3709</v>
      </c>
    </row>
    <row r="189" customFormat="false" ht="15" hidden="false" customHeight="false" outlineLevel="0" collapsed="false">
      <c r="A189" s="20" t="s">
        <v>4086</v>
      </c>
      <c r="B189" s="19" t="s">
        <v>4093</v>
      </c>
      <c r="C189" s="22" t="s">
        <v>2209</v>
      </c>
      <c r="D189" s="20" t="s">
        <v>4094</v>
      </c>
      <c r="E189" s="20" t="s">
        <v>63</v>
      </c>
      <c r="F189" s="19" t="s">
        <v>605</v>
      </c>
      <c r="G189" s="22" t="s">
        <v>3709</v>
      </c>
    </row>
    <row r="190" customFormat="false" ht="15" hidden="false" customHeight="false" outlineLevel="0" collapsed="false">
      <c r="A190" s="88" t="s">
        <v>4086</v>
      </c>
      <c r="B190" s="89" t="s">
        <v>4095</v>
      </c>
      <c r="C190" s="90" t="s">
        <v>91</v>
      </c>
      <c r="D190" s="88" t="s">
        <v>4096</v>
      </c>
      <c r="E190" s="88" t="s">
        <v>61</v>
      </c>
      <c r="F190" s="89" t="s">
        <v>521</v>
      </c>
      <c r="G190" s="90" t="s">
        <v>3761</v>
      </c>
    </row>
    <row r="191" customFormat="false" ht="15" hidden="false" customHeight="false" outlineLevel="0" collapsed="false">
      <c r="A191" s="85" t="s">
        <v>4086</v>
      </c>
      <c r="B191" s="86" t="s">
        <v>4097</v>
      </c>
      <c r="C191" s="87" t="s">
        <v>91</v>
      </c>
      <c r="D191" s="85" t="s">
        <v>4098</v>
      </c>
      <c r="E191" s="85" t="s">
        <v>3719</v>
      </c>
      <c r="F191" s="86"/>
      <c r="G191" s="87" t="s">
        <v>3720</v>
      </c>
    </row>
    <row r="192" customFormat="false" ht="15" hidden="false" customHeight="false" outlineLevel="0" collapsed="false">
      <c r="A192" s="85" t="s">
        <v>4086</v>
      </c>
      <c r="B192" s="86" t="s">
        <v>4099</v>
      </c>
      <c r="C192" s="87" t="s">
        <v>91</v>
      </c>
      <c r="D192" s="85" t="s">
        <v>4100</v>
      </c>
      <c r="E192" s="85" t="s">
        <v>3719</v>
      </c>
      <c r="F192" s="86"/>
      <c r="G192" s="87" t="s">
        <v>3720</v>
      </c>
    </row>
    <row r="193" customFormat="false" ht="15" hidden="false" customHeight="false" outlineLevel="0" collapsed="false">
      <c r="A193" s="20" t="s">
        <v>4086</v>
      </c>
      <c r="B193" s="19" t="s">
        <v>4101</v>
      </c>
      <c r="C193" s="22" t="s">
        <v>91</v>
      </c>
      <c r="D193" s="20" t="s">
        <v>4102</v>
      </c>
      <c r="E193" s="20" t="s">
        <v>68</v>
      </c>
      <c r="F193" s="19" t="s">
        <v>777</v>
      </c>
      <c r="G193" s="22" t="s">
        <v>3709</v>
      </c>
    </row>
    <row r="194" customFormat="false" ht="15" hidden="false" customHeight="false" outlineLevel="0" collapsed="false">
      <c r="A194" s="85" t="s">
        <v>4086</v>
      </c>
      <c r="B194" s="86" t="s">
        <v>4103</v>
      </c>
      <c r="C194" s="87" t="s">
        <v>91</v>
      </c>
      <c r="D194" s="85" t="s">
        <v>4104</v>
      </c>
      <c r="E194" s="85" t="s">
        <v>3719</v>
      </c>
      <c r="F194" s="86"/>
      <c r="G194" s="87" t="s">
        <v>3720</v>
      </c>
    </row>
    <row r="195" customFormat="false" ht="15" hidden="false" customHeight="false" outlineLevel="0" collapsed="false">
      <c r="A195" s="88" t="s">
        <v>4086</v>
      </c>
      <c r="B195" s="89" t="s">
        <v>4105</v>
      </c>
      <c r="C195" s="90" t="s">
        <v>519</v>
      </c>
      <c r="D195" s="88" t="s">
        <v>4106</v>
      </c>
      <c r="E195" s="88" t="s">
        <v>58</v>
      </c>
      <c r="F195" s="89" t="s">
        <v>343</v>
      </c>
      <c r="G195" s="90" t="s">
        <v>3761</v>
      </c>
    </row>
    <row r="196" customFormat="false" ht="15" hidden="false" customHeight="false" outlineLevel="0" collapsed="false">
      <c r="A196" s="85" t="s">
        <v>4086</v>
      </c>
      <c r="B196" s="86" t="s">
        <v>4107</v>
      </c>
      <c r="C196" s="87" t="s">
        <v>500</v>
      </c>
      <c r="D196" s="85" t="s">
        <v>4108</v>
      </c>
      <c r="E196" s="85" t="s">
        <v>3719</v>
      </c>
      <c r="F196" s="86"/>
      <c r="G196" s="87" t="s">
        <v>3720</v>
      </c>
    </row>
    <row r="197" customFormat="false" ht="15" hidden="false" customHeight="false" outlineLevel="0" collapsed="false">
      <c r="A197" s="85" t="s">
        <v>4086</v>
      </c>
      <c r="B197" s="86" t="s">
        <v>4109</v>
      </c>
      <c r="C197" s="87" t="s">
        <v>91</v>
      </c>
      <c r="D197" s="85" t="s">
        <v>4110</v>
      </c>
      <c r="E197" s="85" t="s">
        <v>3719</v>
      </c>
      <c r="F197" s="86"/>
      <c r="G197" s="87" t="s">
        <v>3720</v>
      </c>
    </row>
    <row r="198" customFormat="false" ht="15" hidden="false" customHeight="false" outlineLevel="0" collapsed="false">
      <c r="A198" s="85" t="s">
        <v>4086</v>
      </c>
      <c r="B198" s="86" t="s">
        <v>4111</v>
      </c>
      <c r="C198" s="87" t="s">
        <v>91</v>
      </c>
      <c r="D198" s="85" t="s">
        <v>4112</v>
      </c>
      <c r="E198" s="85" t="s">
        <v>3719</v>
      </c>
      <c r="F198" s="86"/>
      <c r="G198" s="87" t="s">
        <v>3720</v>
      </c>
    </row>
    <row r="199" customFormat="false" ht="15" hidden="false" customHeight="false" outlineLevel="0" collapsed="false">
      <c r="A199" s="88" t="s">
        <v>4086</v>
      </c>
      <c r="B199" s="89" t="s">
        <v>4113</v>
      </c>
      <c r="C199" s="90" t="s">
        <v>91</v>
      </c>
      <c r="D199" s="88" t="s">
        <v>4114</v>
      </c>
      <c r="E199" s="88" t="s">
        <v>63</v>
      </c>
      <c r="F199" s="89" t="s">
        <v>591</v>
      </c>
      <c r="G199" s="90" t="s">
        <v>3761</v>
      </c>
    </row>
    <row r="200" customFormat="false" ht="15" hidden="false" customHeight="false" outlineLevel="0" collapsed="false">
      <c r="A200" s="24" t="s">
        <v>4086</v>
      </c>
      <c r="B200" s="23" t="s">
        <v>4115</v>
      </c>
      <c r="C200" s="26" t="s">
        <v>91</v>
      </c>
      <c r="D200" s="24" t="s">
        <v>4116</v>
      </c>
      <c r="E200" s="24" t="s">
        <v>63</v>
      </c>
      <c r="F200" s="23" t="s">
        <v>599</v>
      </c>
      <c r="G200" s="26" t="s">
        <v>3709</v>
      </c>
    </row>
    <row r="201" customFormat="false" ht="15" hidden="false" customHeight="false" outlineLevel="0" collapsed="false">
      <c r="A201" s="88" t="s">
        <v>4086</v>
      </c>
      <c r="B201" s="89" t="s">
        <v>4117</v>
      </c>
      <c r="C201" s="90" t="s">
        <v>91</v>
      </c>
      <c r="D201" s="88" t="s">
        <v>4118</v>
      </c>
      <c r="E201" s="88" t="s">
        <v>58</v>
      </c>
      <c r="F201" s="89" t="s">
        <v>307</v>
      </c>
      <c r="G201" s="90" t="s">
        <v>3761</v>
      </c>
    </row>
    <row r="202" customFormat="false" ht="15" hidden="false" customHeight="false" outlineLevel="0" collapsed="false">
      <c r="A202" s="85" t="s">
        <v>4086</v>
      </c>
      <c r="B202" s="86" t="s">
        <v>4119</v>
      </c>
      <c r="C202" s="87" t="s">
        <v>91</v>
      </c>
      <c r="D202" s="85" t="s">
        <v>4120</v>
      </c>
      <c r="E202" s="85" t="s">
        <v>3719</v>
      </c>
      <c r="F202" s="86"/>
      <c r="G202" s="87" t="s">
        <v>3720</v>
      </c>
    </row>
    <row r="203" customFormat="false" ht="15" hidden="false" customHeight="false" outlineLevel="0" collapsed="false">
      <c r="A203" s="85" t="s">
        <v>4086</v>
      </c>
      <c r="B203" s="86" t="s">
        <v>4121</v>
      </c>
      <c r="C203" s="87" t="s">
        <v>91</v>
      </c>
      <c r="D203" s="85" t="s">
        <v>4122</v>
      </c>
      <c r="E203" s="85" t="s">
        <v>3719</v>
      </c>
      <c r="F203" s="86"/>
      <c r="G203" s="87" t="s">
        <v>3720</v>
      </c>
    </row>
    <row r="204" customFormat="false" ht="15" hidden="false" customHeight="false" outlineLevel="0" collapsed="false">
      <c r="A204" s="85" t="s">
        <v>4086</v>
      </c>
      <c r="B204" s="86" t="s">
        <v>4123</v>
      </c>
      <c r="C204" s="87" t="s">
        <v>2301</v>
      </c>
      <c r="D204" s="85" t="s">
        <v>4124</v>
      </c>
      <c r="E204" s="85" t="s">
        <v>3719</v>
      </c>
      <c r="F204" s="86"/>
      <c r="G204" s="87" t="s">
        <v>3720</v>
      </c>
    </row>
    <row r="205" customFormat="false" ht="15" hidden="false" customHeight="false" outlineLevel="0" collapsed="false">
      <c r="A205" s="85" t="s">
        <v>4086</v>
      </c>
      <c r="B205" s="86" t="s">
        <v>4125</v>
      </c>
      <c r="C205" s="87" t="s">
        <v>860</v>
      </c>
      <c r="D205" s="85" t="s">
        <v>4126</v>
      </c>
      <c r="E205" s="85" t="s">
        <v>3719</v>
      </c>
      <c r="F205" s="86"/>
      <c r="G205" s="87" t="s">
        <v>3720</v>
      </c>
    </row>
    <row r="206" customFormat="false" ht="15" hidden="false" customHeight="false" outlineLevel="0" collapsed="false">
      <c r="A206" s="85" t="s">
        <v>4127</v>
      </c>
      <c r="B206" s="86" t="s">
        <v>4128</v>
      </c>
      <c r="C206" s="87" t="s">
        <v>91</v>
      </c>
      <c r="D206" s="85" t="s">
        <v>4129</v>
      </c>
      <c r="E206" s="85" t="s">
        <v>3719</v>
      </c>
      <c r="F206" s="86"/>
      <c r="G206" s="87" t="s">
        <v>3720</v>
      </c>
    </row>
    <row r="207" customFormat="false" ht="15" hidden="false" customHeight="false" outlineLevel="0" collapsed="false">
      <c r="A207" s="85" t="s">
        <v>4127</v>
      </c>
      <c r="B207" s="86" t="s">
        <v>4130</v>
      </c>
      <c r="C207" s="87" t="s">
        <v>91</v>
      </c>
      <c r="D207" s="85" t="s">
        <v>4131</v>
      </c>
      <c r="E207" s="85" t="s">
        <v>3719</v>
      </c>
      <c r="F207" s="86"/>
      <c r="G207" s="87" t="s">
        <v>3720</v>
      </c>
    </row>
    <row r="208" customFormat="false" ht="15" hidden="false" customHeight="false" outlineLevel="0" collapsed="false">
      <c r="A208" s="85" t="s">
        <v>4127</v>
      </c>
      <c r="B208" s="86" t="s">
        <v>4132</v>
      </c>
      <c r="C208" s="87" t="s">
        <v>91</v>
      </c>
      <c r="D208" s="85" t="s">
        <v>4133</v>
      </c>
      <c r="E208" s="85" t="s">
        <v>3719</v>
      </c>
      <c r="F208" s="86"/>
      <c r="G208" s="87" t="s">
        <v>3720</v>
      </c>
    </row>
    <row r="209" customFormat="false" ht="15" hidden="false" customHeight="false" outlineLevel="0" collapsed="false">
      <c r="A209" s="85" t="s">
        <v>4127</v>
      </c>
      <c r="B209" s="86" t="s">
        <v>4134</v>
      </c>
      <c r="C209" s="87" t="s">
        <v>91</v>
      </c>
      <c r="D209" s="85" t="s">
        <v>4135</v>
      </c>
      <c r="E209" s="85" t="s">
        <v>3719</v>
      </c>
      <c r="F209" s="86"/>
      <c r="G209" s="87" t="s">
        <v>3720</v>
      </c>
    </row>
    <row r="210" customFormat="false" ht="15" hidden="false" customHeight="false" outlineLevel="0" collapsed="false">
      <c r="A210" s="85" t="s">
        <v>4127</v>
      </c>
      <c r="B210" s="86" t="s">
        <v>4136</v>
      </c>
      <c r="C210" s="87" t="s">
        <v>91</v>
      </c>
      <c r="D210" s="85" t="s">
        <v>4137</v>
      </c>
      <c r="E210" s="85" t="s">
        <v>3719</v>
      </c>
      <c r="F210" s="86"/>
      <c r="G210" s="87" t="s">
        <v>3720</v>
      </c>
    </row>
    <row r="211" customFormat="false" ht="15" hidden="false" customHeight="false" outlineLevel="0" collapsed="false">
      <c r="A211" s="85" t="s">
        <v>4127</v>
      </c>
      <c r="B211" s="86" t="s">
        <v>4138</v>
      </c>
      <c r="C211" s="87" t="s">
        <v>91</v>
      </c>
      <c r="D211" s="85" t="s">
        <v>4139</v>
      </c>
      <c r="E211" s="85" t="s">
        <v>3719</v>
      </c>
      <c r="F211" s="86"/>
      <c r="G211" s="87" t="s">
        <v>3720</v>
      </c>
    </row>
    <row r="212" customFormat="false" ht="15" hidden="false" customHeight="false" outlineLevel="0" collapsed="false">
      <c r="A212" s="85" t="s">
        <v>4127</v>
      </c>
      <c r="B212" s="86" t="s">
        <v>4140</v>
      </c>
      <c r="C212" s="87" t="s">
        <v>91</v>
      </c>
      <c r="D212" s="85" t="s">
        <v>4141</v>
      </c>
      <c r="E212" s="85" t="s">
        <v>3719</v>
      </c>
      <c r="F212" s="86"/>
      <c r="G212" s="87" t="s">
        <v>3720</v>
      </c>
    </row>
    <row r="213" customFormat="false" ht="15" hidden="false" customHeight="false" outlineLevel="0" collapsed="false">
      <c r="A213" s="85" t="s">
        <v>4127</v>
      </c>
      <c r="B213" s="86" t="s">
        <v>4142</v>
      </c>
      <c r="C213" s="87" t="s">
        <v>91</v>
      </c>
      <c r="D213" s="85" t="s">
        <v>4143</v>
      </c>
      <c r="E213" s="85" t="s">
        <v>3719</v>
      </c>
      <c r="F213" s="86"/>
      <c r="G213" s="87" t="s">
        <v>3720</v>
      </c>
    </row>
    <row r="214" customFormat="false" ht="15" hidden="false" customHeight="false" outlineLevel="0" collapsed="false">
      <c r="A214" s="88" t="s">
        <v>4127</v>
      </c>
      <c r="B214" s="89" t="s">
        <v>4144</v>
      </c>
      <c r="C214" s="90" t="s">
        <v>91</v>
      </c>
      <c r="D214" s="88" t="s">
        <v>4145</v>
      </c>
      <c r="E214" s="88" t="s">
        <v>70</v>
      </c>
      <c r="F214" s="89" t="s">
        <v>837</v>
      </c>
      <c r="G214" s="90" t="s">
        <v>3761</v>
      </c>
    </row>
    <row r="215" customFormat="false" ht="15" hidden="false" customHeight="false" outlineLevel="0" collapsed="false">
      <c r="A215" s="88" t="s">
        <v>4127</v>
      </c>
      <c r="B215" s="89" t="s">
        <v>4146</v>
      </c>
      <c r="C215" s="90" t="s">
        <v>519</v>
      </c>
      <c r="D215" s="88" t="s">
        <v>4147</v>
      </c>
      <c r="E215" s="88" t="s">
        <v>70</v>
      </c>
      <c r="F215" s="89" t="s">
        <v>849</v>
      </c>
      <c r="G215" s="90" t="s">
        <v>3761</v>
      </c>
    </row>
    <row r="216" customFormat="false" ht="15" hidden="false" customHeight="false" outlineLevel="0" collapsed="false">
      <c r="A216" s="85" t="s">
        <v>4127</v>
      </c>
      <c r="B216" s="86" t="s">
        <v>4148</v>
      </c>
      <c r="C216" s="87" t="s">
        <v>91</v>
      </c>
      <c r="D216" s="85" t="s">
        <v>4149</v>
      </c>
      <c r="E216" s="85" t="s">
        <v>3719</v>
      </c>
      <c r="F216" s="86"/>
      <c r="G216" s="87" t="s">
        <v>3720</v>
      </c>
    </row>
    <row r="217" customFormat="false" ht="15" hidden="false" customHeight="false" outlineLevel="0" collapsed="false">
      <c r="A217" s="85" t="s">
        <v>4127</v>
      </c>
      <c r="B217" s="86" t="s">
        <v>4150</v>
      </c>
      <c r="C217" s="87" t="s">
        <v>91</v>
      </c>
      <c r="D217" s="85" t="s">
        <v>4151</v>
      </c>
      <c r="E217" s="85" t="s">
        <v>3719</v>
      </c>
      <c r="F217" s="86"/>
      <c r="G217" s="87" t="s">
        <v>3720</v>
      </c>
    </row>
    <row r="218" customFormat="false" ht="15" hidden="false" customHeight="false" outlineLevel="0" collapsed="false">
      <c r="A218" s="85" t="s">
        <v>4127</v>
      </c>
      <c r="B218" s="86" t="s">
        <v>4152</v>
      </c>
      <c r="C218" s="87" t="s">
        <v>91</v>
      </c>
      <c r="D218" s="85" t="s">
        <v>4153</v>
      </c>
      <c r="E218" s="85" t="s">
        <v>3719</v>
      </c>
      <c r="F218" s="86"/>
      <c r="G218" s="87" t="s">
        <v>3720</v>
      </c>
    </row>
    <row r="219" customFormat="false" ht="15" hidden="false" customHeight="false" outlineLevel="0" collapsed="false">
      <c r="A219" s="85" t="s">
        <v>4127</v>
      </c>
      <c r="B219" s="86" t="s">
        <v>4154</v>
      </c>
      <c r="C219" s="87" t="s">
        <v>91</v>
      </c>
      <c r="D219" s="85" t="s">
        <v>4155</v>
      </c>
      <c r="E219" s="85" t="s">
        <v>3719</v>
      </c>
      <c r="F219" s="86"/>
      <c r="G219" s="87" t="s">
        <v>3720</v>
      </c>
    </row>
    <row r="220" customFormat="false" ht="15" hidden="false" customHeight="false" outlineLevel="0" collapsed="false">
      <c r="A220" s="85" t="s">
        <v>4127</v>
      </c>
      <c r="B220" s="86" t="s">
        <v>4156</v>
      </c>
      <c r="C220" s="87" t="s">
        <v>91</v>
      </c>
      <c r="D220" s="85" t="s">
        <v>4157</v>
      </c>
      <c r="E220" s="85" t="s">
        <v>3719</v>
      </c>
      <c r="F220" s="86"/>
      <c r="G220" s="87" t="s">
        <v>3720</v>
      </c>
    </row>
    <row r="221" customFormat="false" ht="15" hidden="false" customHeight="false" outlineLevel="0" collapsed="false">
      <c r="A221" s="85" t="s">
        <v>4127</v>
      </c>
      <c r="B221" s="86" t="s">
        <v>4158</v>
      </c>
      <c r="C221" s="87" t="s">
        <v>91</v>
      </c>
      <c r="D221" s="85" t="s">
        <v>4159</v>
      </c>
      <c r="E221" s="85" t="s">
        <v>3719</v>
      </c>
      <c r="F221" s="86"/>
      <c r="G221" s="87" t="s">
        <v>3720</v>
      </c>
    </row>
    <row r="222" customFormat="false" ht="15" hidden="false" customHeight="false" outlineLevel="0" collapsed="false">
      <c r="A222" s="85" t="s">
        <v>4127</v>
      </c>
      <c r="B222" s="86" t="s">
        <v>4160</v>
      </c>
      <c r="C222" s="87" t="s">
        <v>91</v>
      </c>
      <c r="D222" s="85" t="s">
        <v>4161</v>
      </c>
      <c r="E222" s="85" t="s">
        <v>3719</v>
      </c>
      <c r="F222" s="86"/>
      <c r="G222" s="87" t="s">
        <v>3720</v>
      </c>
    </row>
    <row r="223" customFormat="false" ht="15" hidden="false" customHeight="false" outlineLevel="0" collapsed="false">
      <c r="A223" s="85" t="s">
        <v>4127</v>
      </c>
      <c r="B223" s="86" t="s">
        <v>4162</v>
      </c>
      <c r="C223" s="87" t="s">
        <v>91</v>
      </c>
      <c r="D223" s="85" t="s">
        <v>4163</v>
      </c>
      <c r="E223" s="85" t="s">
        <v>3719</v>
      </c>
      <c r="F223" s="86"/>
      <c r="G223" s="87" t="s">
        <v>3720</v>
      </c>
    </row>
    <row r="224" customFormat="false" ht="15" hidden="false" customHeight="false" outlineLevel="0" collapsed="false">
      <c r="A224" s="85" t="s">
        <v>4127</v>
      </c>
      <c r="B224" s="86" t="s">
        <v>4164</v>
      </c>
      <c r="C224" s="87" t="s">
        <v>91</v>
      </c>
      <c r="D224" s="85" t="s">
        <v>4165</v>
      </c>
      <c r="E224" s="85" t="s">
        <v>3719</v>
      </c>
      <c r="F224" s="86"/>
      <c r="G224" s="87" t="s">
        <v>3720</v>
      </c>
    </row>
    <row r="225" customFormat="false" ht="15" hidden="false" customHeight="false" outlineLevel="0" collapsed="false">
      <c r="A225" s="85" t="s">
        <v>4127</v>
      </c>
      <c r="B225" s="86" t="s">
        <v>4166</v>
      </c>
      <c r="C225" s="87" t="s">
        <v>91</v>
      </c>
      <c r="D225" s="85" t="s">
        <v>4167</v>
      </c>
      <c r="E225" s="85" t="s">
        <v>3719</v>
      </c>
      <c r="F225" s="86"/>
      <c r="G225" s="87" t="s">
        <v>3720</v>
      </c>
    </row>
  </sheetData>
  <autoFilter ref="A1:G225"/>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V55"/>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23.85" hidden="false" customHeight="false" outlineLevel="0" collapsed="false">
      <c r="A2" s="24" t="s">
        <v>937</v>
      </c>
      <c r="B2" s="24" t="s">
        <v>938</v>
      </c>
      <c r="C2" s="23" t="s">
        <v>90</v>
      </c>
      <c r="D2" s="26" t="s">
        <v>91</v>
      </c>
      <c r="E2" s="23" t="s">
        <v>94</v>
      </c>
      <c r="F2" s="24" t="s">
        <v>940</v>
      </c>
      <c r="G2" s="24" t="s">
        <v>4178</v>
      </c>
      <c r="H2" s="24" t="s">
        <v>941</v>
      </c>
      <c r="I2" s="24" t="s">
        <v>76</v>
      </c>
      <c r="J2" s="91" t="n">
        <v>8.46</v>
      </c>
      <c r="K2" s="24" t="s">
        <v>4179</v>
      </c>
      <c r="L2" s="91" t="n">
        <v>8.78</v>
      </c>
      <c r="M2" s="58" t="n">
        <v>3.6</v>
      </c>
      <c r="N2" s="26" t="s">
        <v>4180</v>
      </c>
      <c r="O2" s="26" t="s">
        <v>942</v>
      </c>
      <c r="P2" s="24"/>
      <c r="Q2" s="23"/>
      <c r="R2" s="92"/>
      <c r="S2" s="91" t="str">
        <f aca="false">IF(OR(R2="",J2=""),"",ROUND(J2*(1+R2/100),2))</f>
        <v/>
      </c>
      <c r="T2" s="93" t="n">
        <v>20</v>
      </c>
      <c r="U2" s="24" t="s">
        <v>93</v>
      </c>
      <c r="V2" s="61" t="s">
        <v>95</v>
      </c>
    </row>
    <row r="3" customFormat="false" ht="23.85" hidden="false" customHeight="false" outlineLevel="0" collapsed="false">
      <c r="A3" s="20" t="s">
        <v>947</v>
      </c>
      <c r="B3" s="20" t="s">
        <v>938</v>
      </c>
      <c r="C3" s="19" t="s">
        <v>96</v>
      </c>
      <c r="D3" s="22" t="s">
        <v>91</v>
      </c>
      <c r="E3" s="19" t="s">
        <v>98</v>
      </c>
      <c r="F3" s="20"/>
      <c r="G3" s="20" t="s">
        <v>4181</v>
      </c>
      <c r="H3" s="20" t="s">
        <v>948</v>
      </c>
      <c r="I3" s="74" t="s">
        <v>78</v>
      </c>
      <c r="J3" s="94" t="n">
        <v>6.89</v>
      </c>
      <c r="K3" s="74" t="s">
        <v>4182</v>
      </c>
      <c r="L3" s="95" t="n">
        <v>8.09</v>
      </c>
      <c r="M3" s="52" t="n">
        <v>14.8</v>
      </c>
      <c r="N3" s="22" t="s">
        <v>4180</v>
      </c>
      <c r="O3" s="96" t="s">
        <v>946</v>
      </c>
      <c r="P3" s="20" t="s">
        <v>949</v>
      </c>
      <c r="Q3" s="19"/>
      <c r="R3" s="92"/>
      <c r="S3" s="95" t="str">
        <f aca="false">IF(OR(R3="",J3=""),"",ROUND(J3*(1+R3/100),2))</f>
        <v/>
      </c>
      <c r="T3" s="97" t="n">
        <v>20</v>
      </c>
      <c r="U3" s="20" t="s">
        <v>93</v>
      </c>
      <c r="V3" s="55" t="s">
        <v>95</v>
      </c>
    </row>
    <row r="4" customFormat="false" ht="15" hidden="false" customHeight="false" outlineLevel="0" collapsed="false">
      <c r="A4" s="24" t="s">
        <v>952</v>
      </c>
      <c r="B4" s="24" t="s">
        <v>938</v>
      </c>
      <c r="C4" s="23" t="s">
        <v>99</v>
      </c>
      <c r="D4" s="26" t="s">
        <v>91</v>
      </c>
      <c r="E4" s="23" t="s">
        <v>100</v>
      </c>
      <c r="F4" s="24" t="s">
        <v>940</v>
      </c>
      <c r="G4" s="24" t="s">
        <v>4183</v>
      </c>
      <c r="H4" s="24" t="s">
        <v>953</v>
      </c>
      <c r="I4" s="24" t="s">
        <v>76</v>
      </c>
      <c r="J4" s="91" t="n">
        <v>5.9</v>
      </c>
      <c r="K4" s="24" t="s">
        <v>4179</v>
      </c>
      <c r="L4" s="91" t="n">
        <v>6.82</v>
      </c>
      <c r="M4" s="58" t="n">
        <v>13.5</v>
      </c>
      <c r="N4" s="26" t="s">
        <v>4180</v>
      </c>
      <c r="O4" s="26" t="s">
        <v>942</v>
      </c>
      <c r="P4" s="24"/>
      <c r="Q4" s="23"/>
      <c r="R4" s="92"/>
      <c r="S4" s="91" t="str">
        <f aca="false">IF(OR(R4="",J4=""),"",ROUND(J4*(1+R4/100),2))</f>
        <v/>
      </c>
      <c r="T4" s="93" t="n">
        <v>20</v>
      </c>
      <c r="U4" s="24" t="s">
        <v>93</v>
      </c>
      <c r="V4" s="61" t="s">
        <v>95</v>
      </c>
    </row>
    <row r="5" customFormat="false" ht="15" hidden="false" customHeight="false" outlineLevel="0" collapsed="false">
      <c r="A5" s="20" t="s">
        <v>956</v>
      </c>
      <c r="B5" s="20" t="s">
        <v>938</v>
      </c>
      <c r="C5" s="19" t="s">
        <v>101</v>
      </c>
      <c r="D5" s="22" t="s">
        <v>91</v>
      </c>
      <c r="E5" s="19" t="s">
        <v>102</v>
      </c>
      <c r="F5" s="20" t="s">
        <v>940</v>
      </c>
      <c r="G5" s="20" t="s">
        <v>4184</v>
      </c>
      <c r="H5" s="20" t="s">
        <v>957</v>
      </c>
      <c r="I5" s="20" t="s">
        <v>76</v>
      </c>
      <c r="J5" s="95" t="n">
        <v>10.61</v>
      </c>
      <c r="K5" s="20" t="s">
        <v>4179</v>
      </c>
      <c r="L5" s="95" t="n">
        <v>13.1</v>
      </c>
      <c r="M5" s="52" t="n">
        <v>19</v>
      </c>
      <c r="N5" s="22" t="s">
        <v>4180</v>
      </c>
      <c r="O5" s="22" t="s">
        <v>942</v>
      </c>
      <c r="P5" s="20"/>
      <c r="Q5" s="19"/>
      <c r="R5" s="92"/>
      <c r="S5" s="95" t="str">
        <f aca="false">IF(OR(R5="",J5=""),"",ROUND(J5*(1+R5/100),2))</f>
        <v/>
      </c>
      <c r="T5" s="97" t="n">
        <v>20</v>
      </c>
      <c r="U5" s="20" t="s">
        <v>93</v>
      </c>
      <c r="V5" s="55" t="s">
        <v>95</v>
      </c>
    </row>
    <row r="6" customFormat="false" ht="23.85" hidden="false" customHeight="false" outlineLevel="0" collapsed="false">
      <c r="A6" s="88" t="s">
        <v>960</v>
      </c>
      <c r="B6" s="88" t="s">
        <v>938</v>
      </c>
      <c r="C6" s="89" t="s">
        <v>103</v>
      </c>
      <c r="D6" s="90" t="s">
        <v>91</v>
      </c>
      <c r="E6" s="89" t="s">
        <v>104</v>
      </c>
      <c r="F6" s="88" t="s">
        <v>961</v>
      </c>
      <c r="G6" s="88" t="s">
        <v>4185</v>
      </c>
      <c r="H6" s="88" t="s">
        <v>962</v>
      </c>
      <c r="I6" s="88" t="s">
        <v>76</v>
      </c>
      <c r="J6" s="98" t="n">
        <v>107.92</v>
      </c>
      <c r="K6" s="88" t="s">
        <v>939</v>
      </c>
      <c r="L6" s="98"/>
      <c r="M6" s="99"/>
      <c r="N6" s="90" t="s">
        <v>4180</v>
      </c>
      <c r="O6" s="100" t="s">
        <v>963</v>
      </c>
      <c r="P6" s="88"/>
      <c r="Q6" s="101" t="s">
        <v>889</v>
      </c>
      <c r="R6" s="102"/>
      <c r="S6" s="98" t="str">
        <f aca="false">IF(OR(R6="",J6=""),"",ROUND(J6*(1+R6/100),2))</f>
        <v/>
      </c>
      <c r="T6" s="103" t="n">
        <v>20</v>
      </c>
      <c r="U6" s="88" t="s">
        <v>93</v>
      </c>
      <c r="V6" s="104" t="s">
        <v>95</v>
      </c>
    </row>
    <row r="7" customFormat="false" ht="23.85" hidden="false" customHeight="false" outlineLevel="0" collapsed="false">
      <c r="A7" s="20" t="s">
        <v>964</v>
      </c>
      <c r="B7" s="20" t="s">
        <v>938</v>
      </c>
      <c r="C7" s="19" t="s">
        <v>105</v>
      </c>
      <c r="D7" s="22" t="s">
        <v>91</v>
      </c>
      <c r="E7" s="19" t="s">
        <v>106</v>
      </c>
      <c r="F7" s="20"/>
      <c r="G7" s="20" t="s">
        <v>4186</v>
      </c>
      <c r="H7" s="20" t="s">
        <v>965</v>
      </c>
      <c r="I7" s="74" t="s">
        <v>78</v>
      </c>
      <c r="J7" s="94" t="n">
        <v>47.05</v>
      </c>
      <c r="K7" s="74" t="s">
        <v>4182</v>
      </c>
      <c r="L7" s="95" t="n">
        <v>58</v>
      </c>
      <c r="M7" s="52" t="n">
        <v>18.9</v>
      </c>
      <c r="N7" s="22" t="s">
        <v>4180</v>
      </c>
      <c r="O7" s="96" t="s">
        <v>946</v>
      </c>
      <c r="P7" s="20" t="s">
        <v>949</v>
      </c>
      <c r="Q7" s="19"/>
      <c r="R7" s="92"/>
      <c r="S7" s="95" t="str">
        <f aca="false">IF(OR(R7="",J7=""),"",ROUND(J7*(1+R7/100),2))</f>
        <v/>
      </c>
      <c r="T7" s="97" t="n">
        <v>20</v>
      </c>
      <c r="U7" s="20" t="s">
        <v>93</v>
      </c>
      <c r="V7" s="55" t="s">
        <v>95</v>
      </c>
    </row>
    <row r="8" customFormat="false" ht="23.85" hidden="false" customHeight="false" outlineLevel="0" collapsed="false">
      <c r="A8" s="24" t="s">
        <v>971</v>
      </c>
      <c r="B8" s="24" t="s">
        <v>938</v>
      </c>
      <c r="C8" s="23" t="s">
        <v>107</v>
      </c>
      <c r="D8" s="26" t="s">
        <v>91</v>
      </c>
      <c r="E8" s="23" t="s">
        <v>108</v>
      </c>
      <c r="F8" s="24" t="s">
        <v>969</v>
      </c>
      <c r="G8" s="24" t="s">
        <v>4187</v>
      </c>
      <c r="H8" s="24" t="s">
        <v>974</v>
      </c>
      <c r="I8" s="24" t="s">
        <v>76</v>
      </c>
      <c r="J8" s="91" t="n">
        <v>277.14</v>
      </c>
      <c r="K8" s="24" t="s">
        <v>939</v>
      </c>
      <c r="L8" s="91"/>
      <c r="M8" s="58"/>
      <c r="N8" s="26" t="s">
        <v>4180</v>
      </c>
      <c r="O8" s="26" t="s">
        <v>942</v>
      </c>
      <c r="P8" s="24"/>
      <c r="Q8" s="23"/>
      <c r="R8" s="92"/>
      <c r="S8" s="91" t="str">
        <f aca="false">IF(OR(R8="",J8=""),"",ROUND(J8*(1+R8/100),2))</f>
        <v/>
      </c>
      <c r="T8" s="93" t="n">
        <v>20</v>
      </c>
      <c r="U8" s="24" t="s">
        <v>93</v>
      </c>
      <c r="V8" s="61" t="s">
        <v>95</v>
      </c>
    </row>
    <row r="9" customFormat="false" ht="23.85" hidden="false" customHeight="false" outlineLevel="0" collapsed="false">
      <c r="A9" s="20" t="s">
        <v>975</v>
      </c>
      <c r="B9" s="20" t="s">
        <v>938</v>
      </c>
      <c r="C9" s="19" t="s">
        <v>109</v>
      </c>
      <c r="D9" s="22" t="s">
        <v>91</v>
      </c>
      <c r="E9" s="19" t="s">
        <v>110</v>
      </c>
      <c r="F9" s="20"/>
      <c r="G9" s="20" t="s">
        <v>4188</v>
      </c>
      <c r="H9" s="20" t="s">
        <v>976</v>
      </c>
      <c r="I9" s="74" t="s">
        <v>78</v>
      </c>
      <c r="J9" s="94" t="n">
        <v>135.9</v>
      </c>
      <c r="K9" s="74" t="s">
        <v>4189</v>
      </c>
      <c r="L9" s="95" t="n">
        <v>251.34</v>
      </c>
      <c r="M9" s="52" t="n">
        <v>45.9</v>
      </c>
      <c r="N9" s="22" t="s">
        <v>4180</v>
      </c>
      <c r="O9" s="96" t="s">
        <v>946</v>
      </c>
      <c r="P9" s="20" t="s">
        <v>949</v>
      </c>
      <c r="Q9" s="19"/>
      <c r="R9" s="92"/>
      <c r="S9" s="95" t="str">
        <f aca="false">IF(OR(R9="",J9=""),"",ROUND(J9*(1+R9/100),2))</f>
        <v/>
      </c>
      <c r="T9" s="97" t="n">
        <v>20</v>
      </c>
      <c r="U9" s="20" t="s">
        <v>93</v>
      </c>
      <c r="V9" s="55" t="s">
        <v>95</v>
      </c>
    </row>
    <row r="10" customFormat="false" ht="23.85" hidden="false" customHeight="false" outlineLevel="0" collapsed="false">
      <c r="A10" s="24" t="s">
        <v>984</v>
      </c>
      <c r="B10" s="24" t="s">
        <v>938</v>
      </c>
      <c r="C10" s="23" t="s">
        <v>111</v>
      </c>
      <c r="D10" s="26" t="s">
        <v>91</v>
      </c>
      <c r="E10" s="23" t="s">
        <v>112</v>
      </c>
      <c r="F10" s="24"/>
      <c r="G10" s="24" t="s">
        <v>4190</v>
      </c>
      <c r="H10" s="24" t="s">
        <v>985</v>
      </c>
      <c r="I10" s="74" t="s">
        <v>78</v>
      </c>
      <c r="J10" s="94" t="n">
        <v>60.72</v>
      </c>
      <c r="K10" s="74" t="s">
        <v>4182</v>
      </c>
      <c r="L10" s="91" t="n">
        <v>92.05</v>
      </c>
      <c r="M10" s="58" t="n">
        <v>34</v>
      </c>
      <c r="N10" s="26" t="s">
        <v>4180</v>
      </c>
      <c r="O10" s="96" t="s">
        <v>946</v>
      </c>
      <c r="P10" s="24" t="s">
        <v>949</v>
      </c>
      <c r="Q10" s="23"/>
      <c r="R10" s="92"/>
      <c r="S10" s="91" t="str">
        <f aca="false">IF(OR(R10="",J10=""),"",ROUND(J10*(1+R10/100),2))</f>
        <v/>
      </c>
      <c r="T10" s="93" t="n">
        <v>20</v>
      </c>
      <c r="U10" s="24" t="s">
        <v>93</v>
      </c>
      <c r="V10" s="61" t="s">
        <v>95</v>
      </c>
    </row>
    <row r="11" customFormat="false" ht="15" hidden="false" customHeight="false" outlineLevel="0" collapsed="false">
      <c r="A11" s="20" t="s">
        <v>989</v>
      </c>
      <c r="B11" s="20" t="s">
        <v>938</v>
      </c>
      <c r="C11" s="19" t="s">
        <v>113</v>
      </c>
      <c r="D11" s="22" t="s">
        <v>91</v>
      </c>
      <c r="E11" s="19" t="s">
        <v>115</v>
      </c>
      <c r="F11" s="20" t="s">
        <v>990</v>
      </c>
      <c r="G11" s="20"/>
      <c r="H11" s="20" t="s">
        <v>991</v>
      </c>
      <c r="I11" s="74" t="s">
        <v>77</v>
      </c>
      <c r="J11" s="94" t="n">
        <v>74.75</v>
      </c>
      <c r="K11" s="74" t="s">
        <v>4191</v>
      </c>
      <c r="L11" s="95" t="n">
        <v>74.75</v>
      </c>
      <c r="M11" s="52"/>
      <c r="N11" s="22" t="s">
        <v>4180</v>
      </c>
      <c r="O11" s="96" t="s">
        <v>983</v>
      </c>
      <c r="P11" s="20"/>
      <c r="Q11" s="19"/>
      <c r="R11" s="92"/>
      <c r="S11" s="95" t="str">
        <f aca="false">IF(OR(R11="",J11=""),"",ROUND(J11*(1+R11/100),2))</f>
        <v/>
      </c>
      <c r="T11" s="97" t="n">
        <v>20</v>
      </c>
      <c r="U11" s="20" t="s">
        <v>114</v>
      </c>
      <c r="V11" s="20"/>
    </row>
    <row r="12" customFormat="false" ht="15" hidden="false" customHeight="false" outlineLevel="0" collapsed="false">
      <c r="A12" s="24" t="s">
        <v>996</v>
      </c>
      <c r="B12" s="24" t="s">
        <v>938</v>
      </c>
      <c r="C12" s="23" t="s">
        <v>116</v>
      </c>
      <c r="D12" s="26" t="s">
        <v>91</v>
      </c>
      <c r="E12" s="23" t="s">
        <v>117</v>
      </c>
      <c r="F12" s="24"/>
      <c r="G12" s="24" t="s">
        <v>4192</v>
      </c>
      <c r="H12" s="24" t="s">
        <v>999</v>
      </c>
      <c r="I12" s="74" t="s">
        <v>78</v>
      </c>
      <c r="J12" s="94" t="n">
        <v>78.77</v>
      </c>
      <c r="K12" s="74" t="s">
        <v>4182</v>
      </c>
      <c r="L12" s="91" t="n">
        <v>122.01</v>
      </c>
      <c r="M12" s="58" t="n">
        <v>35.4</v>
      </c>
      <c r="N12" s="26" t="s">
        <v>4180</v>
      </c>
      <c r="O12" s="96" t="s">
        <v>946</v>
      </c>
      <c r="P12" s="24" t="s">
        <v>949</v>
      </c>
      <c r="Q12" s="23"/>
      <c r="R12" s="92"/>
      <c r="S12" s="91" t="str">
        <f aca="false">IF(OR(R12="",J12=""),"",ROUND(J12*(1+R12/100),2))</f>
        <v/>
      </c>
      <c r="T12" s="93" t="n">
        <v>20</v>
      </c>
      <c r="U12" s="24" t="s">
        <v>93</v>
      </c>
      <c r="V12" s="61" t="s">
        <v>95</v>
      </c>
    </row>
    <row r="13" customFormat="false" ht="15" hidden="false" customHeight="false" outlineLevel="0" collapsed="false">
      <c r="A13" s="20" t="s">
        <v>1003</v>
      </c>
      <c r="B13" s="20" t="s">
        <v>938</v>
      </c>
      <c r="C13" s="19" t="s">
        <v>118</v>
      </c>
      <c r="D13" s="22" t="s">
        <v>91</v>
      </c>
      <c r="E13" s="19" t="s">
        <v>120</v>
      </c>
      <c r="F13" s="20" t="s">
        <v>969</v>
      </c>
      <c r="G13" s="20" t="s">
        <v>4193</v>
      </c>
      <c r="H13" s="20" t="s">
        <v>1006</v>
      </c>
      <c r="I13" s="74" t="s">
        <v>81</v>
      </c>
      <c r="J13" s="94" t="n">
        <v>43.79</v>
      </c>
      <c r="K13" s="74" t="s">
        <v>4191</v>
      </c>
      <c r="L13" s="95" t="n">
        <v>46</v>
      </c>
      <c r="M13" s="52" t="n">
        <v>4.8</v>
      </c>
      <c r="N13" s="22" t="s">
        <v>4180</v>
      </c>
      <c r="O13" s="96" t="s">
        <v>1007</v>
      </c>
      <c r="P13" s="20"/>
      <c r="Q13" s="19"/>
      <c r="R13" s="92"/>
      <c r="S13" s="95" t="str">
        <f aca="false">IF(OR(R13="",J13=""),"",ROUND(J13*(1+R13/100),2))</f>
        <v/>
      </c>
      <c r="T13" s="97" t="n">
        <v>20</v>
      </c>
      <c r="U13" s="20" t="s">
        <v>119</v>
      </c>
      <c r="V13" s="55" t="s">
        <v>95</v>
      </c>
    </row>
    <row r="14" customFormat="false" ht="23.85" hidden="false" customHeight="false" outlineLevel="0" collapsed="false">
      <c r="A14" s="88" t="s">
        <v>1012</v>
      </c>
      <c r="B14" s="88" t="s">
        <v>938</v>
      </c>
      <c r="C14" s="89" t="s">
        <v>121</v>
      </c>
      <c r="D14" s="90" t="s">
        <v>91</v>
      </c>
      <c r="E14" s="89" t="s">
        <v>122</v>
      </c>
      <c r="F14" s="88" t="s">
        <v>969</v>
      </c>
      <c r="G14" s="88" t="s">
        <v>4194</v>
      </c>
      <c r="H14" s="88" t="s">
        <v>1013</v>
      </c>
      <c r="I14" s="88" t="s">
        <v>76</v>
      </c>
      <c r="J14" s="98" t="n">
        <v>45.64</v>
      </c>
      <c r="K14" s="88" t="s">
        <v>4179</v>
      </c>
      <c r="L14" s="98" t="n">
        <v>46.31</v>
      </c>
      <c r="M14" s="99" t="n">
        <v>1.4</v>
      </c>
      <c r="N14" s="90" t="s">
        <v>4180</v>
      </c>
      <c r="O14" s="100" t="s">
        <v>963</v>
      </c>
      <c r="P14" s="88"/>
      <c r="Q14" s="101" t="s">
        <v>889</v>
      </c>
      <c r="R14" s="102"/>
      <c r="S14" s="98" t="str">
        <f aca="false">IF(OR(R14="",J14=""),"",ROUND(J14*(1+R14/100),2))</f>
        <v/>
      </c>
      <c r="T14" s="103" t="n">
        <v>20</v>
      </c>
      <c r="U14" s="88" t="s">
        <v>93</v>
      </c>
      <c r="V14" s="104" t="s">
        <v>95</v>
      </c>
    </row>
    <row r="15" customFormat="false" ht="23.85" hidden="false" customHeight="false" outlineLevel="0" collapsed="false">
      <c r="A15" s="88" t="s">
        <v>1017</v>
      </c>
      <c r="B15" s="88" t="s">
        <v>938</v>
      </c>
      <c r="C15" s="89" t="s">
        <v>123</v>
      </c>
      <c r="D15" s="90" t="s">
        <v>91</v>
      </c>
      <c r="E15" s="89" t="s">
        <v>124</v>
      </c>
      <c r="F15" s="88" t="s">
        <v>1018</v>
      </c>
      <c r="G15" s="88" t="s">
        <v>4195</v>
      </c>
      <c r="H15" s="88" t="s">
        <v>1019</v>
      </c>
      <c r="I15" s="88" t="s">
        <v>76</v>
      </c>
      <c r="J15" s="98" t="n">
        <v>84.44</v>
      </c>
      <c r="K15" s="88" t="s">
        <v>939</v>
      </c>
      <c r="L15" s="98"/>
      <c r="M15" s="99"/>
      <c r="N15" s="90" t="s">
        <v>4180</v>
      </c>
      <c r="O15" s="100" t="s">
        <v>963</v>
      </c>
      <c r="P15" s="88"/>
      <c r="Q15" s="101" t="s">
        <v>889</v>
      </c>
      <c r="R15" s="102"/>
      <c r="S15" s="98" t="str">
        <f aca="false">IF(OR(R15="",J15=""),"",ROUND(J15*(1+R15/100),2))</f>
        <v/>
      </c>
      <c r="T15" s="103" t="n">
        <v>20</v>
      </c>
      <c r="U15" s="88" t="s">
        <v>93</v>
      </c>
      <c r="V15" s="104" t="s">
        <v>95</v>
      </c>
    </row>
    <row r="16" customFormat="false" ht="23.85" hidden="false" customHeight="false" outlineLevel="0" collapsed="false">
      <c r="A16" s="24" t="s">
        <v>1020</v>
      </c>
      <c r="B16" s="24" t="s">
        <v>938</v>
      </c>
      <c r="C16" s="23" t="s">
        <v>125</v>
      </c>
      <c r="D16" s="26" t="s">
        <v>91</v>
      </c>
      <c r="E16" s="23" t="s">
        <v>126</v>
      </c>
      <c r="F16" s="24" t="s">
        <v>969</v>
      </c>
      <c r="G16" s="24" t="s">
        <v>4196</v>
      </c>
      <c r="H16" s="24" t="s">
        <v>1021</v>
      </c>
      <c r="I16" s="24" t="s">
        <v>76</v>
      </c>
      <c r="J16" s="91" t="n">
        <v>4.7</v>
      </c>
      <c r="K16" s="24" t="s">
        <v>4179</v>
      </c>
      <c r="L16" s="91" t="n">
        <v>27.95</v>
      </c>
      <c r="M16" s="58" t="n">
        <v>83.2</v>
      </c>
      <c r="N16" s="26" t="s">
        <v>4180</v>
      </c>
      <c r="O16" s="26" t="s">
        <v>942</v>
      </c>
      <c r="P16" s="24"/>
      <c r="Q16" s="23"/>
      <c r="R16" s="92"/>
      <c r="S16" s="91" t="str">
        <f aca="false">IF(OR(R16="",J16=""),"",ROUND(J16*(1+R16/100),2))</f>
        <v/>
      </c>
      <c r="T16" s="93" t="n">
        <v>20</v>
      </c>
      <c r="U16" s="24" t="s">
        <v>93</v>
      </c>
      <c r="V16" s="61" t="s">
        <v>95</v>
      </c>
    </row>
    <row r="17" customFormat="false" ht="35.05" hidden="false" customHeight="false" outlineLevel="0" collapsed="false">
      <c r="A17" s="20" t="s">
        <v>1026</v>
      </c>
      <c r="B17" s="20" t="s">
        <v>1027</v>
      </c>
      <c r="C17" s="19" t="s">
        <v>127</v>
      </c>
      <c r="D17" s="22" t="s">
        <v>91</v>
      </c>
      <c r="E17" s="19" t="s">
        <v>128</v>
      </c>
      <c r="F17" s="20" t="s">
        <v>981</v>
      </c>
      <c r="G17" s="20"/>
      <c r="H17" s="20" t="s">
        <v>1028</v>
      </c>
      <c r="I17" s="74" t="s">
        <v>77</v>
      </c>
      <c r="J17" s="94" t="n">
        <v>674.69</v>
      </c>
      <c r="K17" s="74" t="s">
        <v>979</v>
      </c>
      <c r="L17" s="95" t="n">
        <v>758.08</v>
      </c>
      <c r="M17" s="52" t="n">
        <v>11</v>
      </c>
      <c r="N17" s="22" t="s">
        <v>4180</v>
      </c>
      <c r="O17" s="96" t="s">
        <v>983</v>
      </c>
      <c r="P17" s="20"/>
      <c r="Q17" s="19"/>
      <c r="R17" s="92"/>
      <c r="S17" s="95" t="str">
        <f aca="false">IF(OR(R17="",J17=""),"",ROUND(J17*(1+R17/100),2))</f>
        <v/>
      </c>
      <c r="T17" s="97" t="n">
        <v>20</v>
      </c>
      <c r="U17" s="20" t="s">
        <v>114</v>
      </c>
      <c r="V17" s="20"/>
    </row>
    <row r="18" customFormat="false" ht="35.05" hidden="false" customHeight="false" outlineLevel="0" collapsed="false">
      <c r="A18" s="24" t="s">
        <v>1029</v>
      </c>
      <c r="B18" s="24" t="s">
        <v>1027</v>
      </c>
      <c r="C18" s="23" t="s">
        <v>129</v>
      </c>
      <c r="D18" s="26" t="s">
        <v>91</v>
      </c>
      <c r="E18" s="23" t="s">
        <v>128</v>
      </c>
      <c r="F18" s="24" t="s">
        <v>981</v>
      </c>
      <c r="G18" s="24"/>
      <c r="H18" s="24" t="s">
        <v>1028</v>
      </c>
      <c r="I18" s="74" t="s">
        <v>77</v>
      </c>
      <c r="J18" s="94" t="n">
        <v>674.69</v>
      </c>
      <c r="K18" s="74" t="s">
        <v>979</v>
      </c>
      <c r="L18" s="91" t="n">
        <v>758.08</v>
      </c>
      <c r="M18" s="58" t="n">
        <v>11</v>
      </c>
      <c r="N18" s="26" t="s">
        <v>4180</v>
      </c>
      <c r="O18" s="96" t="s">
        <v>983</v>
      </c>
      <c r="P18" s="24"/>
      <c r="Q18" s="23"/>
      <c r="R18" s="92"/>
      <c r="S18" s="91" t="str">
        <f aca="false">IF(OR(R18="",J18=""),"",ROUND(J18*(1+R18/100),2))</f>
        <v/>
      </c>
      <c r="T18" s="93" t="n">
        <v>20</v>
      </c>
      <c r="U18" s="24" t="s">
        <v>114</v>
      </c>
      <c r="V18" s="24"/>
    </row>
    <row r="19" customFormat="false" ht="15" hidden="false" customHeight="false" outlineLevel="0" collapsed="false">
      <c r="A19" s="20" t="s">
        <v>1030</v>
      </c>
      <c r="B19" s="20" t="s">
        <v>1027</v>
      </c>
      <c r="C19" s="19" t="s">
        <v>130</v>
      </c>
      <c r="D19" s="22" t="s">
        <v>91</v>
      </c>
      <c r="E19" s="19" t="s">
        <v>131</v>
      </c>
      <c r="F19" s="20" t="s">
        <v>940</v>
      </c>
      <c r="G19" s="20" t="s">
        <v>4197</v>
      </c>
      <c r="H19" s="20" t="s">
        <v>1031</v>
      </c>
      <c r="I19" s="20" t="s">
        <v>76</v>
      </c>
      <c r="J19" s="95" t="n">
        <v>36.75</v>
      </c>
      <c r="K19" s="20" t="s">
        <v>4198</v>
      </c>
      <c r="L19" s="95" t="n">
        <v>105.54</v>
      </c>
      <c r="M19" s="52" t="n">
        <v>65.2</v>
      </c>
      <c r="N19" s="22" t="s">
        <v>4180</v>
      </c>
      <c r="O19" s="22" t="s">
        <v>942</v>
      </c>
      <c r="P19" s="20"/>
      <c r="Q19" s="19"/>
      <c r="R19" s="92"/>
      <c r="S19" s="95" t="str">
        <f aca="false">IF(OR(R19="",J19=""),"",ROUND(J19*(1+R19/100),2))</f>
        <v/>
      </c>
      <c r="T19" s="97" t="n">
        <v>20</v>
      </c>
      <c r="U19" s="20" t="s">
        <v>93</v>
      </c>
      <c r="V19" s="55" t="s">
        <v>95</v>
      </c>
    </row>
    <row r="20" customFormat="false" ht="23.85" hidden="false" customHeight="false" outlineLevel="0" collapsed="false">
      <c r="A20" s="88" t="s">
        <v>1038</v>
      </c>
      <c r="B20" s="88" t="s">
        <v>1027</v>
      </c>
      <c r="C20" s="89" t="s">
        <v>132</v>
      </c>
      <c r="D20" s="90" t="s">
        <v>91</v>
      </c>
      <c r="E20" s="89" t="s">
        <v>133</v>
      </c>
      <c r="F20" s="88" t="s">
        <v>969</v>
      </c>
      <c r="G20" s="88" t="s">
        <v>4199</v>
      </c>
      <c r="H20" s="88" t="s">
        <v>1039</v>
      </c>
      <c r="I20" s="88" t="s">
        <v>76</v>
      </c>
      <c r="J20" s="98" t="n">
        <v>28.36</v>
      </c>
      <c r="K20" s="88" t="s">
        <v>4179</v>
      </c>
      <c r="L20" s="98" t="n">
        <v>44.73</v>
      </c>
      <c r="M20" s="99" t="n">
        <v>36.6</v>
      </c>
      <c r="N20" s="90" t="s">
        <v>4180</v>
      </c>
      <c r="O20" s="100" t="s">
        <v>963</v>
      </c>
      <c r="P20" s="88"/>
      <c r="Q20" s="101" t="s">
        <v>889</v>
      </c>
      <c r="R20" s="102"/>
      <c r="S20" s="98" t="str">
        <f aca="false">IF(OR(R20="",J20=""),"",ROUND(J20*(1+R20/100),2))</f>
        <v/>
      </c>
      <c r="T20" s="103" t="n">
        <v>20</v>
      </c>
      <c r="U20" s="88" t="s">
        <v>93</v>
      </c>
      <c r="V20" s="104" t="s">
        <v>95</v>
      </c>
    </row>
    <row r="21" customFormat="false" ht="23.85" hidden="false" customHeight="false" outlineLevel="0" collapsed="false">
      <c r="A21" s="20" t="s">
        <v>1042</v>
      </c>
      <c r="B21" s="20" t="s">
        <v>1027</v>
      </c>
      <c r="C21" s="19" t="s">
        <v>134</v>
      </c>
      <c r="D21" s="22" t="s">
        <v>91</v>
      </c>
      <c r="E21" s="19" t="s">
        <v>135</v>
      </c>
      <c r="F21" s="20" t="s">
        <v>969</v>
      </c>
      <c r="G21" s="20" t="s">
        <v>4200</v>
      </c>
      <c r="H21" s="20" t="s">
        <v>1043</v>
      </c>
      <c r="I21" s="20" t="s">
        <v>76</v>
      </c>
      <c r="J21" s="95" t="n">
        <v>4.75</v>
      </c>
      <c r="K21" s="20" t="s">
        <v>4198</v>
      </c>
      <c r="L21" s="95" t="n">
        <v>17.08</v>
      </c>
      <c r="M21" s="52" t="n">
        <v>72.2</v>
      </c>
      <c r="N21" s="22" t="s">
        <v>4180</v>
      </c>
      <c r="O21" s="22" t="s">
        <v>942</v>
      </c>
      <c r="P21" s="20"/>
      <c r="Q21" s="19"/>
      <c r="R21" s="92"/>
      <c r="S21" s="95" t="str">
        <f aca="false">IF(OR(R21="",J21=""),"",ROUND(J21*(1+R21/100),2))</f>
        <v/>
      </c>
      <c r="T21" s="97" t="n">
        <v>20</v>
      </c>
      <c r="U21" s="20" t="s">
        <v>93</v>
      </c>
      <c r="V21" s="55" t="s">
        <v>95</v>
      </c>
    </row>
    <row r="22" customFormat="false" ht="23.85" hidden="false" customHeight="false" outlineLevel="0" collapsed="false">
      <c r="A22" s="88" t="s">
        <v>1048</v>
      </c>
      <c r="B22" s="88" t="s">
        <v>1049</v>
      </c>
      <c r="C22" s="89" t="s">
        <v>136</v>
      </c>
      <c r="D22" s="90" t="s">
        <v>137</v>
      </c>
      <c r="E22" s="89" t="s">
        <v>139</v>
      </c>
      <c r="F22" s="88" t="s">
        <v>1050</v>
      </c>
      <c r="G22" s="88" t="s">
        <v>4201</v>
      </c>
      <c r="H22" s="88" t="s">
        <v>1051</v>
      </c>
      <c r="I22" s="88" t="s">
        <v>76</v>
      </c>
      <c r="J22" s="98" t="n">
        <v>17.82</v>
      </c>
      <c r="K22" s="88" t="s">
        <v>939</v>
      </c>
      <c r="L22" s="98"/>
      <c r="M22" s="99"/>
      <c r="N22" s="90" t="s">
        <v>4180</v>
      </c>
      <c r="O22" s="100" t="s">
        <v>1052</v>
      </c>
      <c r="P22" s="88"/>
      <c r="Q22" s="101" t="s">
        <v>889</v>
      </c>
      <c r="R22" s="102"/>
      <c r="S22" s="98" t="str">
        <f aca="false">IF(OR(R22="",J22=""),"",ROUND(J22*(1+R22/100),2))</f>
        <v/>
      </c>
      <c r="T22" s="103" t="n">
        <v>20</v>
      </c>
      <c r="U22" s="88" t="s">
        <v>93</v>
      </c>
      <c r="V22" s="104" t="s">
        <v>95</v>
      </c>
    </row>
    <row r="23" customFormat="false" ht="23.85" hidden="false" customHeight="false" outlineLevel="0" collapsed="false">
      <c r="A23" s="88" t="s">
        <v>1057</v>
      </c>
      <c r="B23" s="88" t="s">
        <v>1049</v>
      </c>
      <c r="C23" s="89" t="s">
        <v>140</v>
      </c>
      <c r="D23" s="90" t="s">
        <v>137</v>
      </c>
      <c r="E23" s="89" t="s">
        <v>141</v>
      </c>
      <c r="F23" s="88" t="s">
        <v>1050</v>
      </c>
      <c r="G23" s="88" t="s">
        <v>4202</v>
      </c>
      <c r="H23" s="88" t="s">
        <v>1058</v>
      </c>
      <c r="I23" s="88" t="s">
        <v>76</v>
      </c>
      <c r="J23" s="98" t="n">
        <v>27.43</v>
      </c>
      <c r="K23" s="88" t="s">
        <v>939</v>
      </c>
      <c r="L23" s="98"/>
      <c r="M23" s="99"/>
      <c r="N23" s="90" t="s">
        <v>4180</v>
      </c>
      <c r="O23" s="100" t="s">
        <v>1052</v>
      </c>
      <c r="P23" s="88"/>
      <c r="Q23" s="101" t="s">
        <v>889</v>
      </c>
      <c r="R23" s="102"/>
      <c r="S23" s="98" t="str">
        <f aca="false">IF(OR(R23="",J23=""),"",ROUND(J23*(1+R23/100),2))</f>
        <v/>
      </c>
      <c r="T23" s="103" t="n">
        <v>20</v>
      </c>
      <c r="U23" s="88" t="s">
        <v>93</v>
      </c>
      <c r="V23" s="104" t="s">
        <v>95</v>
      </c>
    </row>
    <row r="24" customFormat="false" ht="23.85" hidden="false" customHeight="false" outlineLevel="0" collapsed="false">
      <c r="A24" s="24" t="s">
        <v>1061</v>
      </c>
      <c r="B24" s="24" t="s">
        <v>1049</v>
      </c>
      <c r="C24" s="23" t="s">
        <v>142</v>
      </c>
      <c r="D24" s="26" t="s">
        <v>137</v>
      </c>
      <c r="E24" s="23" t="s">
        <v>143</v>
      </c>
      <c r="F24" s="24"/>
      <c r="G24" s="24" t="s">
        <v>4203</v>
      </c>
      <c r="H24" s="24" t="s">
        <v>1062</v>
      </c>
      <c r="I24" s="74" t="s">
        <v>78</v>
      </c>
      <c r="J24" s="94" t="n">
        <v>8.24</v>
      </c>
      <c r="K24" s="74" t="s">
        <v>943</v>
      </c>
      <c r="L24" s="91"/>
      <c r="M24" s="58"/>
      <c r="N24" s="26" t="s">
        <v>4180</v>
      </c>
      <c r="O24" s="96" t="s">
        <v>1016</v>
      </c>
      <c r="P24" s="24" t="s">
        <v>1063</v>
      </c>
      <c r="Q24" s="105" t="s">
        <v>889</v>
      </c>
      <c r="R24" s="92"/>
      <c r="S24" s="91" t="str">
        <f aca="false">IF(OR(R24="",J24=""),"",ROUND(J24*(1+R24/100),2))</f>
        <v/>
      </c>
      <c r="T24" s="93" t="n">
        <v>20</v>
      </c>
      <c r="U24" s="24" t="s">
        <v>93</v>
      </c>
      <c r="V24" s="24"/>
    </row>
    <row r="25" customFormat="false" ht="15" hidden="false" customHeight="false" outlineLevel="0" collapsed="false">
      <c r="A25" s="20" t="s">
        <v>1064</v>
      </c>
      <c r="B25" s="20" t="s">
        <v>1049</v>
      </c>
      <c r="C25" s="19" t="s">
        <v>144</v>
      </c>
      <c r="D25" s="22" t="s">
        <v>145</v>
      </c>
      <c r="E25" s="19" t="s">
        <v>146</v>
      </c>
      <c r="F25" s="20"/>
      <c r="G25" s="20" t="s">
        <v>4204</v>
      </c>
      <c r="H25" s="20" t="s">
        <v>1065</v>
      </c>
      <c r="I25" s="74" t="s">
        <v>78</v>
      </c>
      <c r="J25" s="94" t="n">
        <v>25</v>
      </c>
      <c r="K25" s="74" t="s">
        <v>4182</v>
      </c>
      <c r="L25" s="95" t="n">
        <v>30.3</v>
      </c>
      <c r="M25" s="52" t="n">
        <v>17.5</v>
      </c>
      <c r="N25" s="22" t="s">
        <v>4180</v>
      </c>
      <c r="O25" s="96" t="s">
        <v>1016</v>
      </c>
      <c r="P25" s="20" t="s">
        <v>1066</v>
      </c>
      <c r="Q25" s="106" t="s">
        <v>889</v>
      </c>
      <c r="R25" s="92"/>
      <c r="S25" s="95" t="str">
        <f aca="false">IF(OR(R25="",J25=""),"",ROUND(J25*(1+R25/100),2))</f>
        <v/>
      </c>
      <c r="T25" s="97" t="n">
        <v>20</v>
      </c>
      <c r="U25" s="20" t="s">
        <v>93</v>
      </c>
      <c r="V25" s="20"/>
    </row>
    <row r="26" customFormat="false" ht="15" hidden="false" customHeight="false" outlineLevel="0" collapsed="false">
      <c r="A26" s="24" t="s">
        <v>1069</v>
      </c>
      <c r="B26" s="24" t="s">
        <v>1049</v>
      </c>
      <c r="C26" s="23" t="s">
        <v>147</v>
      </c>
      <c r="D26" s="26" t="s">
        <v>145</v>
      </c>
      <c r="E26" s="23" t="s">
        <v>148</v>
      </c>
      <c r="F26" s="24"/>
      <c r="G26" s="24" t="s">
        <v>4205</v>
      </c>
      <c r="H26" s="24" t="s">
        <v>1070</v>
      </c>
      <c r="I26" s="74" t="s">
        <v>78</v>
      </c>
      <c r="J26" s="94" t="n">
        <v>42</v>
      </c>
      <c r="K26" s="74" t="s">
        <v>4182</v>
      </c>
      <c r="L26" s="91" t="n">
        <v>46.11</v>
      </c>
      <c r="M26" s="58" t="n">
        <v>8.9</v>
      </c>
      <c r="N26" s="26" t="s">
        <v>4180</v>
      </c>
      <c r="O26" s="96" t="s">
        <v>946</v>
      </c>
      <c r="P26" s="24" t="s">
        <v>1066</v>
      </c>
      <c r="Q26" s="23"/>
      <c r="R26" s="92"/>
      <c r="S26" s="91" t="str">
        <f aca="false">IF(OR(R26="",J26=""),"",ROUND(J26*(1+R26/100),2))</f>
        <v/>
      </c>
      <c r="T26" s="93" t="n">
        <v>20</v>
      </c>
      <c r="U26" s="24" t="s">
        <v>93</v>
      </c>
      <c r="V26" s="61" t="s">
        <v>95</v>
      </c>
    </row>
    <row r="27" customFormat="false" ht="15" hidden="false" customHeight="false" outlineLevel="0" collapsed="false">
      <c r="A27" s="20" t="s">
        <v>1074</v>
      </c>
      <c r="B27" s="20" t="s">
        <v>1049</v>
      </c>
      <c r="C27" s="19" t="s">
        <v>149</v>
      </c>
      <c r="D27" s="22" t="s">
        <v>137</v>
      </c>
      <c r="E27" s="19" t="s">
        <v>150</v>
      </c>
      <c r="F27" s="20"/>
      <c r="G27" s="20" t="s">
        <v>4206</v>
      </c>
      <c r="H27" s="20" t="s">
        <v>1075</v>
      </c>
      <c r="I27" s="74" t="s">
        <v>78</v>
      </c>
      <c r="J27" s="94" t="n">
        <v>1.53</v>
      </c>
      <c r="K27" s="74" t="s">
        <v>943</v>
      </c>
      <c r="L27" s="95"/>
      <c r="M27" s="52"/>
      <c r="N27" s="22" t="s">
        <v>4180</v>
      </c>
      <c r="O27" s="96" t="s">
        <v>946</v>
      </c>
      <c r="P27" s="20" t="s">
        <v>1066</v>
      </c>
      <c r="Q27" s="19"/>
      <c r="R27" s="92"/>
      <c r="S27" s="95" t="str">
        <f aca="false">IF(OR(R27="",J27=""),"",ROUND(J27*(1+R27/100),2))</f>
        <v/>
      </c>
      <c r="T27" s="97" t="n">
        <v>20</v>
      </c>
      <c r="U27" s="20" t="s">
        <v>93</v>
      </c>
      <c r="V27" s="55" t="s">
        <v>95</v>
      </c>
    </row>
    <row r="28" customFormat="false" ht="23.85" hidden="false" customHeight="false" outlineLevel="0" collapsed="false">
      <c r="A28" s="24" t="s">
        <v>1076</v>
      </c>
      <c r="B28" s="24" t="s">
        <v>1049</v>
      </c>
      <c r="C28" s="23" t="s">
        <v>151</v>
      </c>
      <c r="D28" s="26" t="s">
        <v>137</v>
      </c>
      <c r="E28" s="23" t="s">
        <v>152</v>
      </c>
      <c r="F28" s="24" t="s">
        <v>1077</v>
      </c>
      <c r="G28" s="24"/>
      <c r="H28" s="24" t="s">
        <v>1078</v>
      </c>
      <c r="I28" s="74" t="s">
        <v>77</v>
      </c>
      <c r="J28" s="94" t="n">
        <v>3.98</v>
      </c>
      <c r="K28" s="74" t="s">
        <v>979</v>
      </c>
      <c r="L28" s="91" t="n">
        <v>5.17</v>
      </c>
      <c r="M28" s="58" t="n">
        <v>23</v>
      </c>
      <c r="N28" s="26" t="s">
        <v>4180</v>
      </c>
      <c r="O28" s="96" t="s">
        <v>983</v>
      </c>
      <c r="P28" s="24" t="s">
        <v>1079</v>
      </c>
      <c r="Q28" s="23"/>
      <c r="R28" s="92"/>
      <c r="S28" s="91" t="str">
        <f aca="false">IF(OR(R28="",J28=""),"",ROUND(J28*(1+R28/100),2))</f>
        <v/>
      </c>
      <c r="T28" s="93" t="n">
        <v>20</v>
      </c>
      <c r="U28" s="24" t="s">
        <v>114</v>
      </c>
      <c r="V28" s="24"/>
    </row>
    <row r="29" customFormat="false" ht="23.85" hidden="false" customHeight="false" outlineLevel="0" collapsed="false">
      <c r="A29" s="20" t="s">
        <v>1080</v>
      </c>
      <c r="B29" s="20" t="s">
        <v>1081</v>
      </c>
      <c r="C29" s="19" t="s">
        <v>153</v>
      </c>
      <c r="D29" s="22" t="s">
        <v>145</v>
      </c>
      <c r="E29" s="19" t="s">
        <v>154</v>
      </c>
      <c r="F29" s="20"/>
      <c r="G29" s="20" t="s">
        <v>4207</v>
      </c>
      <c r="H29" s="20" t="s">
        <v>1082</v>
      </c>
      <c r="I29" s="74" t="s">
        <v>78</v>
      </c>
      <c r="J29" s="94" t="n">
        <v>47</v>
      </c>
      <c r="K29" s="74" t="s">
        <v>943</v>
      </c>
      <c r="L29" s="95"/>
      <c r="M29" s="52"/>
      <c r="N29" s="22" t="s">
        <v>4180</v>
      </c>
      <c r="O29" s="96" t="s">
        <v>946</v>
      </c>
      <c r="P29" s="20" t="s">
        <v>1066</v>
      </c>
      <c r="Q29" s="19"/>
      <c r="R29" s="92"/>
      <c r="S29" s="95" t="str">
        <f aca="false">IF(OR(R29="",J29=""),"",ROUND(J29*(1+R29/100),2))</f>
        <v/>
      </c>
      <c r="T29" s="97" t="n">
        <v>20</v>
      </c>
      <c r="U29" s="20" t="s">
        <v>93</v>
      </c>
      <c r="V29" s="55" t="s">
        <v>95</v>
      </c>
    </row>
    <row r="30" customFormat="false" ht="23.85" hidden="false" customHeight="false" outlineLevel="0" collapsed="false">
      <c r="A30" s="88" t="s">
        <v>1086</v>
      </c>
      <c r="B30" s="88" t="s">
        <v>1081</v>
      </c>
      <c r="C30" s="89" t="s">
        <v>155</v>
      </c>
      <c r="D30" s="90" t="s">
        <v>145</v>
      </c>
      <c r="E30" s="89" t="s">
        <v>156</v>
      </c>
      <c r="F30" s="88" t="s">
        <v>940</v>
      </c>
      <c r="G30" s="88" t="s">
        <v>4208</v>
      </c>
      <c r="H30" s="88" t="s">
        <v>1089</v>
      </c>
      <c r="I30" s="88" t="s">
        <v>76</v>
      </c>
      <c r="J30" s="98" t="n">
        <v>63.11</v>
      </c>
      <c r="K30" s="88" t="s">
        <v>939</v>
      </c>
      <c r="L30" s="98"/>
      <c r="M30" s="99"/>
      <c r="N30" s="90" t="s">
        <v>4180</v>
      </c>
      <c r="O30" s="100" t="s">
        <v>963</v>
      </c>
      <c r="P30" s="88" t="s">
        <v>1066</v>
      </c>
      <c r="Q30" s="101" t="s">
        <v>889</v>
      </c>
      <c r="R30" s="102"/>
      <c r="S30" s="98" t="str">
        <f aca="false">IF(OR(R30="",J30=""),"",ROUND(J30*(1+R30/100),2))</f>
        <v/>
      </c>
      <c r="T30" s="103" t="n">
        <v>20</v>
      </c>
      <c r="U30" s="88" t="s">
        <v>93</v>
      </c>
      <c r="V30" s="104" t="s">
        <v>95</v>
      </c>
    </row>
    <row r="31" customFormat="false" ht="15" hidden="false" customHeight="false" outlineLevel="0" collapsed="false">
      <c r="A31" s="88" t="s">
        <v>1090</v>
      </c>
      <c r="B31" s="88" t="s">
        <v>1081</v>
      </c>
      <c r="C31" s="89" t="s">
        <v>157</v>
      </c>
      <c r="D31" s="90" t="s">
        <v>137</v>
      </c>
      <c r="E31" s="89" t="s">
        <v>158</v>
      </c>
      <c r="F31" s="88" t="s">
        <v>940</v>
      </c>
      <c r="G31" s="88" t="s">
        <v>4209</v>
      </c>
      <c r="H31" s="88" t="s">
        <v>1091</v>
      </c>
      <c r="I31" s="88" t="s">
        <v>76</v>
      </c>
      <c r="J31" s="98" t="n">
        <v>1.86</v>
      </c>
      <c r="K31" s="88" t="s">
        <v>939</v>
      </c>
      <c r="L31" s="98"/>
      <c r="M31" s="99"/>
      <c r="N31" s="90" t="s">
        <v>4180</v>
      </c>
      <c r="O31" s="100" t="s">
        <v>1052</v>
      </c>
      <c r="P31" s="88"/>
      <c r="Q31" s="101" t="s">
        <v>889</v>
      </c>
      <c r="R31" s="102"/>
      <c r="S31" s="98" t="str">
        <f aca="false">IF(OR(R31="",J31=""),"",ROUND(J31*(1+R31/100),2))</f>
        <v/>
      </c>
      <c r="T31" s="103" t="n">
        <v>20</v>
      </c>
      <c r="U31" s="88" t="s">
        <v>93</v>
      </c>
      <c r="V31" s="104" t="s">
        <v>95</v>
      </c>
    </row>
    <row r="32" customFormat="false" ht="23.85" hidden="false" customHeight="false" outlineLevel="0" collapsed="false">
      <c r="A32" s="88" t="s">
        <v>1092</v>
      </c>
      <c r="B32" s="88" t="s">
        <v>1081</v>
      </c>
      <c r="C32" s="89" t="s">
        <v>159</v>
      </c>
      <c r="D32" s="90" t="s">
        <v>137</v>
      </c>
      <c r="E32" s="89" t="s">
        <v>160</v>
      </c>
      <c r="F32" s="88" t="s">
        <v>1095</v>
      </c>
      <c r="G32" s="88" t="s">
        <v>4210</v>
      </c>
      <c r="H32" s="88" t="s">
        <v>1096</v>
      </c>
      <c r="I32" s="88" t="s">
        <v>76</v>
      </c>
      <c r="J32" s="98" t="n">
        <v>22.11</v>
      </c>
      <c r="K32" s="88" t="s">
        <v>939</v>
      </c>
      <c r="L32" s="98"/>
      <c r="M32" s="99"/>
      <c r="N32" s="90" t="s">
        <v>4180</v>
      </c>
      <c r="O32" s="100" t="s">
        <v>1052</v>
      </c>
      <c r="P32" s="88"/>
      <c r="Q32" s="101" t="s">
        <v>889</v>
      </c>
      <c r="R32" s="102"/>
      <c r="S32" s="98" t="str">
        <f aca="false">IF(OR(R32="",J32=""),"",ROUND(J32*(1+R32/100),2))</f>
        <v/>
      </c>
      <c r="T32" s="103" t="n">
        <v>20</v>
      </c>
      <c r="U32" s="88" t="s">
        <v>93</v>
      </c>
      <c r="V32" s="104" t="s">
        <v>95</v>
      </c>
    </row>
    <row r="33" customFormat="false" ht="23.85" hidden="false" customHeight="false" outlineLevel="0" collapsed="false">
      <c r="A33" s="88" t="s">
        <v>1097</v>
      </c>
      <c r="B33" s="88" t="s">
        <v>1081</v>
      </c>
      <c r="C33" s="89" t="s">
        <v>161</v>
      </c>
      <c r="D33" s="90" t="s">
        <v>137</v>
      </c>
      <c r="E33" s="89" t="s">
        <v>160</v>
      </c>
      <c r="F33" s="88" t="s">
        <v>1095</v>
      </c>
      <c r="G33" s="88" t="s">
        <v>4210</v>
      </c>
      <c r="H33" s="88" t="s">
        <v>1096</v>
      </c>
      <c r="I33" s="88" t="s">
        <v>76</v>
      </c>
      <c r="J33" s="98" t="n">
        <v>22.11</v>
      </c>
      <c r="K33" s="88" t="s">
        <v>939</v>
      </c>
      <c r="L33" s="98"/>
      <c r="M33" s="99"/>
      <c r="N33" s="90" t="s">
        <v>4180</v>
      </c>
      <c r="O33" s="100" t="s">
        <v>1052</v>
      </c>
      <c r="P33" s="88"/>
      <c r="Q33" s="101" t="s">
        <v>889</v>
      </c>
      <c r="R33" s="102"/>
      <c r="S33" s="98" t="str">
        <f aca="false">IF(OR(R33="",J33=""),"",ROUND(J33*(1+R33/100),2))</f>
        <v/>
      </c>
      <c r="T33" s="103" t="n">
        <v>20</v>
      </c>
      <c r="U33" s="88" t="s">
        <v>93</v>
      </c>
      <c r="V33" s="104" t="s">
        <v>95</v>
      </c>
    </row>
    <row r="34" customFormat="false" ht="23.85" hidden="false" customHeight="false" outlineLevel="0" collapsed="false">
      <c r="A34" s="24" t="s">
        <v>1098</v>
      </c>
      <c r="B34" s="24" t="s">
        <v>1081</v>
      </c>
      <c r="C34" s="23" t="s">
        <v>162</v>
      </c>
      <c r="D34" s="26" t="s">
        <v>137</v>
      </c>
      <c r="E34" s="23" t="s">
        <v>163</v>
      </c>
      <c r="F34" s="24" t="s">
        <v>969</v>
      </c>
      <c r="G34" s="24" t="s">
        <v>4211</v>
      </c>
      <c r="H34" s="24" t="s">
        <v>1099</v>
      </c>
      <c r="I34" s="74" t="s">
        <v>81</v>
      </c>
      <c r="J34" s="94" t="n">
        <v>2.37</v>
      </c>
      <c r="K34" s="74" t="s">
        <v>979</v>
      </c>
      <c r="L34" s="91" t="n">
        <v>2.46</v>
      </c>
      <c r="M34" s="58" t="n">
        <v>3.7</v>
      </c>
      <c r="N34" s="26" t="s">
        <v>4180</v>
      </c>
      <c r="O34" s="96" t="s">
        <v>1007</v>
      </c>
      <c r="P34" s="24" t="s">
        <v>1100</v>
      </c>
      <c r="Q34" s="23"/>
      <c r="R34" s="92"/>
      <c r="S34" s="91" t="str">
        <f aca="false">IF(OR(R34="",J34=""),"",ROUND(J34*(1+R34/100),2))</f>
        <v/>
      </c>
      <c r="T34" s="93" t="n">
        <v>20</v>
      </c>
      <c r="U34" s="24" t="s">
        <v>119</v>
      </c>
      <c r="V34" s="61" t="s">
        <v>95</v>
      </c>
    </row>
    <row r="35" customFormat="false" ht="23.85" hidden="false" customHeight="false" outlineLevel="0" collapsed="false">
      <c r="A35" s="88" t="s">
        <v>1101</v>
      </c>
      <c r="B35" s="88" t="s">
        <v>1081</v>
      </c>
      <c r="C35" s="89" t="s">
        <v>164</v>
      </c>
      <c r="D35" s="90" t="s">
        <v>137</v>
      </c>
      <c r="E35" s="89" t="s">
        <v>165</v>
      </c>
      <c r="F35" s="88" t="s">
        <v>1102</v>
      </c>
      <c r="G35" s="88" t="s">
        <v>4212</v>
      </c>
      <c r="H35" s="88" t="s">
        <v>1103</v>
      </c>
      <c r="I35" s="88" t="s">
        <v>76</v>
      </c>
      <c r="J35" s="98" t="n">
        <v>24.86</v>
      </c>
      <c r="K35" s="88" t="s">
        <v>939</v>
      </c>
      <c r="L35" s="98"/>
      <c r="M35" s="99"/>
      <c r="N35" s="90" t="s">
        <v>4180</v>
      </c>
      <c r="O35" s="100" t="s">
        <v>963</v>
      </c>
      <c r="P35" s="88"/>
      <c r="Q35" s="101" t="s">
        <v>889</v>
      </c>
      <c r="R35" s="102"/>
      <c r="S35" s="98" t="str">
        <f aca="false">IF(OR(R35="",J35=""),"",ROUND(J35*(1+R35/100),2))</f>
        <v/>
      </c>
      <c r="T35" s="103" t="n">
        <v>20</v>
      </c>
      <c r="U35" s="88" t="s">
        <v>93</v>
      </c>
      <c r="V35" s="104" t="s">
        <v>95</v>
      </c>
    </row>
    <row r="36" customFormat="false" ht="23.85" hidden="false" customHeight="false" outlineLevel="0" collapsed="false">
      <c r="A36" s="24" t="s">
        <v>1104</v>
      </c>
      <c r="B36" s="24" t="s">
        <v>1081</v>
      </c>
      <c r="C36" s="23" t="s">
        <v>166</v>
      </c>
      <c r="D36" s="26" t="s">
        <v>91</v>
      </c>
      <c r="E36" s="23" t="s">
        <v>167</v>
      </c>
      <c r="F36" s="24"/>
      <c r="G36" s="24" t="s">
        <v>4213</v>
      </c>
      <c r="H36" s="24" t="s">
        <v>1105</v>
      </c>
      <c r="I36" s="74" t="s">
        <v>78</v>
      </c>
      <c r="J36" s="94" t="n">
        <v>0.39</v>
      </c>
      <c r="K36" s="74" t="s">
        <v>943</v>
      </c>
      <c r="L36" s="91"/>
      <c r="M36" s="58"/>
      <c r="N36" s="26" t="s">
        <v>4180</v>
      </c>
      <c r="O36" s="96" t="s">
        <v>1016</v>
      </c>
      <c r="P36" s="24" t="s">
        <v>1106</v>
      </c>
      <c r="Q36" s="105" t="s">
        <v>889</v>
      </c>
      <c r="R36" s="92"/>
      <c r="S36" s="91" t="str">
        <f aca="false">IF(OR(R36="",J36=""),"",ROUND(J36*(1+R36/100),2))</f>
        <v/>
      </c>
      <c r="T36" s="93" t="n">
        <v>20</v>
      </c>
      <c r="U36" s="24" t="s">
        <v>93</v>
      </c>
      <c r="V36" s="24"/>
    </row>
    <row r="37" customFormat="false" ht="15" hidden="false" customHeight="false" outlineLevel="0" collapsed="false">
      <c r="A37" s="20" t="s">
        <v>1107</v>
      </c>
      <c r="B37" s="20" t="s">
        <v>1108</v>
      </c>
      <c r="C37" s="19" t="s">
        <v>168</v>
      </c>
      <c r="D37" s="22" t="s">
        <v>91</v>
      </c>
      <c r="E37" s="19" t="s">
        <v>170</v>
      </c>
      <c r="F37" s="20" t="s">
        <v>969</v>
      </c>
      <c r="G37" s="20" t="s">
        <v>4214</v>
      </c>
      <c r="H37" s="20" t="s">
        <v>1111</v>
      </c>
      <c r="I37" s="74" t="s">
        <v>81</v>
      </c>
      <c r="J37" s="94" t="n">
        <v>5.18</v>
      </c>
      <c r="K37" s="74" t="s">
        <v>4215</v>
      </c>
      <c r="L37" s="95" t="n">
        <v>5.44</v>
      </c>
      <c r="M37" s="52" t="n">
        <v>4.8</v>
      </c>
      <c r="N37" s="22" t="s">
        <v>4180</v>
      </c>
      <c r="O37" s="96" t="s">
        <v>1016</v>
      </c>
      <c r="P37" s="20"/>
      <c r="Q37" s="106" t="s">
        <v>889</v>
      </c>
      <c r="R37" s="92"/>
      <c r="S37" s="95" t="str">
        <f aca="false">IF(OR(R37="",J37=""),"",ROUND(J37*(1+R37/100),2))</f>
        <v/>
      </c>
      <c r="T37" s="97" t="n">
        <v>20</v>
      </c>
      <c r="U37" s="20" t="s">
        <v>169</v>
      </c>
      <c r="V37" s="55" t="s">
        <v>95</v>
      </c>
    </row>
    <row r="38" customFormat="false" ht="23.85" hidden="false" customHeight="false" outlineLevel="0" collapsed="false">
      <c r="A38" s="88" t="s">
        <v>1118</v>
      </c>
      <c r="B38" s="88" t="s">
        <v>1108</v>
      </c>
      <c r="C38" s="89" t="s">
        <v>171</v>
      </c>
      <c r="D38" s="90" t="s">
        <v>91</v>
      </c>
      <c r="E38" s="89" t="s">
        <v>172</v>
      </c>
      <c r="F38" s="88" t="s">
        <v>969</v>
      </c>
      <c r="G38" s="88" t="s">
        <v>4216</v>
      </c>
      <c r="H38" s="88" t="s">
        <v>1119</v>
      </c>
      <c r="I38" s="88" t="s">
        <v>76</v>
      </c>
      <c r="J38" s="98" t="n">
        <v>11.2</v>
      </c>
      <c r="K38" s="88" t="s">
        <v>4179</v>
      </c>
      <c r="L38" s="98" t="n">
        <v>16.28</v>
      </c>
      <c r="M38" s="99" t="n">
        <v>31.2</v>
      </c>
      <c r="N38" s="90" t="s">
        <v>4180</v>
      </c>
      <c r="O38" s="100" t="s">
        <v>1052</v>
      </c>
      <c r="P38" s="88" t="s">
        <v>4217</v>
      </c>
      <c r="Q38" s="101" t="s">
        <v>891</v>
      </c>
      <c r="R38" s="102"/>
      <c r="S38" s="98" t="str">
        <f aca="false">IF(OR(R38="",J38=""),"",ROUND(J38*(1+R38/100),2))</f>
        <v/>
      </c>
      <c r="T38" s="103" t="n">
        <v>20</v>
      </c>
      <c r="U38" s="88" t="s">
        <v>93</v>
      </c>
      <c r="V38" s="104" t="s">
        <v>95</v>
      </c>
    </row>
    <row r="39" customFormat="false" ht="22.35" hidden="false" customHeight="false" outlineLevel="0" collapsed="false">
      <c r="A39" s="20" t="s">
        <v>1123</v>
      </c>
      <c r="B39" s="20" t="s">
        <v>1108</v>
      </c>
      <c r="C39" s="19" t="s">
        <v>173</v>
      </c>
      <c r="D39" s="22" t="s">
        <v>91</v>
      </c>
      <c r="E39" s="19" t="s">
        <v>174</v>
      </c>
      <c r="F39" s="20" t="s">
        <v>969</v>
      </c>
      <c r="G39" s="20" t="s">
        <v>4218</v>
      </c>
      <c r="H39" s="20" t="s">
        <v>1124</v>
      </c>
      <c r="I39" s="20" t="s">
        <v>76</v>
      </c>
      <c r="J39" s="95" t="n">
        <v>46.21</v>
      </c>
      <c r="K39" s="20" t="s">
        <v>939</v>
      </c>
      <c r="L39" s="95"/>
      <c r="M39" s="52"/>
      <c r="N39" s="22" t="s">
        <v>4180</v>
      </c>
      <c r="O39" s="22" t="s">
        <v>942</v>
      </c>
      <c r="P39" s="20" t="s">
        <v>4219</v>
      </c>
      <c r="Q39" s="106" t="s">
        <v>891</v>
      </c>
      <c r="R39" s="92"/>
      <c r="S39" s="95" t="str">
        <f aca="false">IF(OR(R39="",J39=""),"",ROUND(J39*(1+R39/100),2))</f>
        <v/>
      </c>
      <c r="T39" s="97" t="n">
        <v>20</v>
      </c>
      <c r="U39" s="20" t="s">
        <v>93</v>
      </c>
      <c r="V39" s="55" t="s">
        <v>95</v>
      </c>
    </row>
    <row r="40" customFormat="false" ht="23.85" hidden="false" customHeight="false" outlineLevel="0" collapsed="false">
      <c r="A40" s="24" t="s">
        <v>1125</v>
      </c>
      <c r="B40" s="24" t="s">
        <v>1108</v>
      </c>
      <c r="C40" s="23" t="s">
        <v>175</v>
      </c>
      <c r="D40" s="26" t="s">
        <v>91</v>
      </c>
      <c r="E40" s="23" t="s">
        <v>176</v>
      </c>
      <c r="F40" s="24" t="s">
        <v>969</v>
      </c>
      <c r="G40" s="24" t="s">
        <v>4220</v>
      </c>
      <c r="H40" s="24" t="s">
        <v>1128</v>
      </c>
      <c r="I40" s="24" t="s">
        <v>76</v>
      </c>
      <c r="J40" s="91" t="n">
        <v>11.48</v>
      </c>
      <c r="K40" s="24" t="s">
        <v>4179</v>
      </c>
      <c r="L40" s="91" t="n">
        <v>25.19</v>
      </c>
      <c r="M40" s="58" t="n">
        <v>54.4</v>
      </c>
      <c r="N40" s="26" t="s">
        <v>4180</v>
      </c>
      <c r="O40" s="26" t="s">
        <v>942</v>
      </c>
      <c r="P40" s="24"/>
      <c r="Q40" s="23"/>
      <c r="R40" s="92"/>
      <c r="S40" s="91" t="str">
        <f aca="false">IF(OR(R40="",J40=""),"",ROUND(J40*(1+R40/100),2))</f>
        <v/>
      </c>
      <c r="T40" s="93" t="n">
        <v>20</v>
      </c>
      <c r="U40" s="24" t="s">
        <v>93</v>
      </c>
      <c r="V40" s="61" t="s">
        <v>95</v>
      </c>
    </row>
    <row r="41" customFormat="false" ht="15" hidden="false" customHeight="false" outlineLevel="0" collapsed="false">
      <c r="A41" s="20" t="s">
        <v>1131</v>
      </c>
      <c r="B41" s="20" t="s">
        <v>1108</v>
      </c>
      <c r="C41" s="19" t="s">
        <v>177</v>
      </c>
      <c r="D41" s="22" t="s">
        <v>91</v>
      </c>
      <c r="E41" s="19" t="s">
        <v>178</v>
      </c>
      <c r="F41" s="20" t="s">
        <v>981</v>
      </c>
      <c r="G41" s="20"/>
      <c r="H41" s="20" t="s">
        <v>1134</v>
      </c>
      <c r="I41" s="74" t="s">
        <v>77</v>
      </c>
      <c r="J41" s="94" t="n">
        <v>34.09</v>
      </c>
      <c r="K41" s="74" t="s">
        <v>4191</v>
      </c>
      <c r="L41" s="95" t="n">
        <v>38.3</v>
      </c>
      <c r="M41" s="52" t="n">
        <v>11</v>
      </c>
      <c r="N41" s="22" t="s">
        <v>4180</v>
      </c>
      <c r="O41" s="96" t="s">
        <v>983</v>
      </c>
      <c r="P41" s="20"/>
      <c r="Q41" s="19"/>
      <c r="R41" s="92"/>
      <c r="S41" s="95" t="str">
        <f aca="false">IF(OR(R41="",J41=""),"",ROUND(J41*(1+R41/100),2))</f>
        <v/>
      </c>
      <c r="T41" s="97" t="n">
        <v>20</v>
      </c>
      <c r="U41" s="20" t="s">
        <v>114</v>
      </c>
      <c r="V41" s="20"/>
    </row>
    <row r="42" customFormat="false" ht="23.85" hidden="false" customHeight="false" outlineLevel="0" collapsed="false">
      <c r="A42" s="88" t="s">
        <v>1141</v>
      </c>
      <c r="B42" s="88" t="s">
        <v>1108</v>
      </c>
      <c r="C42" s="89" t="s">
        <v>179</v>
      </c>
      <c r="D42" s="90" t="s">
        <v>91</v>
      </c>
      <c r="E42" s="89" t="s">
        <v>180</v>
      </c>
      <c r="F42" s="88" t="s">
        <v>969</v>
      </c>
      <c r="G42" s="88" t="s">
        <v>4221</v>
      </c>
      <c r="H42" s="88" t="s">
        <v>1144</v>
      </c>
      <c r="I42" s="88" t="s">
        <v>76</v>
      </c>
      <c r="J42" s="98" t="n">
        <v>75</v>
      </c>
      <c r="K42" s="88" t="s">
        <v>4179</v>
      </c>
      <c r="L42" s="98" t="n">
        <v>83.6</v>
      </c>
      <c r="M42" s="99" t="n">
        <v>10.3</v>
      </c>
      <c r="N42" s="90" t="s">
        <v>4180</v>
      </c>
      <c r="O42" s="100" t="s">
        <v>963</v>
      </c>
      <c r="P42" s="88"/>
      <c r="Q42" s="101" t="s">
        <v>889</v>
      </c>
      <c r="R42" s="102"/>
      <c r="S42" s="98" t="str">
        <f aca="false">IF(OR(R42="",J42=""),"",ROUND(J42*(1+R42/100),2))</f>
        <v/>
      </c>
      <c r="T42" s="103" t="n">
        <v>20</v>
      </c>
      <c r="U42" s="88" t="s">
        <v>93</v>
      </c>
      <c r="V42" s="104" t="s">
        <v>95</v>
      </c>
    </row>
    <row r="43" customFormat="false" ht="23.85" hidden="false" customHeight="false" outlineLevel="0" collapsed="false">
      <c r="A43" s="20" t="s">
        <v>1148</v>
      </c>
      <c r="B43" s="20" t="s">
        <v>1108</v>
      </c>
      <c r="C43" s="19" t="s">
        <v>181</v>
      </c>
      <c r="D43" s="22" t="s">
        <v>91</v>
      </c>
      <c r="E43" s="19" t="s">
        <v>182</v>
      </c>
      <c r="F43" s="20" t="s">
        <v>1018</v>
      </c>
      <c r="G43" s="20" t="s">
        <v>4222</v>
      </c>
      <c r="H43" s="20" t="s">
        <v>1149</v>
      </c>
      <c r="I43" s="20" t="s">
        <v>76</v>
      </c>
      <c r="J43" s="95" t="n">
        <v>34.16</v>
      </c>
      <c r="K43" s="20" t="s">
        <v>939</v>
      </c>
      <c r="L43" s="95"/>
      <c r="M43" s="52"/>
      <c r="N43" s="22" t="s">
        <v>4180</v>
      </c>
      <c r="O43" s="22" t="s">
        <v>1085</v>
      </c>
      <c r="P43" s="20"/>
      <c r="Q43" s="19"/>
      <c r="R43" s="92"/>
      <c r="S43" s="95" t="str">
        <f aca="false">IF(OR(R43="",J43=""),"",ROUND(J43*(1+R43/100),2))</f>
        <v/>
      </c>
      <c r="T43" s="97" t="n">
        <v>20</v>
      </c>
      <c r="U43" s="20" t="s">
        <v>93</v>
      </c>
      <c r="V43" s="55" t="s">
        <v>95</v>
      </c>
    </row>
    <row r="44" customFormat="false" ht="23.85" hidden="false" customHeight="false" outlineLevel="0" collapsed="false">
      <c r="A44" s="24" t="s">
        <v>1150</v>
      </c>
      <c r="B44" s="24" t="s">
        <v>1108</v>
      </c>
      <c r="C44" s="23" t="s">
        <v>183</v>
      </c>
      <c r="D44" s="26" t="s">
        <v>91</v>
      </c>
      <c r="E44" s="23" t="s">
        <v>184</v>
      </c>
      <c r="F44" s="24" t="s">
        <v>969</v>
      </c>
      <c r="G44" s="24" t="s">
        <v>4223</v>
      </c>
      <c r="H44" s="24" t="s">
        <v>1153</v>
      </c>
      <c r="I44" s="24" t="s">
        <v>76</v>
      </c>
      <c r="J44" s="91" t="n">
        <v>1.85</v>
      </c>
      <c r="K44" s="24" t="s">
        <v>4198</v>
      </c>
      <c r="L44" s="91" t="n">
        <v>24.45</v>
      </c>
      <c r="M44" s="58" t="n">
        <v>92.4</v>
      </c>
      <c r="N44" s="26" t="s">
        <v>4180</v>
      </c>
      <c r="O44" s="26" t="s">
        <v>1085</v>
      </c>
      <c r="P44" s="24"/>
      <c r="Q44" s="23"/>
      <c r="R44" s="92"/>
      <c r="S44" s="91" t="str">
        <f aca="false">IF(OR(R44="",J44=""),"",ROUND(J44*(1+R44/100),2))</f>
        <v/>
      </c>
      <c r="T44" s="93" t="n">
        <v>20</v>
      </c>
      <c r="U44" s="24" t="s">
        <v>93</v>
      </c>
      <c r="V44" s="61" t="s">
        <v>95</v>
      </c>
    </row>
    <row r="45" customFormat="false" ht="23.85" hidden="false" customHeight="false" outlineLevel="0" collapsed="false">
      <c r="A45" s="88" t="s">
        <v>1158</v>
      </c>
      <c r="B45" s="88" t="s">
        <v>1108</v>
      </c>
      <c r="C45" s="89" t="s">
        <v>185</v>
      </c>
      <c r="D45" s="90" t="s">
        <v>91</v>
      </c>
      <c r="E45" s="89" t="s">
        <v>186</v>
      </c>
      <c r="F45" s="88" t="s">
        <v>1159</v>
      </c>
      <c r="G45" s="88" t="s">
        <v>4224</v>
      </c>
      <c r="H45" s="88" t="s">
        <v>1160</v>
      </c>
      <c r="I45" s="88" t="s">
        <v>76</v>
      </c>
      <c r="J45" s="98" t="n">
        <v>5.55</v>
      </c>
      <c r="K45" s="88" t="s">
        <v>4198</v>
      </c>
      <c r="L45" s="98" t="n">
        <v>135.25</v>
      </c>
      <c r="M45" s="99" t="n">
        <v>95.9</v>
      </c>
      <c r="N45" s="90" t="s">
        <v>4180</v>
      </c>
      <c r="O45" s="100" t="s">
        <v>1052</v>
      </c>
      <c r="P45" s="88"/>
      <c r="Q45" s="101" t="s">
        <v>889</v>
      </c>
      <c r="R45" s="102"/>
      <c r="S45" s="98" t="str">
        <f aca="false">IF(OR(R45="",J45=""),"",ROUND(J45*(1+R45/100),2))</f>
        <v/>
      </c>
      <c r="T45" s="103" t="n">
        <v>20</v>
      </c>
      <c r="U45" s="88" t="s">
        <v>93</v>
      </c>
      <c r="V45" s="104" t="s">
        <v>95</v>
      </c>
    </row>
    <row r="46" customFormat="false" ht="23.85" hidden="false" customHeight="false" outlineLevel="0" collapsed="false">
      <c r="A46" s="24" t="s">
        <v>1165</v>
      </c>
      <c r="B46" s="24" t="s">
        <v>1108</v>
      </c>
      <c r="C46" s="23" t="s">
        <v>187</v>
      </c>
      <c r="D46" s="26" t="s">
        <v>188</v>
      </c>
      <c r="E46" s="23" t="s">
        <v>189</v>
      </c>
      <c r="F46" s="24" t="s">
        <v>1166</v>
      </c>
      <c r="G46" s="24" t="s">
        <v>4225</v>
      </c>
      <c r="H46" s="24" t="s">
        <v>1167</v>
      </c>
      <c r="I46" s="24" t="s">
        <v>76</v>
      </c>
      <c r="J46" s="91" t="n">
        <v>26.23</v>
      </c>
      <c r="K46" s="24" t="s">
        <v>939</v>
      </c>
      <c r="L46" s="91"/>
      <c r="M46" s="58"/>
      <c r="N46" s="26" t="s">
        <v>4180</v>
      </c>
      <c r="O46" s="26" t="s">
        <v>1085</v>
      </c>
      <c r="P46" s="24" t="s">
        <v>4226</v>
      </c>
      <c r="Q46" s="23"/>
      <c r="R46" s="92"/>
      <c r="S46" s="91" t="str">
        <f aca="false">IF(OR(R46="",J46=""),"",ROUND(J46*(1+R46/100),2))</f>
        <v/>
      </c>
      <c r="T46" s="93" t="n">
        <v>20</v>
      </c>
      <c r="U46" s="24" t="s">
        <v>93</v>
      </c>
      <c r="V46" s="61" t="s">
        <v>95</v>
      </c>
    </row>
    <row r="47" customFormat="false" ht="23.85" hidden="false" customHeight="false" outlineLevel="0" collapsed="false">
      <c r="A47" s="20" t="s">
        <v>1172</v>
      </c>
      <c r="B47" s="20" t="s">
        <v>1108</v>
      </c>
      <c r="C47" s="19" t="s">
        <v>190</v>
      </c>
      <c r="D47" s="22" t="s">
        <v>91</v>
      </c>
      <c r="E47" s="19" t="s">
        <v>191</v>
      </c>
      <c r="F47" s="20" t="s">
        <v>969</v>
      </c>
      <c r="G47" s="20" t="s">
        <v>4227</v>
      </c>
      <c r="H47" s="20" t="s">
        <v>1173</v>
      </c>
      <c r="I47" s="20" t="s">
        <v>76</v>
      </c>
      <c r="J47" s="95" t="n">
        <v>4.18</v>
      </c>
      <c r="K47" s="20" t="s">
        <v>939</v>
      </c>
      <c r="L47" s="95"/>
      <c r="M47" s="52"/>
      <c r="N47" s="22" t="s">
        <v>4180</v>
      </c>
      <c r="O47" s="22" t="s">
        <v>942</v>
      </c>
      <c r="P47" s="20"/>
      <c r="Q47" s="19"/>
      <c r="R47" s="92"/>
      <c r="S47" s="95" t="str">
        <f aca="false">IF(OR(R47="",J47=""),"",ROUND(J47*(1+R47/100),2))</f>
        <v/>
      </c>
      <c r="T47" s="97" t="n">
        <v>20</v>
      </c>
      <c r="U47" s="20" t="s">
        <v>93</v>
      </c>
      <c r="V47" s="55" t="s">
        <v>95</v>
      </c>
    </row>
    <row r="48" customFormat="false" ht="15" hidden="false" customHeight="false" outlineLevel="0" collapsed="false">
      <c r="A48" s="88" t="s">
        <v>1174</v>
      </c>
      <c r="B48" s="88" t="s">
        <v>1108</v>
      </c>
      <c r="C48" s="89" t="s">
        <v>192</v>
      </c>
      <c r="D48" s="90" t="s">
        <v>91</v>
      </c>
      <c r="E48" s="89" t="s">
        <v>193</v>
      </c>
      <c r="F48" s="88" t="s">
        <v>969</v>
      </c>
      <c r="G48" s="88" t="s">
        <v>4228</v>
      </c>
      <c r="H48" s="88" t="s">
        <v>1175</v>
      </c>
      <c r="I48" s="88" t="s">
        <v>76</v>
      </c>
      <c r="J48" s="98" t="n">
        <v>0.89</v>
      </c>
      <c r="K48" s="88" t="s">
        <v>4179</v>
      </c>
      <c r="L48" s="98" t="n">
        <v>114.13</v>
      </c>
      <c r="M48" s="99" t="n">
        <v>99.2</v>
      </c>
      <c r="N48" s="90" t="s">
        <v>4180</v>
      </c>
      <c r="O48" s="100" t="s">
        <v>963</v>
      </c>
      <c r="P48" s="88"/>
      <c r="Q48" s="101" t="s">
        <v>889</v>
      </c>
      <c r="R48" s="102"/>
      <c r="S48" s="98" t="str">
        <f aca="false">IF(OR(R48="",J48=""),"",ROUND(J48*(1+R48/100),2))</f>
        <v/>
      </c>
      <c r="T48" s="103" t="n">
        <v>20</v>
      </c>
      <c r="U48" s="88" t="s">
        <v>93</v>
      </c>
      <c r="V48" s="104" t="s">
        <v>95</v>
      </c>
    </row>
    <row r="49" customFormat="false" ht="22.35" hidden="false" customHeight="false" outlineLevel="0" collapsed="false">
      <c r="A49" s="85" t="s">
        <v>4229</v>
      </c>
      <c r="B49" s="85" t="s">
        <v>1108</v>
      </c>
      <c r="C49" s="86" t="s">
        <v>893</v>
      </c>
      <c r="D49" s="87" t="s">
        <v>91</v>
      </c>
      <c r="E49" s="86"/>
      <c r="F49" s="85"/>
      <c r="G49" s="85"/>
      <c r="H49" s="85"/>
      <c r="I49" s="85" t="s">
        <v>894</v>
      </c>
      <c r="J49" s="107"/>
      <c r="K49" s="85"/>
      <c r="L49" s="107"/>
      <c r="M49" s="108"/>
      <c r="N49" s="87"/>
      <c r="O49" s="109" t="s">
        <v>52</v>
      </c>
      <c r="P49" s="85"/>
      <c r="Q49" s="110" t="s">
        <v>895</v>
      </c>
      <c r="R49" s="111"/>
      <c r="S49" s="107" t="str">
        <f aca="false">IF(OR(R49="",J49=""),"",ROUND(J49*(1+R49/100),2))</f>
        <v/>
      </c>
      <c r="T49" s="112" t="n">
        <v>20</v>
      </c>
      <c r="U49" s="85"/>
      <c r="V49" s="85"/>
    </row>
    <row r="50" customFormat="false" ht="23.85" hidden="false" customHeight="false" outlineLevel="0" collapsed="false">
      <c r="A50" s="24" t="s">
        <v>1181</v>
      </c>
      <c r="B50" s="24" t="s">
        <v>1108</v>
      </c>
      <c r="C50" s="23" t="s">
        <v>194</v>
      </c>
      <c r="D50" s="26" t="s">
        <v>91</v>
      </c>
      <c r="E50" s="23" t="s">
        <v>195</v>
      </c>
      <c r="F50" s="24" t="s">
        <v>961</v>
      </c>
      <c r="G50" s="24" t="s">
        <v>4230</v>
      </c>
      <c r="H50" s="24" t="s">
        <v>1182</v>
      </c>
      <c r="I50" s="24" t="s">
        <v>76</v>
      </c>
      <c r="J50" s="91" t="n">
        <v>10.27</v>
      </c>
      <c r="K50" s="24" t="s">
        <v>4198</v>
      </c>
      <c r="L50" s="91" t="n">
        <v>28.6</v>
      </c>
      <c r="M50" s="58" t="n">
        <v>64.1</v>
      </c>
      <c r="N50" s="26" t="s">
        <v>4180</v>
      </c>
      <c r="O50" s="26" t="s">
        <v>942</v>
      </c>
      <c r="P50" s="24"/>
      <c r="Q50" s="23"/>
      <c r="R50" s="92"/>
      <c r="S50" s="91" t="str">
        <f aca="false">IF(OR(R50="",J50=""),"",ROUND(J50*(1+R50/100),2))</f>
        <v/>
      </c>
      <c r="T50" s="93" t="n">
        <v>20</v>
      </c>
      <c r="U50" s="24" t="s">
        <v>93</v>
      </c>
      <c r="V50" s="61" t="s">
        <v>95</v>
      </c>
    </row>
    <row r="51" customFormat="false" ht="15" hidden="false" customHeight="false" outlineLevel="0" collapsed="false">
      <c r="A51" s="88" t="s">
        <v>1189</v>
      </c>
      <c r="B51" s="88" t="s">
        <v>1190</v>
      </c>
      <c r="C51" s="89" t="s">
        <v>196</v>
      </c>
      <c r="D51" s="90" t="s">
        <v>91</v>
      </c>
      <c r="E51" s="89" t="s">
        <v>197</v>
      </c>
      <c r="F51" s="88" t="s">
        <v>1191</v>
      </c>
      <c r="G51" s="88" t="s">
        <v>4231</v>
      </c>
      <c r="H51" s="88" t="s">
        <v>1192</v>
      </c>
      <c r="I51" s="88" t="s">
        <v>76</v>
      </c>
      <c r="J51" s="98" t="n">
        <v>10.74</v>
      </c>
      <c r="K51" s="88" t="s">
        <v>939</v>
      </c>
      <c r="L51" s="98"/>
      <c r="M51" s="99"/>
      <c r="N51" s="90" t="s">
        <v>4180</v>
      </c>
      <c r="O51" s="100" t="s">
        <v>1052</v>
      </c>
      <c r="P51" s="88"/>
      <c r="Q51" s="101" t="s">
        <v>889</v>
      </c>
      <c r="R51" s="102"/>
      <c r="S51" s="98" t="str">
        <f aca="false">IF(OR(R51="",J51=""),"",ROUND(J51*(1+R51/100),2))</f>
        <v/>
      </c>
      <c r="T51" s="103" t="n">
        <v>20</v>
      </c>
      <c r="U51" s="88" t="s">
        <v>93</v>
      </c>
      <c r="V51" s="104" t="s">
        <v>95</v>
      </c>
    </row>
    <row r="52" customFormat="false" ht="15" hidden="false" customHeight="false" outlineLevel="0" collapsed="false">
      <c r="A52" s="88" t="s">
        <v>1193</v>
      </c>
      <c r="B52" s="88" t="s">
        <v>1190</v>
      </c>
      <c r="C52" s="89" t="s">
        <v>198</v>
      </c>
      <c r="D52" s="90" t="s">
        <v>91</v>
      </c>
      <c r="E52" s="89" t="s">
        <v>199</v>
      </c>
      <c r="F52" s="88" t="s">
        <v>1191</v>
      </c>
      <c r="G52" s="88" t="s">
        <v>4232</v>
      </c>
      <c r="H52" s="88" t="s">
        <v>1196</v>
      </c>
      <c r="I52" s="88" t="s">
        <v>76</v>
      </c>
      <c r="J52" s="98" t="n">
        <v>8.17</v>
      </c>
      <c r="K52" s="88" t="s">
        <v>4233</v>
      </c>
      <c r="L52" s="98" t="n">
        <v>29.88</v>
      </c>
      <c r="M52" s="99" t="n">
        <v>72.7</v>
      </c>
      <c r="N52" s="90" t="s">
        <v>4180</v>
      </c>
      <c r="O52" s="100" t="s">
        <v>963</v>
      </c>
      <c r="P52" s="88"/>
      <c r="Q52" s="101" t="s">
        <v>889</v>
      </c>
      <c r="R52" s="102"/>
      <c r="S52" s="98" t="str">
        <f aca="false">IF(OR(R52="",J52=""),"",ROUND(J52*(1+R52/100),2))</f>
        <v/>
      </c>
      <c r="T52" s="103" t="n">
        <v>20</v>
      </c>
      <c r="U52" s="88" t="s">
        <v>93</v>
      </c>
      <c r="V52" s="104" t="s">
        <v>95</v>
      </c>
    </row>
    <row r="53" customFormat="false" ht="23.85" hidden="false" customHeight="false" outlineLevel="0" collapsed="false">
      <c r="A53" s="20" t="s">
        <v>1204</v>
      </c>
      <c r="B53" s="20" t="s">
        <v>1190</v>
      </c>
      <c r="C53" s="19" t="s">
        <v>200</v>
      </c>
      <c r="D53" s="22" t="s">
        <v>91</v>
      </c>
      <c r="E53" s="19" t="s">
        <v>201</v>
      </c>
      <c r="F53" s="20"/>
      <c r="G53" s="20" t="s">
        <v>4234</v>
      </c>
      <c r="H53" s="20" t="s">
        <v>1205</v>
      </c>
      <c r="I53" s="74" t="s">
        <v>78</v>
      </c>
      <c r="J53" s="94" t="n">
        <v>6.64</v>
      </c>
      <c r="K53" s="74" t="s">
        <v>943</v>
      </c>
      <c r="L53" s="95"/>
      <c r="M53" s="52"/>
      <c r="N53" s="22" t="s">
        <v>4180</v>
      </c>
      <c r="O53" s="96" t="s">
        <v>946</v>
      </c>
      <c r="P53" s="20" t="s">
        <v>949</v>
      </c>
      <c r="Q53" s="19"/>
      <c r="R53" s="92"/>
      <c r="S53" s="95" t="str">
        <f aca="false">IF(OR(R53="",J53=""),"",ROUND(J53*(1+R53/100),2))</f>
        <v/>
      </c>
      <c r="T53" s="97" t="n">
        <v>20</v>
      </c>
      <c r="U53" s="20" t="s">
        <v>93</v>
      </c>
      <c r="V53" s="55" t="s">
        <v>95</v>
      </c>
    </row>
    <row r="54" customFormat="false" ht="22.35" hidden="false" customHeight="false" outlineLevel="0" collapsed="false">
      <c r="A54" s="85" t="s">
        <v>4235</v>
      </c>
      <c r="B54" s="85" t="s">
        <v>1190</v>
      </c>
      <c r="C54" s="86" t="s">
        <v>897</v>
      </c>
      <c r="D54" s="87" t="s">
        <v>188</v>
      </c>
      <c r="E54" s="86"/>
      <c r="F54" s="85"/>
      <c r="G54" s="85"/>
      <c r="H54" s="85"/>
      <c r="I54" s="85" t="s">
        <v>894</v>
      </c>
      <c r="J54" s="107"/>
      <c r="K54" s="85"/>
      <c r="L54" s="107"/>
      <c r="M54" s="108"/>
      <c r="N54" s="87"/>
      <c r="O54" s="109" t="s">
        <v>52</v>
      </c>
      <c r="P54" s="85"/>
      <c r="Q54" s="110" t="s">
        <v>895</v>
      </c>
      <c r="R54" s="111"/>
      <c r="S54" s="107" t="str">
        <f aca="false">IF(OR(R54="",J54=""),"",ROUND(J54*(1+R54/100),2))</f>
        <v/>
      </c>
      <c r="T54" s="112" t="n">
        <v>20</v>
      </c>
      <c r="U54" s="85"/>
      <c r="V54" s="85"/>
    </row>
    <row r="55" customFormat="false" ht="23.85" hidden="false" customHeight="false" outlineLevel="0" collapsed="false">
      <c r="A55" s="88" t="s">
        <v>1208</v>
      </c>
      <c r="B55" s="88" t="s">
        <v>1190</v>
      </c>
      <c r="C55" s="89" t="s">
        <v>202</v>
      </c>
      <c r="D55" s="90" t="s">
        <v>203</v>
      </c>
      <c r="E55" s="89" t="s">
        <v>204</v>
      </c>
      <c r="F55" s="88" t="s">
        <v>1211</v>
      </c>
      <c r="G55" s="88" t="s">
        <v>4236</v>
      </c>
      <c r="H55" s="88" t="s">
        <v>1212</v>
      </c>
      <c r="I55" s="88" t="s">
        <v>76</v>
      </c>
      <c r="J55" s="98" t="n">
        <v>27.54</v>
      </c>
      <c r="K55" s="88" t="s">
        <v>4179</v>
      </c>
      <c r="L55" s="98" t="n">
        <v>108.93</v>
      </c>
      <c r="M55" s="99" t="n">
        <v>74.7</v>
      </c>
      <c r="N55" s="90" t="s">
        <v>4180</v>
      </c>
      <c r="O55" s="100" t="s">
        <v>963</v>
      </c>
      <c r="P55" s="88"/>
      <c r="Q55" s="101" t="s">
        <v>889</v>
      </c>
      <c r="R55" s="102"/>
      <c r="S55" s="98" t="str">
        <f aca="false">IF(OR(R55="",J55=""),"",ROUND(J55*(1+R55/100),2))</f>
        <v/>
      </c>
      <c r="T55" s="103" t="n">
        <v>20</v>
      </c>
      <c r="U55" s="88" t="s">
        <v>93</v>
      </c>
      <c r="V55" s="104" t="s">
        <v>95</v>
      </c>
    </row>
  </sheetData>
  <autoFilter ref="A1:V55"/>
  <hyperlinks>
    <hyperlink ref="V2" r:id="rId1" display="Voir la fiche"/>
    <hyperlink ref="V3" r:id="rId2" display="Voir la fiche"/>
    <hyperlink ref="V4" r:id="rId3" display="Voir la fiche"/>
    <hyperlink ref="V5" r:id="rId4" display="Voir la fiche"/>
    <hyperlink ref="V6" r:id="rId5" display="Voir la fiche"/>
    <hyperlink ref="V7" r:id="rId6" display="Voir la fiche"/>
    <hyperlink ref="V8" r:id="rId7" display="Voir la fiche"/>
    <hyperlink ref="V9" r:id="rId8" display="Voir la fiche"/>
    <hyperlink ref="V10" r:id="rId9" display="Voir la fiche"/>
    <hyperlink ref="V12" r:id="rId10" display="Voir la fiche"/>
    <hyperlink ref="V13" r:id="rId11" display="Voir la fiche"/>
    <hyperlink ref="V14" r:id="rId12" display="Voir la fiche"/>
    <hyperlink ref="V15" r:id="rId13" display="Voir la fiche"/>
    <hyperlink ref="V16" r:id="rId14" display="Voir la fiche"/>
    <hyperlink ref="V19" r:id="rId15" display="Voir la fiche"/>
    <hyperlink ref="V20" r:id="rId16" display="Voir la fiche"/>
    <hyperlink ref="V21" r:id="rId17" display="Voir la fiche"/>
    <hyperlink ref="V22" r:id="rId18" display="Voir la fiche"/>
    <hyperlink ref="V23" r:id="rId19" display="Voir la fiche"/>
    <hyperlink ref="V26" r:id="rId20" display="Voir la fiche"/>
    <hyperlink ref="V27" r:id="rId21" display="Voir la fiche"/>
    <hyperlink ref="V29" r:id="rId22" display="Voir la fiche"/>
    <hyperlink ref="V30" r:id="rId23" display="Voir la fiche"/>
    <hyperlink ref="V31" r:id="rId24" display="Voir la fiche"/>
    <hyperlink ref="V32" r:id="rId25" display="Voir la fiche"/>
    <hyperlink ref="V33" r:id="rId26" display="Voir la fiche"/>
    <hyperlink ref="V34" r:id="rId27" display="Voir la fiche"/>
    <hyperlink ref="V35" r:id="rId28" display="Voir la fiche"/>
    <hyperlink ref="V37" r:id="rId29" display="Voir la fiche"/>
    <hyperlink ref="V38" r:id="rId30" display="Voir la fiche"/>
    <hyperlink ref="V39" r:id="rId31" display="Voir la fiche"/>
    <hyperlink ref="V40" r:id="rId32" display="Voir la fiche"/>
    <hyperlink ref="V42" r:id="rId33" display="Voir la fiche"/>
    <hyperlink ref="V43" r:id="rId34" display="Voir la fiche"/>
    <hyperlink ref="V44" r:id="rId35" display="Voir la fiche"/>
    <hyperlink ref="V45" r:id="rId36" display="Voir la fiche"/>
    <hyperlink ref="V46" r:id="rId37" display="Voir la fiche"/>
    <hyperlink ref="V47" r:id="rId38" display="Voir la fiche"/>
    <hyperlink ref="V48" r:id="rId39" display="Voir la fiche"/>
    <hyperlink ref="V50" r:id="rId40" display="Voir la fiche"/>
    <hyperlink ref="V51" r:id="rId41" display="Voir la fiche"/>
    <hyperlink ref="V52" r:id="rId42" display="Voir la fiche"/>
    <hyperlink ref="V53" r:id="rId43" display="Voir la fiche"/>
    <hyperlink ref="V55" r:id="rId44"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4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V2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22.35" hidden="false" customHeight="false" outlineLevel="0" collapsed="false">
      <c r="A2" s="85" t="s">
        <v>4237</v>
      </c>
      <c r="B2" s="85" t="s">
        <v>1218</v>
      </c>
      <c r="C2" s="86" t="s">
        <v>898</v>
      </c>
      <c r="D2" s="87" t="s">
        <v>145</v>
      </c>
      <c r="E2" s="86"/>
      <c r="F2" s="85"/>
      <c r="G2" s="85"/>
      <c r="H2" s="85"/>
      <c r="I2" s="85" t="s">
        <v>894</v>
      </c>
      <c r="J2" s="107"/>
      <c r="K2" s="85"/>
      <c r="L2" s="107"/>
      <c r="M2" s="108"/>
      <c r="N2" s="87"/>
      <c r="O2" s="109" t="s">
        <v>52</v>
      </c>
      <c r="P2" s="85"/>
      <c r="Q2" s="110" t="s">
        <v>895</v>
      </c>
      <c r="R2" s="111"/>
      <c r="S2" s="107" t="str">
        <f aca="false">IF(OR(R2="",J2=""),"",ROUND(J2*(1+R2/100),2))</f>
        <v/>
      </c>
      <c r="T2" s="112" t="n">
        <v>20</v>
      </c>
      <c r="U2" s="85"/>
      <c r="V2" s="85"/>
    </row>
    <row r="3" customFormat="false" ht="23.85" hidden="false" customHeight="false" outlineLevel="0" collapsed="false">
      <c r="A3" s="88" t="s">
        <v>1217</v>
      </c>
      <c r="B3" s="88" t="s">
        <v>1218</v>
      </c>
      <c r="C3" s="89" t="s">
        <v>205</v>
      </c>
      <c r="D3" s="90" t="s">
        <v>137</v>
      </c>
      <c r="E3" s="89" t="s">
        <v>206</v>
      </c>
      <c r="F3" s="88" t="s">
        <v>961</v>
      </c>
      <c r="G3" s="88" t="s">
        <v>4238</v>
      </c>
      <c r="H3" s="88" t="s">
        <v>1221</v>
      </c>
      <c r="I3" s="88" t="s">
        <v>76</v>
      </c>
      <c r="J3" s="98" t="n">
        <v>152.8</v>
      </c>
      <c r="K3" s="88" t="s">
        <v>939</v>
      </c>
      <c r="L3" s="98"/>
      <c r="M3" s="99"/>
      <c r="N3" s="90" t="s">
        <v>4180</v>
      </c>
      <c r="O3" s="100" t="s">
        <v>963</v>
      </c>
      <c r="P3" s="88"/>
      <c r="Q3" s="101" t="s">
        <v>889</v>
      </c>
      <c r="R3" s="102"/>
      <c r="S3" s="98" t="str">
        <f aca="false">IF(OR(R3="",J3=""),"",ROUND(J3*(1+R3/100),2))</f>
        <v/>
      </c>
      <c r="T3" s="103" t="n">
        <v>20</v>
      </c>
      <c r="U3" s="88" t="s">
        <v>93</v>
      </c>
      <c r="V3" s="104" t="s">
        <v>95</v>
      </c>
    </row>
    <row r="4" customFormat="false" ht="23.85" hidden="false" customHeight="false" outlineLevel="0" collapsed="false">
      <c r="A4" s="24" t="s">
        <v>1222</v>
      </c>
      <c r="B4" s="24" t="s">
        <v>1218</v>
      </c>
      <c r="C4" s="23" t="s">
        <v>207</v>
      </c>
      <c r="D4" s="26" t="s">
        <v>91</v>
      </c>
      <c r="E4" s="23" t="s">
        <v>208</v>
      </c>
      <c r="F4" s="24"/>
      <c r="G4" s="24" t="s">
        <v>4239</v>
      </c>
      <c r="H4" s="24" t="s">
        <v>1223</v>
      </c>
      <c r="I4" s="74" t="s">
        <v>78</v>
      </c>
      <c r="J4" s="94" t="n">
        <v>78.64</v>
      </c>
      <c r="K4" s="74" t="s">
        <v>943</v>
      </c>
      <c r="L4" s="91"/>
      <c r="M4" s="58"/>
      <c r="N4" s="26" t="s">
        <v>4180</v>
      </c>
      <c r="O4" s="96" t="s">
        <v>1016</v>
      </c>
      <c r="P4" s="24"/>
      <c r="Q4" s="105" t="s">
        <v>889</v>
      </c>
      <c r="R4" s="92"/>
      <c r="S4" s="91" t="str">
        <f aca="false">IF(OR(R4="",J4=""),"",ROUND(J4*(1+R4/100),2))</f>
        <v/>
      </c>
      <c r="T4" s="93" t="n">
        <v>20</v>
      </c>
      <c r="U4" s="24" t="s">
        <v>93</v>
      </c>
      <c r="V4" s="24"/>
    </row>
    <row r="5" customFormat="false" ht="23.85" hidden="false" customHeight="false" outlineLevel="0" collapsed="false">
      <c r="A5" s="20" t="s">
        <v>1224</v>
      </c>
      <c r="B5" s="20" t="s">
        <v>1218</v>
      </c>
      <c r="C5" s="19" t="s">
        <v>209</v>
      </c>
      <c r="D5" s="22" t="s">
        <v>91</v>
      </c>
      <c r="E5" s="19" t="s">
        <v>210</v>
      </c>
      <c r="F5" s="20" t="s">
        <v>981</v>
      </c>
      <c r="G5" s="20"/>
      <c r="H5" s="20" t="s">
        <v>1225</v>
      </c>
      <c r="I5" s="74" t="s">
        <v>77</v>
      </c>
      <c r="J5" s="94" t="n">
        <v>24.07</v>
      </c>
      <c r="K5" s="74" t="s">
        <v>979</v>
      </c>
      <c r="L5" s="95" t="n">
        <v>27.05</v>
      </c>
      <c r="M5" s="52" t="n">
        <v>11</v>
      </c>
      <c r="N5" s="22" t="s">
        <v>4180</v>
      </c>
      <c r="O5" s="96" t="s">
        <v>983</v>
      </c>
      <c r="P5" s="20"/>
      <c r="Q5" s="19"/>
      <c r="R5" s="92"/>
      <c r="S5" s="95" t="str">
        <f aca="false">IF(OR(R5="",J5=""),"",ROUND(J5*(1+R5/100),2))</f>
        <v/>
      </c>
      <c r="T5" s="97" t="n">
        <v>20</v>
      </c>
      <c r="U5" s="20" t="s">
        <v>114</v>
      </c>
      <c r="V5" s="20"/>
    </row>
    <row r="6" customFormat="false" ht="23.85" hidden="false" customHeight="false" outlineLevel="0" collapsed="false">
      <c r="A6" s="24" t="s">
        <v>1226</v>
      </c>
      <c r="B6" s="24" t="s">
        <v>1218</v>
      </c>
      <c r="C6" s="23" t="s">
        <v>211</v>
      </c>
      <c r="D6" s="26" t="s">
        <v>91</v>
      </c>
      <c r="E6" s="23" t="s">
        <v>212</v>
      </c>
      <c r="F6" s="24" t="s">
        <v>969</v>
      </c>
      <c r="G6" s="24" t="s">
        <v>4240</v>
      </c>
      <c r="H6" s="24" t="s">
        <v>1227</v>
      </c>
      <c r="I6" s="24" t="s">
        <v>76</v>
      </c>
      <c r="J6" s="91" t="n">
        <v>145.13</v>
      </c>
      <c r="K6" s="24" t="s">
        <v>4179</v>
      </c>
      <c r="L6" s="91" t="n">
        <v>212.84</v>
      </c>
      <c r="M6" s="58" t="n">
        <v>31.8</v>
      </c>
      <c r="N6" s="26" t="s">
        <v>4180</v>
      </c>
      <c r="O6" s="26" t="s">
        <v>942</v>
      </c>
      <c r="P6" s="24"/>
      <c r="Q6" s="23"/>
      <c r="R6" s="92"/>
      <c r="S6" s="91" t="str">
        <f aca="false">IF(OR(R6="",J6=""),"",ROUND(J6*(1+R6/100),2))</f>
        <v/>
      </c>
      <c r="T6" s="93" t="n">
        <v>20</v>
      </c>
      <c r="U6" s="24" t="s">
        <v>93</v>
      </c>
      <c r="V6" s="61" t="s">
        <v>95</v>
      </c>
    </row>
    <row r="7" customFormat="false" ht="15" hidden="false" customHeight="false" outlineLevel="0" collapsed="false">
      <c r="A7" s="20" t="s">
        <v>1230</v>
      </c>
      <c r="B7" s="20" t="s">
        <v>1218</v>
      </c>
      <c r="C7" s="19" t="s">
        <v>213</v>
      </c>
      <c r="D7" s="22" t="s">
        <v>91</v>
      </c>
      <c r="E7" s="19" t="s">
        <v>214</v>
      </c>
      <c r="F7" s="20" t="s">
        <v>1077</v>
      </c>
      <c r="G7" s="20"/>
      <c r="H7" s="20" t="s">
        <v>1231</v>
      </c>
      <c r="I7" s="74" t="s">
        <v>77</v>
      </c>
      <c r="J7" s="94" t="n">
        <v>337.88</v>
      </c>
      <c r="K7" s="74" t="s">
        <v>979</v>
      </c>
      <c r="L7" s="95" t="n">
        <v>438.81</v>
      </c>
      <c r="M7" s="52" t="n">
        <v>23</v>
      </c>
      <c r="N7" s="22" t="s">
        <v>4180</v>
      </c>
      <c r="O7" s="96" t="s">
        <v>983</v>
      </c>
      <c r="P7" s="20"/>
      <c r="Q7" s="19"/>
      <c r="R7" s="92"/>
      <c r="S7" s="95" t="str">
        <f aca="false">IF(OR(R7="",J7=""),"",ROUND(J7*(1+R7/100),2))</f>
        <v/>
      </c>
      <c r="T7" s="97" t="n">
        <v>20</v>
      </c>
      <c r="U7" s="20" t="s">
        <v>114</v>
      </c>
      <c r="V7" s="20"/>
    </row>
    <row r="8" customFormat="false" ht="15" hidden="false" customHeight="false" outlineLevel="0" collapsed="false">
      <c r="A8" s="24" t="s">
        <v>1232</v>
      </c>
      <c r="B8" s="24" t="s">
        <v>1233</v>
      </c>
      <c r="C8" s="23" t="s">
        <v>215</v>
      </c>
      <c r="D8" s="26" t="s">
        <v>91</v>
      </c>
      <c r="E8" s="23" t="s">
        <v>216</v>
      </c>
      <c r="F8" s="24" t="s">
        <v>1234</v>
      </c>
      <c r="G8" s="24"/>
      <c r="H8" s="24" t="s">
        <v>1235</v>
      </c>
      <c r="I8" s="74" t="s">
        <v>77</v>
      </c>
      <c r="J8" s="94" t="n">
        <v>36.99</v>
      </c>
      <c r="K8" s="74" t="s">
        <v>4241</v>
      </c>
      <c r="L8" s="91" t="n">
        <v>36.99</v>
      </c>
      <c r="M8" s="58"/>
      <c r="N8" s="26" t="s">
        <v>4180</v>
      </c>
      <c r="O8" s="96" t="s">
        <v>983</v>
      </c>
      <c r="P8" s="24"/>
      <c r="Q8" s="23"/>
      <c r="R8" s="92"/>
      <c r="S8" s="91" t="str">
        <f aca="false">IF(OR(R8="",J8=""),"",ROUND(J8*(1+R8/100),2))</f>
        <v/>
      </c>
      <c r="T8" s="93" t="n">
        <v>20</v>
      </c>
      <c r="U8" s="24" t="s">
        <v>114</v>
      </c>
      <c r="V8" s="24"/>
    </row>
    <row r="9" customFormat="false" ht="23.85" hidden="false" customHeight="false" outlineLevel="0" collapsed="false">
      <c r="A9" s="88" t="s">
        <v>1239</v>
      </c>
      <c r="B9" s="88" t="s">
        <v>1233</v>
      </c>
      <c r="C9" s="89" t="s">
        <v>217</v>
      </c>
      <c r="D9" s="90" t="s">
        <v>91</v>
      </c>
      <c r="E9" s="89" t="s">
        <v>218</v>
      </c>
      <c r="F9" s="88" t="s">
        <v>1240</v>
      </c>
      <c r="G9" s="88" t="s">
        <v>4242</v>
      </c>
      <c r="H9" s="88" t="s">
        <v>1241</v>
      </c>
      <c r="I9" s="88" t="s">
        <v>76</v>
      </c>
      <c r="J9" s="98" t="n">
        <v>164.7</v>
      </c>
      <c r="K9" s="88" t="s">
        <v>939</v>
      </c>
      <c r="L9" s="98"/>
      <c r="M9" s="99"/>
      <c r="N9" s="90" t="s">
        <v>4180</v>
      </c>
      <c r="O9" s="100" t="s">
        <v>963</v>
      </c>
      <c r="P9" s="88"/>
      <c r="Q9" s="101" t="s">
        <v>889</v>
      </c>
      <c r="R9" s="102"/>
      <c r="S9" s="98" t="str">
        <f aca="false">IF(OR(R9="",J9=""),"",ROUND(J9*(1+R9/100),2))</f>
        <v/>
      </c>
      <c r="T9" s="103" t="n">
        <v>20</v>
      </c>
      <c r="U9" s="88" t="s">
        <v>93</v>
      </c>
      <c r="V9" s="104" t="s">
        <v>95</v>
      </c>
    </row>
    <row r="10" customFormat="false" ht="22.35" hidden="false" customHeight="false" outlineLevel="0" collapsed="false">
      <c r="A10" s="85" t="s">
        <v>4243</v>
      </c>
      <c r="B10" s="85" t="s">
        <v>1233</v>
      </c>
      <c r="C10" s="86" t="s">
        <v>899</v>
      </c>
      <c r="D10" s="87" t="s">
        <v>91</v>
      </c>
      <c r="E10" s="86"/>
      <c r="F10" s="85"/>
      <c r="G10" s="85"/>
      <c r="H10" s="85"/>
      <c r="I10" s="85" t="s">
        <v>894</v>
      </c>
      <c r="J10" s="107"/>
      <c r="K10" s="85"/>
      <c r="L10" s="107"/>
      <c r="M10" s="108"/>
      <c r="N10" s="87"/>
      <c r="O10" s="109" t="s">
        <v>52</v>
      </c>
      <c r="P10" s="85"/>
      <c r="Q10" s="110" t="s">
        <v>895</v>
      </c>
      <c r="R10" s="111"/>
      <c r="S10" s="107" t="str">
        <f aca="false">IF(OR(R10="",J10=""),"",ROUND(J10*(1+R10/100),2))</f>
        <v/>
      </c>
      <c r="T10" s="112" t="n">
        <v>20</v>
      </c>
      <c r="U10" s="85"/>
      <c r="V10" s="85"/>
    </row>
    <row r="11" customFormat="false" ht="23.85" hidden="false" customHeight="false" outlineLevel="0" collapsed="false">
      <c r="A11" s="88" t="s">
        <v>1242</v>
      </c>
      <c r="B11" s="88" t="s">
        <v>1233</v>
      </c>
      <c r="C11" s="89" t="s">
        <v>219</v>
      </c>
      <c r="D11" s="90" t="s">
        <v>91</v>
      </c>
      <c r="E11" s="89" t="s">
        <v>220</v>
      </c>
      <c r="F11" s="88" t="s">
        <v>1243</v>
      </c>
      <c r="G11" s="88" t="s">
        <v>4244</v>
      </c>
      <c r="H11" s="88" t="s">
        <v>1244</v>
      </c>
      <c r="I11" s="88" t="s">
        <v>76</v>
      </c>
      <c r="J11" s="98" t="n">
        <v>224.6</v>
      </c>
      <c r="K11" s="88" t="s">
        <v>4179</v>
      </c>
      <c r="L11" s="98" t="n">
        <v>549.98</v>
      </c>
      <c r="M11" s="99" t="n">
        <v>59.2</v>
      </c>
      <c r="N11" s="90" t="s">
        <v>4180</v>
      </c>
      <c r="O11" s="100" t="s">
        <v>963</v>
      </c>
      <c r="P11" s="88"/>
      <c r="Q11" s="101" t="s">
        <v>889</v>
      </c>
      <c r="R11" s="102"/>
      <c r="S11" s="98" t="str">
        <f aca="false">IF(OR(R11="",J11=""),"",ROUND(J11*(1+R11/100),2))</f>
        <v/>
      </c>
      <c r="T11" s="103" t="n">
        <v>20</v>
      </c>
      <c r="U11" s="88" t="s">
        <v>93</v>
      </c>
      <c r="V11" s="104" t="s">
        <v>95</v>
      </c>
    </row>
    <row r="12" customFormat="false" ht="35.05" hidden="false" customHeight="false" outlineLevel="0" collapsed="false">
      <c r="A12" s="24" t="s">
        <v>1247</v>
      </c>
      <c r="B12" s="24" t="s">
        <v>1248</v>
      </c>
      <c r="C12" s="23" t="s">
        <v>221</v>
      </c>
      <c r="D12" s="26" t="s">
        <v>91</v>
      </c>
      <c r="E12" s="23" t="s">
        <v>222</v>
      </c>
      <c r="F12" s="24" t="s">
        <v>1249</v>
      </c>
      <c r="G12" s="24"/>
      <c r="H12" s="24" t="s">
        <v>1250</v>
      </c>
      <c r="I12" s="74" t="s">
        <v>77</v>
      </c>
      <c r="J12" s="94" t="n">
        <v>581.48</v>
      </c>
      <c r="K12" s="74" t="s">
        <v>979</v>
      </c>
      <c r="L12" s="91" t="n">
        <v>775.31</v>
      </c>
      <c r="M12" s="58" t="n">
        <v>25</v>
      </c>
      <c r="N12" s="26" t="s">
        <v>4180</v>
      </c>
      <c r="O12" s="96" t="s">
        <v>983</v>
      </c>
      <c r="P12" s="24"/>
      <c r="Q12" s="23"/>
      <c r="R12" s="92"/>
      <c r="S12" s="91" t="str">
        <f aca="false">IF(OR(R12="",J12=""),"",ROUND(J12*(1+R12/100),2))</f>
        <v/>
      </c>
      <c r="T12" s="93" t="n">
        <v>20</v>
      </c>
      <c r="U12" s="24" t="s">
        <v>114</v>
      </c>
      <c r="V12" s="24"/>
    </row>
    <row r="13" customFormat="false" ht="15" hidden="false" customHeight="false" outlineLevel="0" collapsed="false">
      <c r="A13" s="20" t="s">
        <v>1251</v>
      </c>
      <c r="B13" s="20" t="s">
        <v>1248</v>
      </c>
      <c r="C13" s="19" t="s">
        <v>223</v>
      </c>
      <c r="D13" s="22" t="s">
        <v>91</v>
      </c>
      <c r="E13" s="19" t="s">
        <v>224</v>
      </c>
      <c r="F13" s="20" t="s">
        <v>1252</v>
      </c>
      <c r="G13" s="20" t="s">
        <v>4245</v>
      </c>
      <c r="H13" s="20" t="s">
        <v>1253</v>
      </c>
      <c r="I13" s="20" t="s">
        <v>76</v>
      </c>
      <c r="J13" s="95" t="n">
        <v>30.02</v>
      </c>
      <c r="K13" s="20" t="s">
        <v>939</v>
      </c>
      <c r="L13" s="95"/>
      <c r="M13" s="52"/>
      <c r="N13" s="22" t="s">
        <v>4180</v>
      </c>
      <c r="O13" s="22" t="s">
        <v>942</v>
      </c>
      <c r="P13" s="20"/>
      <c r="Q13" s="19"/>
      <c r="R13" s="92"/>
      <c r="S13" s="95" t="str">
        <f aca="false">IF(OR(R13="",J13=""),"",ROUND(J13*(1+R13/100),2))</f>
        <v/>
      </c>
      <c r="T13" s="97" t="n">
        <v>20</v>
      </c>
      <c r="U13" s="20" t="s">
        <v>93</v>
      </c>
      <c r="V13" s="55" t="s">
        <v>95</v>
      </c>
    </row>
    <row r="14" customFormat="false" ht="35.05" hidden="false" customHeight="false" outlineLevel="0" collapsed="false">
      <c r="A14" s="24" t="s">
        <v>1254</v>
      </c>
      <c r="B14" s="24" t="s">
        <v>1248</v>
      </c>
      <c r="C14" s="23" t="s">
        <v>225</v>
      </c>
      <c r="D14" s="26" t="s">
        <v>91</v>
      </c>
      <c r="E14" s="23" t="s">
        <v>226</v>
      </c>
      <c r="F14" s="24" t="s">
        <v>1255</v>
      </c>
      <c r="G14" s="24"/>
      <c r="H14" s="24" t="s">
        <v>1256</v>
      </c>
      <c r="I14" s="74" t="s">
        <v>77</v>
      </c>
      <c r="J14" s="94" t="n">
        <v>854.25</v>
      </c>
      <c r="K14" s="74" t="s">
        <v>979</v>
      </c>
      <c r="L14" s="91" t="n">
        <v>1256.25</v>
      </c>
      <c r="M14" s="58" t="n">
        <v>32</v>
      </c>
      <c r="N14" s="26" t="s">
        <v>4180</v>
      </c>
      <c r="O14" s="96" t="s">
        <v>983</v>
      </c>
      <c r="P14" s="24"/>
      <c r="Q14" s="23"/>
      <c r="R14" s="92"/>
      <c r="S14" s="91" t="str">
        <f aca="false">IF(OR(R14="",J14=""),"",ROUND(J14*(1+R14/100),2))</f>
        <v/>
      </c>
      <c r="T14" s="93" t="n">
        <v>20</v>
      </c>
      <c r="U14" s="24" t="s">
        <v>114</v>
      </c>
      <c r="V14" s="24"/>
    </row>
    <row r="15" customFormat="false" ht="15" hidden="false" customHeight="false" outlineLevel="0" collapsed="false">
      <c r="A15" s="88" t="s">
        <v>1257</v>
      </c>
      <c r="B15" s="88" t="s">
        <v>1258</v>
      </c>
      <c r="C15" s="89" t="s">
        <v>227</v>
      </c>
      <c r="D15" s="90" t="s">
        <v>91</v>
      </c>
      <c r="E15" s="89" t="s">
        <v>228</v>
      </c>
      <c r="F15" s="88" t="s">
        <v>1259</v>
      </c>
      <c r="G15" s="88" t="s">
        <v>4246</v>
      </c>
      <c r="H15" s="88" t="s">
        <v>1260</v>
      </c>
      <c r="I15" s="88" t="s">
        <v>76</v>
      </c>
      <c r="J15" s="98" t="n">
        <v>509.9</v>
      </c>
      <c r="K15" s="88" t="s">
        <v>939</v>
      </c>
      <c r="L15" s="98"/>
      <c r="M15" s="99"/>
      <c r="N15" s="90" t="s">
        <v>4180</v>
      </c>
      <c r="O15" s="100" t="s">
        <v>963</v>
      </c>
      <c r="P15" s="88"/>
      <c r="Q15" s="101" t="s">
        <v>889</v>
      </c>
      <c r="R15" s="102"/>
      <c r="S15" s="98" t="str">
        <f aca="false">IF(OR(R15="",J15=""),"",ROUND(J15*(1+R15/100),2))</f>
        <v/>
      </c>
      <c r="T15" s="103" t="n">
        <v>20</v>
      </c>
      <c r="U15" s="88" t="s">
        <v>93</v>
      </c>
      <c r="V15" s="104" t="s">
        <v>95</v>
      </c>
    </row>
    <row r="16" customFormat="false" ht="15" hidden="false" customHeight="false" outlineLevel="0" collapsed="false">
      <c r="A16" s="24" t="s">
        <v>1261</v>
      </c>
      <c r="B16" s="24" t="s">
        <v>1258</v>
      </c>
      <c r="C16" s="23" t="s">
        <v>229</v>
      </c>
      <c r="D16" s="26" t="s">
        <v>91</v>
      </c>
      <c r="E16" s="23" t="s">
        <v>230</v>
      </c>
      <c r="F16" s="24" t="s">
        <v>1259</v>
      </c>
      <c r="G16" s="24" t="s">
        <v>4247</v>
      </c>
      <c r="H16" s="24" t="s">
        <v>1262</v>
      </c>
      <c r="I16" s="24" t="s">
        <v>76</v>
      </c>
      <c r="J16" s="91" t="n">
        <v>1.14</v>
      </c>
      <c r="K16" s="24" t="s">
        <v>4179</v>
      </c>
      <c r="L16" s="91" t="n">
        <v>3.03</v>
      </c>
      <c r="M16" s="58" t="n">
        <v>62.4</v>
      </c>
      <c r="N16" s="26" t="s">
        <v>4180</v>
      </c>
      <c r="O16" s="26" t="s">
        <v>942</v>
      </c>
      <c r="P16" s="24"/>
      <c r="Q16" s="23"/>
      <c r="R16" s="92"/>
      <c r="S16" s="91" t="str">
        <f aca="false">IF(OR(R16="",J16=""),"",ROUND(J16*(1+R16/100),2))</f>
        <v/>
      </c>
      <c r="T16" s="93" t="n">
        <v>20</v>
      </c>
      <c r="U16" s="24" t="s">
        <v>93</v>
      </c>
      <c r="V16" s="61" t="s">
        <v>95</v>
      </c>
    </row>
    <row r="17" customFormat="false" ht="15" hidden="false" customHeight="false" outlineLevel="0" collapsed="false">
      <c r="A17" s="88" t="s">
        <v>1265</v>
      </c>
      <c r="B17" s="88" t="s">
        <v>1258</v>
      </c>
      <c r="C17" s="89" t="s">
        <v>231</v>
      </c>
      <c r="D17" s="90" t="s">
        <v>91</v>
      </c>
      <c r="E17" s="89" t="s">
        <v>232</v>
      </c>
      <c r="F17" s="88" t="s">
        <v>1266</v>
      </c>
      <c r="G17" s="88" t="s">
        <v>4248</v>
      </c>
      <c r="H17" s="88" t="s">
        <v>1267</v>
      </c>
      <c r="I17" s="88" t="s">
        <v>76</v>
      </c>
      <c r="J17" s="98" t="n">
        <v>54</v>
      </c>
      <c r="K17" s="88" t="s">
        <v>4179</v>
      </c>
      <c r="L17" s="98" t="n">
        <v>123.25</v>
      </c>
      <c r="M17" s="99" t="n">
        <v>56.2</v>
      </c>
      <c r="N17" s="90" t="s">
        <v>4180</v>
      </c>
      <c r="O17" s="100" t="s">
        <v>963</v>
      </c>
      <c r="P17" s="88"/>
      <c r="Q17" s="101" t="s">
        <v>889</v>
      </c>
      <c r="R17" s="102"/>
      <c r="S17" s="98" t="str">
        <f aca="false">IF(OR(R17="",J17=""),"",ROUND(J17*(1+R17/100),2))</f>
        <v/>
      </c>
      <c r="T17" s="103" t="n">
        <v>20</v>
      </c>
      <c r="U17" s="88" t="s">
        <v>93</v>
      </c>
      <c r="V17" s="104" t="s">
        <v>95</v>
      </c>
    </row>
    <row r="18" customFormat="false" ht="15" hidden="false" customHeight="false" outlineLevel="0" collapsed="false">
      <c r="A18" s="88" t="s">
        <v>1270</v>
      </c>
      <c r="B18" s="88" t="s">
        <v>1258</v>
      </c>
      <c r="C18" s="89" t="s">
        <v>233</v>
      </c>
      <c r="D18" s="90" t="s">
        <v>91</v>
      </c>
      <c r="E18" s="89" t="s">
        <v>234</v>
      </c>
      <c r="F18" s="88" t="s">
        <v>1271</v>
      </c>
      <c r="G18" s="88" t="s">
        <v>4249</v>
      </c>
      <c r="H18" s="88" t="s">
        <v>1272</v>
      </c>
      <c r="I18" s="88" t="s">
        <v>76</v>
      </c>
      <c r="J18" s="98" t="n">
        <v>2.2</v>
      </c>
      <c r="K18" s="88" t="s">
        <v>4198</v>
      </c>
      <c r="L18" s="98" t="n">
        <v>96.53</v>
      </c>
      <c r="M18" s="99" t="n">
        <v>97.7</v>
      </c>
      <c r="N18" s="90" t="s">
        <v>4180</v>
      </c>
      <c r="O18" s="100" t="s">
        <v>963</v>
      </c>
      <c r="P18" s="88"/>
      <c r="Q18" s="101" t="s">
        <v>889</v>
      </c>
      <c r="R18" s="102"/>
      <c r="S18" s="98" t="str">
        <f aca="false">IF(OR(R18="",J18=""),"",ROUND(J18*(1+R18/100),2))</f>
        <v/>
      </c>
      <c r="T18" s="103" t="n">
        <v>20</v>
      </c>
      <c r="U18" s="88" t="s">
        <v>93</v>
      </c>
      <c r="V18" s="104" t="s">
        <v>95</v>
      </c>
    </row>
    <row r="19" customFormat="false" ht="15" hidden="false" customHeight="false" outlineLevel="0" collapsed="false">
      <c r="A19" s="88" t="s">
        <v>1278</v>
      </c>
      <c r="B19" s="88" t="s">
        <v>1279</v>
      </c>
      <c r="C19" s="89" t="s">
        <v>235</v>
      </c>
      <c r="D19" s="90" t="s">
        <v>91</v>
      </c>
      <c r="E19" s="89" t="s">
        <v>236</v>
      </c>
      <c r="F19" s="88" t="s">
        <v>1280</v>
      </c>
      <c r="G19" s="88" t="s">
        <v>4250</v>
      </c>
      <c r="H19" s="88" t="s">
        <v>1281</v>
      </c>
      <c r="I19" s="88" t="s">
        <v>76</v>
      </c>
      <c r="J19" s="98" t="n">
        <v>472.58</v>
      </c>
      <c r="K19" s="88" t="s">
        <v>939</v>
      </c>
      <c r="L19" s="98"/>
      <c r="M19" s="99"/>
      <c r="N19" s="90" t="s">
        <v>4180</v>
      </c>
      <c r="O19" s="100" t="s">
        <v>963</v>
      </c>
      <c r="P19" s="88"/>
      <c r="Q19" s="101" t="s">
        <v>889</v>
      </c>
      <c r="R19" s="102"/>
      <c r="S19" s="98" t="str">
        <f aca="false">IF(OR(R19="",J19=""),"",ROUND(J19*(1+R19/100),2))</f>
        <v/>
      </c>
      <c r="T19" s="103" t="n">
        <v>20</v>
      </c>
      <c r="U19" s="88" t="s">
        <v>93</v>
      </c>
      <c r="V19" s="104" t="s">
        <v>95</v>
      </c>
    </row>
    <row r="20" customFormat="false" ht="23.85" hidden="false" customHeight="false" outlineLevel="0" collapsed="false">
      <c r="A20" s="88" t="s">
        <v>1282</v>
      </c>
      <c r="B20" s="88" t="s">
        <v>1279</v>
      </c>
      <c r="C20" s="89" t="s">
        <v>237</v>
      </c>
      <c r="D20" s="90" t="s">
        <v>91</v>
      </c>
      <c r="E20" s="89" t="s">
        <v>238</v>
      </c>
      <c r="F20" s="88" t="s">
        <v>1283</v>
      </c>
      <c r="G20" s="88" t="s">
        <v>4251</v>
      </c>
      <c r="H20" s="88" t="s">
        <v>1284</v>
      </c>
      <c r="I20" s="88" t="s">
        <v>76</v>
      </c>
      <c r="J20" s="98" t="n">
        <v>21.13</v>
      </c>
      <c r="K20" s="88" t="s">
        <v>939</v>
      </c>
      <c r="L20" s="98"/>
      <c r="M20" s="99"/>
      <c r="N20" s="90" t="s">
        <v>4180</v>
      </c>
      <c r="O20" s="100" t="s">
        <v>963</v>
      </c>
      <c r="P20" s="88"/>
      <c r="Q20" s="101" t="s">
        <v>889</v>
      </c>
      <c r="R20" s="102"/>
      <c r="S20" s="98" t="str">
        <f aca="false">IF(OR(R20="",J20=""),"",ROUND(J20*(1+R20/100),2))</f>
        <v/>
      </c>
      <c r="T20" s="103" t="n">
        <v>20</v>
      </c>
      <c r="U20" s="88" t="s">
        <v>93</v>
      </c>
      <c r="V20" s="104" t="s">
        <v>95</v>
      </c>
    </row>
    <row r="21" customFormat="false" ht="23.85" hidden="false" customHeight="false" outlineLevel="0" collapsed="false">
      <c r="A21" s="88" t="s">
        <v>1285</v>
      </c>
      <c r="B21" s="88" t="s">
        <v>1279</v>
      </c>
      <c r="C21" s="89" t="s">
        <v>239</v>
      </c>
      <c r="D21" s="90" t="s">
        <v>91</v>
      </c>
      <c r="E21" s="89" t="s">
        <v>240</v>
      </c>
      <c r="F21" s="88" t="s">
        <v>1159</v>
      </c>
      <c r="G21" s="88" t="s">
        <v>4252</v>
      </c>
      <c r="H21" s="88" t="s">
        <v>1286</v>
      </c>
      <c r="I21" s="88" t="s">
        <v>76</v>
      </c>
      <c r="J21" s="98" t="n">
        <v>8.91</v>
      </c>
      <c r="K21" s="88" t="s">
        <v>939</v>
      </c>
      <c r="L21" s="98"/>
      <c r="M21" s="99"/>
      <c r="N21" s="90" t="s">
        <v>4180</v>
      </c>
      <c r="O21" s="100" t="s">
        <v>963</v>
      </c>
      <c r="P21" s="88"/>
      <c r="Q21" s="101" t="s">
        <v>889</v>
      </c>
      <c r="R21" s="102"/>
      <c r="S21" s="98" t="str">
        <f aca="false">IF(OR(R21="",J21=""),"",ROUND(J21*(1+R21/100),2))</f>
        <v/>
      </c>
      <c r="T21" s="103" t="n">
        <v>20</v>
      </c>
      <c r="U21" s="88" t="s">
        <v>93</v>
      </c>
      <c r="V21" s="104" t="s">
        <v>95</v>
      </c>
    </row>
    <row r="22" customFormat="false" ht="23.85" hidden="false" customHeight="false" outlineLevel="0" collapsed="false">
      <c r="A22" s="88" t="s">
        <v>1287</v>
      </c>
      <c r="B22" s="88" t="s">
        <v>1279</v>
      </c>
      <c r="C22" s="89" t="s">
        <v>241</v>
      </c>
      <c r="D22" s="90" t="s">
        <v>91</v>
      </c>
      <c r="E22" s="89" t="s">
        <v>242</v>
      </c>
      <c r="F22" s="88" t="s">
        <v>1283</v>
      </c>
      <c r="G22" s="88" t="s">
        <v>4253</v>
      </c>
      <c r="H22" s="88" t="s">
        <v>1288</v>
      </c>
      <c r="I22" s="88" t="s">
        <v>76</v>
      </c>
      <c r="J22" s="98" t="n">
        <v>137.91</v>
      </c>
      <c r="K22" s="88" t="s">
        <v>939</v>
      </c>
      <c r="L22" s="98"/>
      <c r="M22" s="99"/>
      <c r="N22" s="90" t="s">
        <v>4180</v>
      </c>
      <c r="O22" s="100" t="s">
        <v>963</v>
      </c>
      <c r="P22" s="88"/>
      <c r="Q22" s="101" t="s">
        <v>889</v>
      </c>
      <c r="R22" s="102"/>
      <c r="S22" s="98" t="str">
        <f aca="false">IF(OR(R22="",J22=""),"",ROUND(J22*(1+R22/100),2))</f>
        <v/>
      </c>
      <c r="T22" s="103" t="n">
        <v>20</v>
      </c>
      <c r="U22" s="88" t="s">
        <v>93</v>
      </c>
      <c r="V22" s="104" t="s">
        <v>95</v>
      </c>
    </row>
    <row r="23" customFormat="false" ht="15" hidden="false" customHeight="false" outlineLevel="0" collapsed="false">
      <c r="A23" s="20" t="s">
        <v>1289</v>
      </c>
      <c r="B23" s="20" t="s">
        <v>1290</v>
      </c>
      <c r="C23" s="19" t="s">
        <v>243</v>
      </c>
      <c r="D23" s="22" t="s">
        <v>91</v>
      </c>
      <c r="E23" s="19" t="s">
        <v>244</v>
      </c>
      <c r="F23" s="20" t="s">
        <v>1146</v>
      </c>
      <c r="G23" s="20"/>
      <c r="H23" s="20" t="s">
        <v>1291</v>
      </c>
      <c r="I23" s="74" t="s">
        <v>77</v>
      </c>
      <c r="J23" s="94" t="n">
        <v>30.81</v>
      </c>
      <c r="K23" s="74" t="s">
        <v>979</v>
      </c>
      <c r="L23" s="95" t="n">
        <v>30.81</v>
      </c>
      <c r="M23" s="52"/>
      <c r="N23" s="22" t="s">
        <v>4180</v>
      </c>
      <c r="O23" s="96" t="s">
        <v>983</v>
      </c>
      <c r="P23" s="20"/>
      <c r="Q23" s="19"/>
      <c r="R23" s="92"/>
      <c r="S23" s="95" t="str">
        <f aca="false">IF(OR(R23="",J23=""),"",ROUND(J23*(1+R23/100),2))</f>
        <v/>
      </c>
      <c r="T23" s="97" t="n">
        <v>20</v>
      </c>
      <c r="U23" s="20" t="s">
        <v>114</v>
      </c>
      <c r="V23" s="20"/>
    </row>
    <row r="24" customFormat="false" ht="15" hidden="false" customHeight="false" outlineLevel="0" collapsed="false">
      <c r="A24" s="88" t="s">
        <v>1292</v>
      </c>
      <c r="B24" s="88" t="s">
        <v>1290</v>
      </c>
      <c r="C24" s="89" t="s">
        <v>245</v>
      </c>
      <c r="D24" s="90" t="s">
        <v>137</v>
      </c>
      <c r="E24" s="89" t="s">
        <v>246</v>
      </c>
      <c r="F24" s="88" t="s">
        <v>1293</v>
      </c>
      <c r="G24" s="88" t="s">
        <v>4254</v>
      </c>
      <c r="H24" s="88" t="s">
        <v>1294</v>
      </c>
      <c r="I24" s="88" t="s">
        <v>76</v>
      </c>
      <c r="J24" s="98" t="n">
        <v>2.96</v>
      </c>
      <c r="K24" s="88" t="s">
        <v>939</v>
      </c>
      <c r="L24" s="98"/>
      <c r="M24" s="99"/>
      <c r="N24" s="90" t="s">
        <v>4180</v>
      </c>
      <c r="O24" s="100" t="s">
        <v>963</v>
      </c>
      <c r="P24" s="88"/>
      <c r="Q24" s="101" t="s">
        <v>889</v>
      </c>
      <c r="R24" s="102"/>
      <c r="S24" s="98" t="str">
        <f aca="false">IF(OR(R24="",J24=""),"",ROUND(J24*(1+R24/100),2))</f>
        <v/>
      </c>
      <c r="T24" s="103" t="n">
        <v>20</v>
      </c>
      <c r="U24" s="88" t="s">
        <v>93</v>
      </c>
      <c r="V24" s="104" t="s">
        <v>95</v>
      </c>
    </row>
    <row r="25" customFormat="false" ht="15" hidden="false" customHeight="false" outlineLevel="0" collapsed="false">
      <c r="A25" s="20" t="s">
        <v>1299</v>
      </c>
      <c r="B25" s="20" t="s">
        <v>1290</v>
      </c>
      <c r="C25" s="19" t="s">
        <v>247</v>
      </c>
      <c r="D25" s="22" t="s">
        <v>91</v>
      </c>
      <c r="E25" s="19" t="s">
        <v>248</v>
      </c>
      <c r="F25" s="20" t="s">
        <v>1300</v>
      </c>
      <c r="G25" s="20" t="s">
        <v>4255</v>
      </c>
      <c r="H25" s="20" t="s">
        <v>1301</v>
      </c>
      <c r="I25" s="20" t="s">
        <v>76</v>
      </c>
      <c r="J25" s="95" t="n">
        <v>23.65</v>
      </c>
      <c r="K25" s="20" t="s">
        <v>4198</v>
      </c>
      <c r="L25" s="95" t="n">
        <v>237.86</v>
      </c>
      <c r="M25" s="52" t="n">
        <v>90.1</v>
      </c>
      <c r="N25" s="22" t="s">
        <v>4180</v>
      </c>
      <c r="O25" s="22" t="s">
        <v>942</v>
      </c>
      <c r="P25" s="20"/>
      <c r="Q25" s="19"/>
      <c r="R25" s="92"/>
      <c r="S25" s="95" t="str">
        <f aca="false">IF(OR(R25="",J25=""),"",ROUND(J25*(1+R25/100),2))</f>
        <v/>
      </c>
      <c r="T25" s="97" t="n">
        <v>20</v>
      </c>
      <c r="U25" s="20" t="s">
        <v>93</v>
      </c>
      <c r="V25" s="55" t="s">
        <v>95</v>
      </c>
    </row>
    <row r="26" customFormat="false" ht="15" hidden="false" customHeight="false" outlineLevel="0" collapsed="false">
      <c r="A26" s="24" t="s">
        <v>1307</v>
      </c>
      <c r="B26" s="24" t="s">
        <v>1308</v>
      </c>
      <c r="C26" s="23" t="s">
        <v>249</v>
      </c>
      <c r="D26" s="26" t="s">
        <v>91</v>
      </c>
      <c r="E26" s="23" t="s">
        <v>250</v>
      </c>
      <c r="F26" s="24"/>
      <c r="G26" s="24" t="s">
        <v>4256</v>
      </c>
      <c r="H26" s="24" t="s">
        <v>1309</v>
      </c>
      <c r="I26" s="74" t="s">
        <v>78</v>
      </c>
      <c r="J26" s="94" t="n">
        <v>25.14</v>
      </c>
      <c r="K26" s="74" t="s">
        <v>4182</v>
      </c>
      <c r="L26" s="91" t="n">
        <v>36.37</v>
      </c>
      <c r="M26" s="58" t="n">
        <v>30.9</v>
      </c>
      <c r="N26" s="26" t="s">
        <v>4180</v>
      </c>
      <c r="O26" s="96" t="s">
        <v>946</v>
      </c>
      <c r="P26" s="24" t="s">
        <v>949</v>
      </c>
      <c r="Q26" s="23"/>
      <c r="R26" s="92"/>
      <c r="S26" s="91" t="str">
        <f aca="false">IF(OR(R26="",J26=""),"",ROUND(J26*(1+R26/100),2))</f>
        <v/>
      </c>
      <c r="T26" s="93" t="n">
        <v>20</v>
      </c>
      <c r="U26" s="24" t="s">
        <v>93</v>
      </c>
      <c r="V26" s="61" t="s">
        <v>95</v>
      </c>
    </row>
    <row r="27" customFormat="false" ht="32.8" hidden="false" customHeight="false" outlineLevel="0" collapsed="false">
      <c r="A27" s="20" t="s">
        <v>1313</v>
      </c>
      <c r="B27" s="20" t="s">
        <v>1308</v>
      </c>
      <c r="C27" s="19" t="s">
        <v>251</v>
      </c>
      <c r="D27" s="22" t="s">
        <v>91</v>
      </c>
      <c r="E27" s="19" t="s">
        <v>252</v>
      </c>
      <c r="F27" s="20"/>
      <c r="G27" s="20" t="s">
        <v>4257</v>
      </c>
      <c r="H27" s="20" t="s">
        <v>1314</v>
      </c>
      <c r="I27" s="74" t="s">
        <v>78</v>
      </c>
      <c r="J27" s="94" t="n">
        <v>2488.05</v>
      </c>
      <c r="K27" s="74" t="s">
        <v>943</v>
      </c>
      <c r="L27" s="95"/>
      <c r="M27" s="52"/>
      <c r="N27" s="22" t="s">
        <v>4180</v>
      </c>
      <c r="O27" s="96" t="s">
        <v>946</v>
      </c>
      <c r="P27" s="20" t="s">
        <v>949</v>
      </c>
      <c r="Q27" s="106" t="s">
        <v>900</v>
      </c>
      <c r="R27" s="92"/>
      <c r="S27" s="95" t="str">
        <f aca="false">IF(OR(R27="",J27=""),"",ROUND(J27*(1+R27/100),2))</f>
        <v/>
      </c>
      <c r="T27" s="97" t="n">
        <v>20</v>
      </c>
      <c r="U27" s="20" t="s">
        <v>93</v>
      </c>
      <c r="V27" s="55" t="s">
        <v>95</v>
      </c>
    </row>
  </sheetData>
  <autoFilter ref="A1:V27"/>
  <hyperlinks>
    <hyperlink ref="V3" r:id="rId1" display="Voir la fiche"/>
    <hyperlink ref="V6" r:id="rId2" display="Voir la fiche"/>
    <hyperlink ref="V9" r:id="rId3" display="Voir la fiche"/>
    <hyperlink ref="V11" r:id="rId4" display="Voir la fiche"/>
    <hyperlink ref="V13" r:id="rId5" display="Voir la fiche"/>
    <hyperlink ref="V15" r:id="rId6" display="Voir la fiche"/>
    <hyperlink ref="V16" r:id="rId7" display="Voir la fiche"/>
    <hyperlink ref="V17" r:id="rId8" display="Voir la fiche"/>
    <hyperlink ref="V18" r:id="rId9" display="Voir la fiche"/>
    <hyperlink ref="V19" r:id="rId10" display="Voir la fiche"/>
    <hyperlink ref="V20" r:id="rId11" display="Voir la fiche"/>
    <hyperlink ref="V21" r:id="rId12" display="Voir la fiche"/>
    <hyperlink ref="V22" r:id="rId13" display="Voir la fiche"/>
    <hyperlink ref="V24" r:id="rId14" display="Voir la fiche"/>
    <hyperlink ref="V25" r:id="rId15" display="Voir la fiche"/>
    <hyperlink ref="V26" r:id="rId16" display="Voir la fiche"/>
    <hyperlink ref="V27" r:id="rId17"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8"/>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V2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23.85" hidden="false" customHeight="false" outlineLevel="0" collapsed="false">
      <c r="A2" s="24" t="s">
        <v>1315</v>
      </c>
      <c r="B2" s="24" t="s">
        <v>1316</v>
      </c>
      <c r="C2" s="23" t="s">
        <v>253</v>
      </c>
      <c r="D2" s="26" t="s">
        <v>91</v>
      </c>
      <c r="E2" s="23" t="s">
        <v>254</v>
      </c>
      <c r="F2" s="24" t="s">
        <v>1317</v>
      </c>
      <c r="G2" s="24" t="s">
        <v>4258</v>
      </c>
      <c r="H2" s="24" t="s">
        <v>1318</v>
      </c>
      <c r="I2" s="24" t="s">
        <v>76</v>
      </c>
      <c r="J2" s="91" t="n">
        <v>11.39</v>
      </c>
      <c r="K2" s="24" t="s">
        <v>4179</v>
      </c>
      <c r="L2" s="91" t="n">
        <v>37.42</v>
      </c>
      <c r="M2" s="58" t="n">
        <v>69.6</v>
      </c>
      <c r="N2" s="26" t="s">
        <v>4180</v>
      </c>
      <c r="O2" s="26" t="s">
        <v>1085</v>
      </c>
      <c r="P2" s="24"/>
      <c r="Q2" s="23"/>
      <c r="R2" s="92"/>
      <c r="S2" s="91" t="str">
        <f aca="false">IF(OR(R2="",J2=""),"",ROUND(J2*(1+R2/100),2))</f>
        <v/>
      </c>
      <c r="T2" s="93" t="n">
        <v>20</v>
      </c>
      <c r="U2" s="24" t="s">
        <v>93</v>
      </c>
      <c r="V2" s="61" t="s">
        <v>95</v>
      </c>
    </row>
    <row r="3" customFormat="false" ht="23.85" hidden="false" customHeight="false" outlineLevel="0" collapsed="false">
      <c r="A3" s="20" t="s">
        <v>1324</v>
      </c>
      <c r="B3" s="20" t="s">
        <v>1316</v>
      </c>
      <c r="C3" s="19" t="s">
        <v>255</v>
      </c>
      <c r="D3" s="22" t="s">
        <v>91</v>
      </c>
      <c r="E3" s="19" t="s">
        <v>256</v>
      </c>
      <c r="F3" s="20" t="s">
        <v>1159</v>
      </c>
      <c r="G3" s="20" t="s">
        <v>4259</v>
      </c>
      <c r="H3" s="20" t="s">
        <v>1325</v>
      </c>
      <c r="I3" s="20" t="s">
        <v>76</v>
      </c>
      <c r="J3" s="95" t="n">
        <v>112.71</v>
      </c>
      <c r="K3" s="20" t="s">
        <v>939</v>
      </c>
      <c r="L3" s="95"/>
      <c r="M3" s="52"/>
      <c r="N3" s="22" t="s">
        <v>4180</v>
      </c>
      <c r="O3" s="22" t="s">
        <v>1085</v>
      </c>
      <c r="P3" s="20"/>
      <c r="Q3" s="19"/>
      <c r="R3" s="92"/>
      <c r="S3" s="95" t="str">
        <f aca="false">IF(OR(R3="",J3=""),"",ROUND(J3*(1+R3/100),2))</f>
        <v/>
      </c>
      <c r="T3" s="97" t="n">
        <v>20</v>
      </c>
      <c r="U3" s="20" t="s">
        <v>93</v>
      </c>
      <c r="V3" s="55" t="s">
        <v>95</v>
      </c>
    </row>
    <row r="4" customFormat="false" ht="23.85" hidden="false" customHeight="false" outlineLevel="0" collapsed="false">
      <c r="A4" s="88" t="s">
        <v>1326</v>
      </c>
      <c r="B4" s="88" t="s">
        <v>1316</v>
      </c>
      <c r="C4" s="89" t="s">
        <v>257</v>
      </c>
      <c r="D4" s="90" t="s">
        <v>91</v>
      </c>
      <c r="E4" s="89" t="s">
        <v>258</v>
      </c>
      <c r="F4" s="88" t="s">
        <v>1159</v>
      </c>
      <c r="G4" s="88" t="s">
        <v>4260</v>
      </c>
      <c r="H4" s="88" t="s">
        <v>1327</v>
      </c>
      <c r="I4" s="88" t="s">
        <v>76</v>
      </c>
      <c r="J4" s="98" t="n">
        <v>27.39</v>
      </c>
      <c r="K4" s="88" t="s">
        <v>939</v>
      </c>
      <c r="L4" s="98"/>
      <c r="M4" s="99"/>
      <c r="N4" s="90" t="s">
        <v>4180</v>
      </c>
      <c r="O4" s="100" t="s">
        <v>1052</v>
      </c>
      <c r="P4" s="88"/>
      <c r="Q4" s="101" t="s">
        <v>889</v>
      </c>
      <c r="R4" s="102"/>
      <c r="S4" s="98" t="str">
        <f aca="false">IF(OR(R4="",J4=""),"",ROUND(J4*(1+R4/100),2))</f>
        <v/>
      </c>
      <c r="T4" s="103" t="n">
        <v>20</v>
      </c>
      <c r="U4" s="88" t="s">
        <v>93</v>
      </c>
      <c r="V4" s="104" t="s">
        <v>95</v>
      </c>
    </row>
    <row r="5" customFormat="false" ht="23.85" hidden="false" customHeight="false" outlineLevel="0" collapsed="false">
      <c r="A5" s="20" t="s">
        <v>1328</v>
      </c>
      <c r="B5" s="20" t="s">
        <v>1316</v>
      </c>
      <c r="C5" s="19" t="s">
        <v>259</v>
      </c>
      <c r="D5" s="22" t="s">
        <v>91</v>
      </c>
      <c r="E5" s="19" t="s">
        <v>260</v>
      </c>
      <c r="F5" s="20"/>
      <c r="G5" s="20" t="s">
        <v>4261</v>
      </c>
      <c r="H5" s="20" t="s">
        <v>1329</v>
      </c>
      <c r="I5" s="74" t="s">
        <v>78</v>
      </c>
      <c r="J5" s="94" t="n">
        <v>41.94</v>
      </c>
      <c r="K5" s="74" t="s">
        <v>943</v>
      </c>
      <c r="L5" s="95"/>
      <c r="M5" s="52"/>
      <c r="N5" s="22" t="s">
        <v>4180</v>
      </c>
      <c r="O5" s="96" t="s">
        <v>946</v>
      </c>
      <c r="P5" s="20"/>
      <c r="Q5" s="19"/>
      <c r="R5" s="92"/>
      <c r="S5" s="95" t="str">
        <f aca="false">IF(OR(R5="",J5=""),"",ROUND(J5*(1+R5/100),2))</f>
        <v/>
      </c>
      <c r="T5" s="97" t="n">
        <v>20</v>
      </c>
      <c r="U5" s="20" t="s">
        <v>93</v>
      </c>
      <c r="V5" s="20"/>
    </row>
    <row r="6" customFormat="false" ht="23.85" hidden="false" customHeight="false" outlineLevel="0" collapsed="false">
      <c r="A6" s="88" t="s">
        <v>1330</v>
      </c>
      <c r="B6" s="88" t="s">
        <v>1316</v>
      </c>
      <c r="C6" s="89" t="s">
        <v>261</v>
      </c>
      <c r="D6" s="90" t="s">
        <v>91</v>
      </c>
      <c r="E6" s="89" t="s">
        <v>262</v>
      </c>
      <c r="F6" s="88" t="s">
        <v>1317</v>
      </c>
      <c r="G6" s="88" t="s">
        <v>4262</v>
      </c>
      <c r="H6" s="88" t="s">
        <v>1331</v>
      </c>
      <c r="I6" s="88" t="s">
        <v>76</v>
      </c>
      <c r="J6" s="98" t="n">
        <v>20.6</v>
      </c>
      <c r="K6" s="88" t="s">
        <v>939</v>
      </c>
      <c r="L6" s="98"/>
      <c r="M6" s="99"/>
      <c r="N6" s="90" t="s">
        <v>4180</v>
      </c>
      <c r="O6" s="100" t="s">
        <v>1052</v>
      </c>
      <c r="P6" s="88"/>
      <c r="Q6" s="101" t="s">
        <v>889</v>
      </c>
      <c r="R6" s="102"/>
      <c r="S6" s="98" t="str">
        <f aca="false">IF(OR(R6="",J6=""),"",ROUND(J6*(1+R6/100),2))</f>
        <v/>
      </c>
      <c r="T6" s="103" t="n">
        <v>20</v>
      </c>
      <c r="U6" s="88" t="s">
        <v>93</v>
      </c>
      <c r="V6" s="104" t="s">
        <v>95</v>
      </c>
    </row>
    <row r="7" customFormat="false" ht="23.85" hidden="false" customHeight="false" outlineLevel="0" collapsed="false">
      <c r="A7" s="20" t="s">
        <v>1332</v>
      </c>
      <c r="B7" s="20" t="s">
        <v>1316</v>
      </c>
      <c r="C7" s="19" t="s">
        <v>263</v>
      </c>
      <c r="D7" s="22" t="s">
        <v>91</v>
      </c>
      <c r="E7" s="19" t="s">
        <v>264</v>
      </c>
      <c r="F7" s="20" t="s">
        <v>1159</v>
      </c>
      <c r="G7" s="20" t="s">
        <v>4263</v>
      </c>
      <c r="H7" s="20" t="s">
        <v>1333</v>
      </c>
      <c r="I7" s="20" t="s">
        <v>76</v>
      </c>
      <c r="J7" s="95" t="n">
        <v>39.6</v>
      </c>
      <c r="K7" s="20" t="s">
        <v>939</v>
      </c>
      <c r="L7" s="95"/>
      <c r="M7" s="52"/>
      <c r="N7" s="22" t="s">
        <v>4180</v>
      </c>
      <c r="O7" s="22" t="s">
        <v>942</v>
      </c>
      <c r="P7" s="20"/>
      <c r="Q7" s="19"/>
      <c r="R7" s="92"/>
      <c r="S7" s="95" t="str">
        <f aca="false">IF(OR(R7="",J7=""),"",ROUND(J7*(1+R7/100),2))</f>
        <v/>
      </c>
      <c r="T7" s="97" t="n">
        <v>20</v>
      </c>
      <c r="U7" s="20" t="s">
        <v>93</v>
      </c>
      <c r="V7" s="55" t="s">
        <v>95</v>
      </c>
    </row>
    <row r="8" customFormat="false" ht="15" hidden="false" customHeight="false" outlineLevel="0" collapsed="false">
      <c r="A8" s="24" t="s">
        <v>1334</v>
      </c>
      <c r="B8" s="24" t="s">
        <v>1316</v>
      </c>
      <c r="C8" s="23" t="s">
        <v>265</v>
      </c>
      <c r="D8" s="26" t="s">
        <v>91</v>
      </c>
      <c r="E8" s="23" t="s">
        <v>266</v>
      </c>
      <c r="F8" s="24" t="s">
        <v>1335</v>
      </c>
      <c r="G8" s="24" t="s">
        <v>4264</v>
      </c>
      <c r="H8" s="24" t="s">
        <v>1336</v>
      </c>
      <c r="I8" s="74" t="s">
        <v>81</v>
      </c>
      <c r="J8" s="94" t="n">
        <v>23.4</v>
      </c>
      <c r="K8" s="74" t="s">
        <v>4241</v>
      </c>
      <c r="L8" s="91" t="n">
        <v>24.42</v>
      </c>
      <c r="M8" s="58" t="n">
        <v>4.2</v>
      </c>
      <c r="N8" s="26" t="s">
        <v>4180</v>
      </c>
      <c r="O8" s="96" t="s">
        <v>1016</v>
      </c>
      <c r="P8" s="24"/>
      <c r="Q8" s="105" t="s">
        <v>889</v>
      </c>
      <c r="R8" s="92"/>
      <c r="S8" s="91" t="str">
        <f aca="false">IF(OR(R8="",J8=""),"",ROUND(J8*(1+R8/100),2))</f>
        <v/>
      </c>
      <c r="T8" s="93" t="n">
        <v>20</v>
      </c>
      <c r="U8" s="24" t="s">
        <v>169</v>
      </c>
      <c r="V8" s="61" t="s">
        <v>95</v>
      </c>
    </row>
    <row r="9" customFormat="false" ht="23.85" hidden="false" customHeight="false" outlineLevel="0" collapsed="false">
      <c r="A9" s="20" t="s">
        <v>1341</v>
      </c>
      <c r="B9" s="20" t="s">
        <v>1316</v>
      </c>
      <c r="C9" s="19" t="s">
        <v>267</v>
      </c>
      <c r="D9" s="22" t="s">
        <v>137</v>
      </c>
      <c r="E9" s="19" t="s">
        <v>268</v>
      </c>
      <c r="F9" s="20"/>
      <c r="G9" s="20" t="s">
        <v>4265</v>
      </c>
      <c r="H9" s="20" t="s">
        <v>1342</v>
      </c>
      <c r="I9" s="74" t="s">
        <v>78</v>
      </c>
      <c r="J9" s="94" t="n">
        <v>8.9</v>
      </c>
      <c r="K9" s="74" t="s">
        <v>943</v>
      </c>
      <c r="L9" s="95"/>
      <c r="M9" s="52"/>
      <c r="N9" s="22" t="s">
        <v>4180</v>
      </c>
      <c r="O9" s="96" t="s">
        <v>946</v>
      </c>
      <c r="P9" s="20" t="s">
        <v>1343</v>
      </c>
      <c r="Q9" s="19"/>
      <c r="R9" s="92"/>
      <c r="S9" s="95" t="str">
        <f aca="false">IF(OR(R9="",J9=""),"",ROUND(J9*(1+R9/100),2))</f>
        <v/>
      </c>
      <c r="T9" s="97" t="n">
        <v>20</v>
      </c>
      <c r="U9" s="20" t="s">
        <v>93</v>
      </c>
      <c r="V9" s="20"/>
    </row>
    <row r="10" customFormat="false" ht="15" hidden="false" customHeight="false" outlineLevel="0" collapsed="false">
      <c r="A10" s="24" t="s">
        <v>1344</v>
      </c>
      <c r="B10" s="24" t="s">
        <v>1316</v>
      </c>
      <c r="C10" s="23" t="s">
        <v>269</v>
      </c>
      <c r="D10" s="26" t="s">
        <v>91</v>
      </c>
      <c r="E10" s="23" t="s">
        <v>270</v>
      </c>
      <c r="F10" s="24" t="s">
        <v>1159</v>
      </c>
      <c r="G10" s="24" t="s">
        <v>4266</v>
      </c>
      <c r="H10" s="24" t="s">
        <v>1345</v>
      </c>
      <c r="I10" s="24" t="s">
        <v>76</v>
      </c>
      <c r="J10" s="91" t="n">
        <v>158.77</v>
      </c>
      <c r="K10" s="24" t="s">
        <v>939</v>
      </c>
      <c r="L10" s="91"/>
      <c r="M10" s="58"/>
      <c r="N10" s="26" t="s">
        <v>4180</v>
      </c>
      <c r="O10" s="26" t="s">
        <v>942</v>
      </c>
      <c r="P10" s="24"/>
      <c r="Q10" s="23"/>
      <c r="R10" s="92"/>
      <c r="S10" s="91" t="str">
        <f aca="false">IF(OR(R10="",J10=""),"",ROUND(J10*(1+R10/100),2))</f>
        <v/>
      </c>
      <c r="T10" s="93" t="n">
        <v>20</v>
      </c>
      <c r="U10" s="24" t="s">
        <v>93</v>
      </c>
      <c r="V10" s="61" t="s">
        <v>95</v>
      </c>
    </row>
    <row r="11" customFormat="false" ht="23.85" hidden="false" customHeight="false" outlineLevel="0" collapsed="false">
      <c r="A11" s="20" t="s">
        <v>1346</v>
      </c>
      <c r="B11" s="20" t="s">
        <v>1347</v>
      </c>
      <c r="C11" s="19" t="s">
        <v>271</v>
      </c>
      <c r="D11" s="22" t="s">
        <v>91</v>
      </c>
      <c r="E11" s="19" t="s">
        <v>272</v>
      </c>
      <c r="F11" s="20" t="s">
        <v>1159</v>
      </c>
      <c r="G11" s="20" t="s">
        <v>4267</v>
      </c>
      <c r="H11" s="20" t="s">
        <v>1350</v>
      </c>
      <c r="I11" s="20" t="s">
        <v>76</v>
      </c>
      <c r="J11" s="95" t="n">
        <v>50.9</v>
      </c>
      <c r="K11" s="20" t="s">
        <v>939</v>
      </c>
      <c r="L11" s="95"/>
      <c r="M11" s="52"/>
      <c r="N11" s="22" t="s">
        <v>4180</v>
      </c>
      <c r="O11" s="22" t="s">
        <v>942</v>
      </c>
      <c r="P11" s="20"/>
      <c r="Q11" s="19"/>
      <c r="R11" s="92"/>
      <c r="S11" s="95" t="str">
        <f aca="false">IF(OR(R11="",J11=""),"",ROUND(J11*(1+R11/100),2))</f>
        <v/>
      </c>
      <c r="T11" s="97" t="n">
        <v>20</v>
      </c>
      <c r="U11" s="20" t="s">
        <v>93</v>
      </c>
      <c r="V11" s="55" t="s">
        <v>95</v>
      </c>
    </row>
    <row r="12" customFormat="false" ht="22.35" hidden="false" customHeight="false" outlineLevel="0" collapsed="false">
      <c r="A12" s="24" t="s">
        <v>1351</v>
      </c>
      <c r="B12" s="24" t="s">
        <v>1347</v>
      </c>
      <c r="C12" s="23" t="s">
        <v>273</v>
      </c>
      <c r="D12" s="26" t="s">
        <v>91</v>
      </c>
      <c r="E12" s="23" t="s">
        <v>274</v>
      </c>
      <c r="F12" s="24" t="s">
        <v>1159</v>
      </c>
      <c r="G12" s="24" t="s">
        <v>4268</v>
      </c>
      <c r="H12" s="24" t="s">
        <v>1352</v>
      </c>
      <c r="I12" s="24" t="s">
        <v>76</v>
      </c>
      <c r="J12" s="91" t="n">
        <v>2.58</v>
      </c>
      <c r="K12" s="24" t="s">
        <v>939</v>
      </c>
      <c r="L12" s="91"/>
      <c r="M12" s="58"/>
      <c r="N12" s="26" t="s">
        <v>4180</v>
      </c>
      <c r="O12" s="26" t="s">
        <v>942</v>
      </c>
      <c r="P12" s="24" t="s">
        <v>4269</v>
      </c>
      <c r="Q12" s="105" t="s">
        <v>891</v>
      </c>
      <c r="R12" s="92"/>
      <c r="S12" s="91" t="str">
        <f aca="false">IF(OR(R12="",J12=""),"",ROUND(J12*(1+R12/100),2))</f>
        <v/>
      </c>
      <c r="T12" s="93" t="n">
        <v>20</v>
      </c>
      <c r="U12" s="24" t="s">
        <v>93</v>
      </c>
      <c r="V12" s="61" t="s">
        <v>95</v>
      </c>
    </row>
    <row r="13" customFormat="false" ht="23.85" hidden="false" customHeight="false" outlineLevel="0" collapsed="false">
      <c r="A13" s="88" t="s">
        <v>1353</v>
      </c>
      <c r="B13" s="88" t="s">
        <v>1347</v>
      </c>
      <c r="C13" s="89" t="s">
        <v>275</v>
      </c>
      <c r="D13" s="90" t="s">
        <v>91</v>
      </c>
      <c r="E13" s="89" t="s">
        <v>276</v>
      </c>
      <c r="F13" s="88" t="s">
        <v>1159</v>
      </c>
      <c r="G13" s="88" t="s">
        <v>4270</v>
      </c>
      <c r="H13" s="88" t="s">
        <v>1354</v>
      </c>
      <c r="I13" s="88" t="s">
        <v>76</v>
      </c>
      <c r="J13" s="98" t="n">
        <v>38.38</v>
      </c>
      <c r="K13" s="88" t="s">
        <v>939</v>
      </c>
      <c r="L13" s="98"/>
      <c r="M13" s="99"/>
      <c r="N13" s="90" t="s">
        <v>4180</v>
      </c>
      <c r="O13" s="100" t="s">
        <v>1052</v>
      </c>
      <c r="P13" s="88"/>
      <c r="Q13" s="101" t="s">
        <v>889</v>
      </c>
      <c r="R13" s="102"/>
      <c r="S13" s="98" t="str">
        <f aca="false">IF(OR(R13="",J13=""),"",ROUND(J13*(1+R13/100),2))</f>
        <v/>
      </c>
      <c r="T13" s="103" t="n">
        <v>20</v>
      </c>
      <c r="U13" s="88" t="s">
        <v>93</v>
      </c>
      <c r="V13" s="104" t="s">
        <v>95</v>
      </c>
    </row>
    <row r="14" customFormat="false" ht="35.05" hidden="false" customHeight="false" outlineLevel="0" collapsed="false">
      <c r="A14" s="24" t="s">
        <v>1355</v>
      </c>
      <c r="B14" s="24" t="s">
        <v>1356</v>
      </c>
      <c r="C14" s="23" t="s">
        <v>277</v>
      </c>
      <c r="D14" s="26" t="s">
        <v>91</v>
      </c>
      <c r="E14" s="23" t="s">
        <v>278</v>
      </c>
      <c r="F14" s="24" t="s">
        <v>1357</v>
      </c>
      <c r="G14" s="24" t="s">
        <v>4271</v>
      </c>
      <c r="H14" s="24" t="s">
        <v>1358</v>
      </c>
      <c r="I14" s="74" t="s">
        <v>81</v>
      </c>
      <c r="J14" s="94" t="n">
        <v>104.9</v>
      </c>
      <c r="K14" s="74" t="s">
        <v>4241</v>
      </c>
      <c r="L14" s="91" t="n">
        <v>110.16</v>
      </c>
      <c r="M14" s="58" t="n">
        <v>4.8</v>
      </c>
      <c r="N14" s="26" t="s">
        <v>4180</v>
      </c>
      <c r="O14" s="96" t="s">
        <v>1007</v>
      </c>
      <c r="P14" s="24"/>
      <c r="Q14" s="23"/>
      <c r="R14" s="92"/>
      <c r="S14" s="91" t="str">
        <f aca="false">IF(OR(R14="",J14=""),"",ROUND(J14*(1+R14/100),2))</f>
        <v/>
      </c>
      <c r="T14" s="93" t="n">
        <v>20</v>
      </c>
      <c r="U14" s="24" t="s">
        <v>119</v>
      </c>
      <c r="V14" s="61" t="s">
        <v>95</v>
      </c>
    </row>
    <row r="15" customFormat="false" ht="23.85" hidden="false" customHeight="false" outlineLevel="0" collapsed="false">
      <c r="A15" s="20" t="s">
        <v>1361</v>
      </c>
      <c r="B15" s="20" t="s">
        <v>1356</v>
      </c>
      <c r="C15" s="19" t="s">
        <v>279</v>
      </c>
      <c r="D15" s="22" t="s">
        <v>91</v>
      </c>
      <c r="E15" s="19" t="s">
        <v>280</v>
      </c>
      <c r="F15" s="20" t="s">
        <v>1159</v>
      </c>
      <c r="G15" s="20" t="s">
        <v>4272</v>
      </c>
      <c r="H15" s="20" t="s">
        <v>1362</v>
      </c>
      <c r="I15" s="20" t="s">
        <v>76</v>
      </c>
      <c r="J15" s="95" t="n">
        <v>36.93</v>
      </c>
      <c r="K15" s="20" t="s">
        <v>939</v>
      </c>
      <c r="L15" s="95"/>
      <c r="M15" s="52"/>
      <c r="N15" s="22" t="s">
        <v>4180</v>
      </c>
      <c r="O15" s="22" t="s">
        <v>1085</v>
      </c>
      <c r="P15" s="20"/>
      <c r="Q15" s="19"/>
      <c r="R15" s="92"/>
      <c r="S15" s="95" t="str">
        <f aca="false">IF(OR(R15="",J15=""),"",ROUND(J15*(1+R15/100),2))</f>
        <v/>
      </c>
      <c r="T15" s="97" t="n">
        <v>20</v>
      </c>
      <c r="U15" s="20" t="s">
        <v>93</v>
      </c>
      <c r="V15" s="55" t="s">
        <v>95</v>
      </c>
    </row>
    <row r="16" customFormat="false" ht="15" hidden="false" customHeight="false" outlineLevel="0" collapsed="false">
      <c r="A16" s="24" t="s">
        <v>1363</v>
      </c>
      <c r="B16" s="24" t="s">
        <v>1356</v>
      </c>
      <c r="C16" s="23" t="s">
        <v>281</v>
      </c>
      <c r="D16" s="26" t="s">
        <v>91</v>
      </c>
      <c r="E16" s="23" t="s">
        <v>282</v>
      </c>
      <c r="F16" s="24"/>
      <c r="G16" s="24" t="s">
        <v>4273</v>
      </c>
      <c r="H16" s="24" t="s">
        <v>1364</v>
      </c>
      <c r="I16" s="24" t="s">
        <v>76</v>
      </c>
      <c r="J16" s="91" t="n">
        <v>891.91</v>
      </c>
      <c r="K16" s="24" t="s">
        <v>939</v>
      </c>
      <c r="L16" s="91"/>
      <c r="M16" s="58"/>
      <c r="N16" s="26" t="s">
        <v>4180</v>
      </c>
      <c r="O16" s="26" t="s">
        <v>942</v>
      </c>
      <c r="P16" s="24"/>
      <c r="Q16" s="23"/>
      <c r="R16" s="92"/>
      <c r="S16" s="91" t="str">
        <f aca="false">IF(OR(R16="",J16=""),"",ROUND(J16*(1+R16/100),2))</f>
        <v/>
      </c>
      <c r="T16" s="93" t="n">
        <v>20</v>
      </c>
      <c r="U16" s="24" t="s">
        <v>93</v>
      </c>
      <c r="V16" s="61" t="s">
        <v>95</v>
      </c>
    </row>
    <row r="17" customFormat="false" ht="23.85" hidden="false" customHeight="false" outlineLevel="0" collapsed="false">
      <c r="A17" s="20" t="s">
        <v>1365</v>
      </c>
      <c r="B17" s="20" t="s">
        <v>1366</v>
      </c>
      <c r="C17" s="19" t="s">
        <v>283</v>
      </c>
      <c r="D17" s="22" t="s">
        <v>91</v>
      </c>
      <c r="E17" s="19" t="s">
        <v>284</v>
      </c>
      <c r="F17" s="20"/>
      <c r="G17" s="20" t="s">
        <v>4274</v>
      </c>
      <c r="H17" s="20" t="s">
        <v>1367</v>
      </c>
      <c r="I17" s="74" t="s">
        <v>78</v>
      </c>
      <c r="J17" s="94" t="n">
        <v>58.62</v>
      </c>
      <c r="K17" s="74" t="s">
        <v>4189</v>
      </c>
      <c r="L17" s="95" t="n">
        <v>414.16</v>
      </c>
      <c r="M17" s="52" t="n">
        <v>85.8</v>
      </c>
      <c r="N17" s="22" t="s">
        <v>4180</v>
      </c>
      <c r="O17" s="96" t="s">
        <v>946</v>
      </c>
      <c r="P17" s="20" t="s">
        <v>949</v>
      </c>
      <c r="Q17" s="19"/>
      <c r="R17" s="92"/>
      <c r="S17" s="95" t="str">
        <f aca="false">IF(OR(R17="",J17=""),"",ROUND(J17*(1+R17/100),2))</f>
        <v/>
      </c>
      <c r="T17" s="97" t="n">
        <v>20</v>
      </c>
      <c r="U17" s="20" t="s">
        <v>93</v>
      </c>
      <c r="V17" s="55" t="s">
        <v>95</v>
      </c>
    </row>
    <row r="18" customFormat="false" ht="23.85" hidden="false" customHeight="false" outlineLevel="0" collapsed="false">
      <c r="A18" s="24" t="s">
        <v>1372</v>
      </c>
      <c r="B18" s="24" t="s">
        <v>1366</v>
      </c>
      <c r="C18" s="23" t="s">
        <v>285</v>
      </c>
      <c r="D18" s="26" t="s">
        <v>91</v>
      </c>
      <c r="E18" s="23" t="s">
        <v>286</v>
      </c>
      <c r="F18" s="24"/>
      <c r="G18" s="24" t="s">
        <v>4275</v>
      </c>
      <c r="H18" s="24" t="s">
        <v>1373</v>
      </c>
      <c r="I18" s="74" t="s">
        <v>78</v>
      </c>
      <c r="J18" s="94" t="n">
        <v>123.64</v>
      </c>
      <c r="K18" s="74" t="s">
        <v>943</v>
      </c>
      <c r="L18" s="91"/>
      <c r="M18" s="58"/>
      <c r="N18" s="26" t="s">
        <v>4180</v>
      </c>
      <c r="O18" s="96" t="s">
        <v>946</v>
      </c>
      <c r="P18" s="24"/>
      <c r="Q18" s="23"/>
      <c r="R18" s="92"/>
      <c r="S18" s="91" t="str">
        <f aca="false">IF(OR(R18="",J18=""),"",ROUND(J18*(1+R18/100),2))</f>
        <v/>
      </c>
      <c r="T18" s="93" t="n">
        <v>20</v>
      </c>
      <c r="U18" s="24" t="s">
        <v>93</v>
      </c>
      <c r="V18" s="24"/>
    </row>
    <row r="19" customFormat="false" ht="23.85" hidden="false" customHeight="false" outlineLevel="0" collapsed="false">
      <c r="A19" s="20" t="s">
        <v>1374</v>
      </c>
      <c r="B19" s="20" t="s">
        <v>1366</v>
      </c>
      <c r="C19" s="19" t="s">
        <v>287</v>
      </c>
      <c r="D19" s="22" t="s">
        <v>91</v>
      </c>
      <c r="E19" s="19" t="s">
        <v>288</v>
      </c>
      <c r="F19" s="20"/>
      <c r="G19" s="20" t="s">
        <v>4276</v>
      </c>
      <c r="H19" s="20" t="s">
        <v>1375</v>
      </c>
      <c r="I19" s="74" t="s">
        <v>78</v>
      </c>
      <c r="J19" s="94" t="n">
        <v>120.61</v>
      </c>
      <c r="K19" s="74" t="s">
        <v>4182</v>
      </c>
      <c r="L19" s="95" t="n">
        <v>234.11</v>
      </c>
      <c r="M19" s="52" t="n">
        <v>48.5</v>
      </c>
      <c r="N19" s="22" t="s">
        <v>4180</v>
      </c>
      <c r="O19" s="96" t="s">
        <v>1016</v>
      </c>
      <c r="P19" s="20"/>
      <c r="Q19" s="106" t="s">
        <v>889</v>
      </c>
      <c r="R19" s="92"/>
      <c r="S19" s="95" t="str">
        <f aca="false">IF(OR(R19="",J19=""),"",ROUND(J19*(1+R19/100),2))</f>
        <v/>
      </c>
      <c r="T19" s="97" t="n">
        <v>20</v>
      </c>
      <c r="U19" s="20" t="s">
        <v>93</v>
      </c>
      <c r="V19" s="20"/>
    </row>
    <row r="20" customFormat="false" ht="22.35" hidden="false" customHeight="false" outlineLevel="0" collapsed="false">
      <c r="A20" s="24" t="s">
        <v>1378</v>
      </c>
      <c r="B20" s="24" t="s">
        <v>1366</v>
      </c>
      <c r="C20" s="23" t="s">
        <v>289</v>
      </c>
      <c r="D20" s="26" t="s">
        <v>91</v>
      </c>
      <c r="E20" s="23" t="s">
        <v>291</v>
      </c>
      <c r="F20" s="24"/>
      <c r="G20" s="24"/>
      <c r="H20" s="24" t="s">
        <v>1379</v>
      </c>
      <c r="I20" s="74" t="s">
        <v>82</v>
      </c>
      <c r="J20" s="94" t="n">
        <v>13.77</v>
      </c>
      <c r="K20" s="74" t="s">
        <v>943</v>
      </c>
      <c r="L20" s="91"/>
      <c r="M20" s="58"/>
      <c r="N20" s="26" t="s">
        <v>4180</v>
      </c>
      <c r="O20" s="96" t="s">
        <v>1380</v>
      </c>
      <c r="P20" s="24"/>
      <c r="Q20" s="105" t="s">
        <v>902</v>
      </c>
      <c r="R20" s="92"/>
      <c r="S20" s="91" t="str">
        <f aca="false">IF(OR(R20="",J20=""),"",ROUND(J20*(1+R20/100),2))</f>
        <v/>
      </c>
      <c r="T20" s="93" t="n">
        <v>20</v>
      </c>
      <c r="U20" s="24" t="s">
        <v>290</v>
      </c>
      <c r="V20" s="61" t="s">
        <v>95</v>
      </c>
    </row>
  </sheetData>
  <autoFilter ref="A1:V20"/>
  <hyperlinks>
    <hyperlink ref="V2" r:id="rId1" display="Voir la fiche"/>
    <hyperlink ref="V3" r:id="rId2" display="Voir la fiche"/>
    <hyperlink ref="V4" r:id="rId3" display="Voir la fiche"/>
    <hyperlink ref="V6" r:id="rId4" display="Voir la fiche"/>
    <hyperlink ref="V7" r:id="rId5" display="Voir la fiche"/>
    <hyperlink ref="V8" r:id="rId6" display="Voir la fiche"/>
    <hyperlink ref="V10" r:id="rId7" display="Voir la fiche"/>
    <hyperlink ref="V11" r:id="rId8" display="Voir la fiche"/>
    <hyperlink ref="V12" r:id="rId9" display="Voir la fiche"/>
    <hyperlink ref="V13" r:id="rId10" display="Voir la fiche"/>
    <hyperlink ref="V14" r:id="rId11" display="Voir la fiche"/>
    <hyperlink ref="V15" r:id="rId12" display="Voir la fiche"/>
    <hyperlink ref="V16" r:id="rId13" display="Voir la fiche"/>
    <hyperlink ref="V17" r:id="rId14" display="Voir la fiche"/>
    <hyperlink ref="V20" r:id="rId15"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8C"/>
    <pageSetUpPr fitToPage="true"/>
  </sheetPr>
  <dimension ref="A1:V4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23.85" hidden="false" customHeight="false" outlineLevel="0" collapsed="false">
      <c r="A2" s="88" t="s">
        <v>1381</v>
      </c>
      <c r="B2" s="88" t="s">
        <v>1382</v>
      </c>
      <c r="C2" s="89" t="s">
        <v>292</v>
      </c>
      <c r="D2" s="90" t="s">
        <v>145</v>
      </c>
      <c r="E2" s="89" t="s">
        <v>293</v>
      </c>
      <c r="F2" s="88" t="s">
        <v>1383</v>
      </c>
      <c r="G2" s="88" t="s">
        <v>4277</v>
      </c>
      <c r="H2" s="88" t="s">
        <v>1384</v>
      </c>
      <c r="I2" s="88" t="s">
        <v>76</v>
      </c>
      <c r="J2" s="98" t="n">
        <v>1.59</v>
      </c>
      <c r="K2" s="88" t="s">
        <v>939</v>
      </c>
      <c r="L2" s="98"/>
      <c r="M2" s="99"/>
      <c r="N2" s="90" t="s">
        <v>4180</v>
      </c>
      <c r="O2" s="100" t="s">
        <v>963</v>
      </c>
      <c r="P2" s="88"/>
      <c r="Q2" s="101" t="s">
        <v>889</v>
      </c>
      <c r="R2" s="102"/>
      <c r="S2" s="98" t="str">
        <f aca="false">IF(OR(R2="",J2=""),"",ROUND(J2*(1+R2/100),2))</f>
        <v/>
      </c>
      <c r="T2" s="103" t="n">
        <v>20</v>
      </c>
      <c r="U2" s="88" t="s">
        <v>93</v>
      </c>
      <c r="V2" s="104" t="s">
        <v>95</v>
      </c>
    </row>
    <row r="3" customFormat="false" ht="15" hidden="false" customHeight="false" outlineLevel="0" collapsed="false">
      <c r="A3" s="20" t="s">
        <v>1391</v>
      </c>
      <c r="B3" s="20" t="s">
        <v>1382</v>
      </c>
      <c r="C3" s="19" t="s">
        <v>294</v>
      </c>
      <c r="D3" s="22" t="s">
        <v>145</v>
      </c>
      <c r="E3" s="19" t="s">
        <v>295</v>
      </c>
      <c r="F3" s="20" t="s">
        <v>1395</v>
      </c>
      <c r="G3" s="20" t="s">
        <v>4278</v>
      </c>
      <c r="H3" s="20" t="s">
        <v>1396</v>
      </c>
      <c r="I3" s="20" t="s">
        <v>76</v>
      </c>
      <c r="J3" s="95" t="n">
        <v>91.61</v>
      </c>
      <c r="K3" s="20" t="s">
        <v>939</v>
      </c>
      <c r="L3" s="95"/>
      <c r="M3" s="52"/>
      <c r="N3" s="22" t="s">
        <v>4180</v>
      </c>
      <c r="O3" s="22" t="s">
        <v>1085</v>
      </c>
      <c r="P3" s="20"/>
      <c r="Q3" s="19"/>
      <c r="R3" s="92"/>
      <c r="S3" s="95" t="str">
        <f aca="false">IF(OR(R3="",J3=""),"",ROUND(J3*(1+R3/100),2))</f>
        <v/>
      </c>
      <c r="T3" s="97" t="n">
        <v>20</v>
      </c>
      <c r="U3" s="20" t="s">
        <v>93</v>
      </c>
      <c r="V3" s="55" t="s">
        <v>95</v>
      </c>
    </row>
    <row r="4" customFormat="false" ht="23.85" hidden="false" customHeight="false" outlineLevel="0" collapsed="false">
      <c r="A4" s="24" t="s">
        <v>1397</v>
      </c>
      <c r="B4" s="24" t="s">
        <v>1382</v>
      </c>
      <c r="C4" s="23" t="s">
        <v>296</v>
      </c>
      <c r="D4" s="26" t="s">
        <v>137</v>
      </c>
      <c r="E4" s="23" t="s">
        <v>297</v>
      </c>
      <c r="F4" s="24" t="s">
        <v>1400</v>
      </c>
      <c r="G4" s="24" t="s">
        <v>4279</v>
      </c>
      <c r="H4" s="24" t="s">
        <v>1401</v>
      </c>
      <c r="I4" s="24" t="s">
        <v>76</v>
      </c>
      <c r="J4" s="91" t="n">
        <v>4.03</v>
      </c>
      <c r="K4" s="24" t="s">
        <v>939</v>
      </c>
      <c r="L4" s="91"/>
      <c r="M4" s="58"/>
      <c r="N4" s="26" t="s">
        <v>4180</v>
      </c>
      <c r="O4" s="26" t="s">
        <v>942</v>
      </c>
      <c r="P4" s="24"/>
      <c r="Q4" s="23"/>
      <c r="R4" s="92"/>
      <c r="S4" s="91" t="str">
        <f aca="false">IF(OR(R4="",J4=""),"",ROUND(J4*(1+R4/100),2))</f>
        <v/>
      </c>
      <c r="T4" s="93" t="n">
        <v>20</v>
      </c>
      <c r="U4" s="24" t="s">
        <v>93</v>
      </c>
      <c r="V4" s="61" t="s">
        <v>95</v>
      </c>
    </row>
    <row r="5" customFormat="false" ht="15" hidden="false" customHeight="false" outlineLevel="0" collapsed="false">
      <c r="A5" s="20" t="s">
        <v>1407</v>
      </c>
      <c r="B5" s="20" t="s">
        <v>1382</v>
      </c>
      <c r="C5" s="19" t="s">
        <v>298</v>
      </c>
      <c r="D5" s="22" t="s">
        <v>137</v>
      </c>
      <c r="E5" s="19" t="s">
        <v>299</v>
      </c>
      <c r="F5" s="20" t="s">
        <v>1400</v>
      </c>
      <c r="G5" s="20" t="s">
        <v>4279</v>
      </c>
      <c r="H5" s="20" t="s">
        <v>1408</v>
      </c>
      <c r="I5" s="20" t="s">
        <v>76</v>
      </c>
      <c r="J5" s="95" t="n">
        <v>4.03</v>
      </c>
      <c r="K5" s="20" t="s">
        <v>939</v>
      </c>
      <c r="L5" s="95"/>
      <c r="M5" s="52"/>
      <c r="N5" s="22" t="s">
        <v>4180</v>
      </c>
      <c r="O5" s="22" t="s">
        <v>942</v>
      </c>
      <c r="P5" s="20"/>
      <c r="Q5" s="19"/>
      <c r="R5" s="92"/>
      <c r="S5" s="95" t="str">
        <f aca="false">IF(OR(R5="",J5=""),"",ROUND(J5*(1+R5/100),2))</f>
        <v/>
      </c>
      <c r="T5" s="97" t="n">
        <v>20</v>
      </c>
      <c r="U5" s="20" t="s">
        <v>93</v>
      </c>
      <c r="V5" s="55" t="s">
        <v>95</v>
      </c>
    </row>
    <row r="6" customFormat="false" ht="23.85" hidden="false" customHeight="false" outlineLevel="0" collapsed="false">
      <c r="A6" s="88" t="s">
        <v>1411</v>
      </c>
      <c r="B6" s="88" t="s">
        <v>1382</v>
      </c>
      <c r="C6" s="89" t="s">
        <v>300</v>
      </c>
      <c r="D6" s="90" t="s">
        <v>137</v>
      </c>
      <c r="E6" s="89" t="s">
        <v>301</v>
      </c>
      <c r="F6" s="88" t="s">
        <v>1383</v>
      </c>
      <c r="G6" s="88" t="s">
        <v>4280</v>
      </c>
      <c r="H6" s="88" t="s">
        <v>1412</v>
      </c>
      <c r="I6" s="88" t="s">
        <v>76</v>
      </c>
      <c r="J6" s="98" t="n">
        <v>1.48</v>
      </c>
      <c r="K6" s="88" t="s">
        <v>939</v>
      </c>
      <c r="L6" s="98"/>
      <c r="M6" s="99"/>
      <c r="N6" s="90" t="s">
        <v>4180</v>
      </c>
      <c r="O6" s="100" t="s">
        <v>963</v>
      </c>
      <c r="P6" s="88"/>
      <c r="Q6" s="101" t="s">
        <v>889</v>
      </c>
      <c r="R6" s="102"/>
      <c r="S6" s="98" t="str">
        <f aca="false">IF(OR(R6="",J6=""),"",ROUND(J6*(1+R6/100),2))</f>
        <v/>
      </c>
      <c r="T6" s="103" t="n">
        <v>20</v>
      </c>
      <c r="U6" s="88" t="s">
        <v>93</v>
      </c>
      <c r="V6" s="104" t="s">
        <v>95</v>
      </c>
    </row>
    <row r="7" customFormat="false" ht="22.35" hidden="false" customHeight="false" outlineLevel="0" collapsed="false">
      <c r="A7" s="85" t="s">
        <v>4281</v>
      </c>
      <c r="B7" s="85" t="s">
        <v>1382</v>
      </c>
      <c r="C7" s="86" t="s">
        <v>904</v>
      </c>
      <c r="D7" s="87" t="s">
        <v>145</v>
      </c>
      <c r="E7" s="86"/>
      <c r="F7" s="85"/>
      <c r="G7" s="85"/>
      <c r="H7" s="85"/>
      <c r="I7" s="85" t="s">
        <v>894</v>
      </c>
      <c r="J7" s="107"/>
      <c r="K7" s="85"/>
      <c r="L7" s="107"/>
      <c r="M7" s="108"/>
      <c r="N7" s="87"/>
      <c r="O7" s="109" t="s">
        <v>52</v>
      </c>
      <c r="P7" s="85"/>
      <c r="Q7" s="110" t="s">
        <v>895</v>
      </c>
      <c r="R7" s="111"/>
      <c r="S7" s="107" t="str">
        <f aca="false">IF(OR(R7="",J7=""),"",ROUND(J7*(1+R7/100),2))</f>
        <v/>
      </c>
      <c r="T7" s="112" t="n">
        <v>20</v>
      </c>
      <c r="U7" s="85"/>
      <c r="V7" s="85"/>
    </row>
    <row r="8" customFormat="false" ht="23.85" hidden="false" customHeight="false" outlineLevel="0" collapsed="false">
      <c r="A8" s="24" t="s">
        <v>1420</v>
      </c>
      <c r="B8" s="24" t="s">
        <v>1421</v>
      </c>
      <c r="C8" s="23" t="s">
        <v>302</v>
      </c>
      <c r="D8" s="26" t="s">
        <v>91</v>
      </c>
      <c r="E8" s="23" t="s">
        <v>304</v>
      </c>
      <c r="F8" s="24"/>
      <c r="G8" s="24"/>
      <c r="H8" s="24" t="s">
        <v>1422</v>
      </c>
      <c r="I8" s="24" t="s">
        <v>80</v>
      </c>
      <c r="J8" s="91" t="n">
        <v>3.82</v>
      </c>
      <c r="K8" s="24" t="s">
        <v>4233</v>
      </c>
      <c r="L8" s="91" t="n">
        <v>10.25</v>
      </c>
      <c r="M8" s="58" t="n">
        <v>62.7</v>
      </c>
      <c r="N8" s="26" t="s">
        <v>4180</v>
      </c>
      <c r="O8" s="26" t="s">
        <v>942</v>
      </c>
      <c r="P8" s="24"/>
      <c r="Q8" s="23"/>
      <c r="R8" s="92"/>
      <c r="S8" s="91" t="str">
        <f aca="false">IF(OR(R8="",J8=""),"",ROUND(J8*(1+R8/100),2))</f>
        <v/>
      </c>
      <c r="T8" s="93" t="n">
        <v>20</v>
      </c>
      <c r="U8" s="24" t="s">
        <v>303</v>
      </c>
      <c r="V8" s="61" t="s">
        <v>95</v>
      </c>
    </row>
    <row r="9" customFormat="false" ht="23.85" hidden="false" customHeight="false" outlineLevel="0" collapsed="false">
      <c r="A9" s="88" t="s">
        <v>1433</v>
      </c>
      <c r="B9" s="88" t="s">
        <v>1421</v>
      </c>
      <c r="C9" s="89" t="s">
        <v>305</v>
      </c>
      <c r="D9" s="90" t="s">
        <v>91</v>
      </c>
      <c r="E9" s="89" t="s">
        <v>306</v>
      </c>
      <c r="F9" s="88" t="s">
        <v>1428</v>
      </c>
      <c r="G9" s="88" t="s">
        <v>4282</v>
      </c>
      <c r="H9" s="88" t="s">
        <v>1434</v>
      </c>
      <c r="I9" s="88" t="s">
        <v>76</v>
      </c>
      <c r="J9" s="98" t="n">
        <v>8.55</v>
      </c>
      <c r="K9" s="88" t="s">
        <v>939</v>
      </c>
      <c r="L9" s="98"/>
      <c r="M9" s="99"/>
      <c r="N9" s="90" t="s">
        <v>4180</v>
      </c>
      <c r="O9" s="100" t="s">
        <v>1052</v>
      </c>
      <c r="P9" s="88"/>
      <c r="Q9" s="101" t="s">
        <v>889</v>
      </c>
      <c r="R9" s="102"/>
      <c r="S9" s="98" t="str">
        <f aca="false">IF(OR(R9="",J9=""),"",ROUND(J9*(1+R9/100),2))</f>
        <v/>
      </c>
      <c r="T9" s="103" t="n">
        <v>20</v>
      </c>
      <c r="U9" s="88" t="s">
        <v>93</v>
      </c>
      <c r="V9" s="104" t="s">
        <v>95</v>
      </c>
    </row>
    <row r="10" customFormat="false" ht="15" hidden="false" customHeight="false" outlineLevel="0" collapsed="false">
      <c r="A10" s="24" t="s">
        <v>1435</v>
      </c>
      <c r="B10" s="24" t="s">
        <v>1421</v>
      </c>
      <c r="C10" s="23" t="s">
        <v>307</v>
      </c>
      <c r="D10" s="26" t="s">
        <v>91</v>
      </c>
      <c r="E10" s="23" t="s">
        <v>308</v>
      </c>
      <c r="F10" s="24" t="s">
        <v>1383</v>
      </c>
      <c r="G10" s="24" t="s">
        <v>4283</v>
      </c>
      <c r="H10" s="24" t="s">
        <v>1436</v>
      </c>
      <c r="I10" s="24" t="s">
        <v>76</v>
      </c>
      <c r="J10" s="91" t="n">
        <v>1.73</v>
      </c>
      <c r="K10" s="24" t="s">
        <v>4198</v>
      </c>
      <c r="L10" s="91" t="n">
        <v>20.22</v>
      </c>
      <c r="M10" s="58" t="n">
        <v>91.4</v>
      </c>
      <c r="N10" s="26" t="s">
        <v>4180</v>
      </c>
      <c r="O10" s="26" t="s">
        <v>942</v>
      </c>
      <c r="P10" s="24"/>
      <c r="Q10" s="23"/>
      <c r="R10" s="92"/>
      <c r="S10" s="91" t="str">
        <f aca="false">IF(OR(R10="",J10=""),"",ROUND(J10*(1+R10/100),2))</f>
        <v/>
      </c>
      <c r="T10" s="93" t="n">
        <v>20</v>
      </c>
      <c r="U10" s="24" t="s">
        <v>93</v>
      </c>
      <c r="V10" s="61" t="s">
        <v>95</v>
      </c>
    </row>
    <row r="11" customFormat="false" ht="15" hidden="false" customHeight="false" outlineLevel="0" collapsed="false">
      <c r="A11" s="88" t="s">
        <v>1442</v>
      </c>
      <c r="B11" s="88" t="s">
        <v>1421</v>
      </c>
      <c r="C11" s="89" t="s">
        <v>309</v>
      </c>
      <c r="D11" s="90" t="s">
        <v>91</v>
      </c>
      <c r="E11" s="89" t="s">
        <v>308</v>
      </c>
      <c r="F11" s="88" t="s">
        <v>1383</v>
      </c>
      <c r="G11" s="88" t="s">
        <v>4283</v>
      </c>
      <c r="H11" s="88" t="s">
        <v>1436</v>
      </c>
      <c r="I11" s="88" t="s">
        <v>76</v>
      </c>
      <c r="J11" s="98" t="n">
        <v>1.73</v>
      </c>
      <c r="K11" s="88" t="s">
        <v>4179</v>
      </c>
      <c r="L11" s="98" t="n">
        <v>6.1</v>
      </c>
      <c r="M11" s="99" t="n">
        <v>71.6</v>
      </c>
      <c r="N11" s="90" t="s">
        <v>4180</v>
      </c>
      <c r="O11" s="100" t="s">
        <v>963</v>
      </c>
      <c r="P11" s="88"/>
      <c r="Q11" s="101" t="s">
        <v>889</v>
      </c>
      <c r="R11" s="102"/>
      <c r="S11" s="98" t="str">
        <f aca="false">IF(OR(R11="",J11=""),"",ROUND(J11*(1+R11/100),2))</f>
        <v/>
      </c>
      <c r="T11" s="103" t="n">
        <v>20</v>
      </c>
      <c r="U11" s="88" t="s">
        <v>93</v>
      </c>
      <c r="V11" s="104" t="s">
        <v>95</v>
      </c>
    </row>
    <row r="12" customFormat="false" ht="15" hidden="false" customHeight="false" outlineLevel="0" collapsed="false">
      <c r="A12" s="88" t="s">
        <v>1445</v>
      </c>
      <c r="B12" s="88" t="s">
        <v>1421</v>
      </c>
      <c r="C12" s="89" t="s">
        <v>310</v>
      </c>
      <c r="D12" s="90" t="s">
        <v>91</v>
      </c>
      <c r="E12" s="89" t="s">
        <v>311</v>
      </c>
      <c r="F12" s="88" t="s">
        <v>1446</v>
      </c>
      <c r="G12" s="88" t="s">
        <v>4284</v>
      </c>
      <c r="H12" s="88" t="s">
        <v>1447</v>
      </c>
      <c r="I12" s="88" t="s">
        <v>76</v>
      </c>
      <c r="J12" s="98" t="n">
        <v>2.75</v>
      </c>
      <c r="K12" s="88" t="s">
        <v>4233</v>
      </c>
      <c r="L12" s="98" t="n">
        <v>12.06</v>
      </c>
      <c r="M12" s="99" t="n">
        <v>77.2</v>
      </c>
      <c r="N12" s="90" t="s">
        <v>4180</v>
      </c>
      <c r="O12" s="100" t="s">
        <v>1052</v>
      </c>
      <c r="P12" s="88"/>
      <c r="Q12" s="101" t="s">
        <v>889</v>
      </c>
      <c r="R12" s="102"/>
      <c r="S12" s="98" t="str">
        <f aca="false">IF(OR(R12="",J12=""),"",ROUND(J12*(1+R12/100),2))</f>
        <v/>
      </c>
      <c r="T12" s="103" t="n">
        <v>20</v>
      </c>
      <c r="U12" s="88" t="s">
        <v>93</v>
      </c>
      <c r="V12" s="104" t="s">
        <v>95</v>
      </c>
    </row>
    <row r="13" customFormat="false" ht="15" hidden="false" customHeight="false" outlineLevel="0" collapsed="false">
      <c r="A13" s="20" t="s">
        <v>1454</v>
      </c>
      <c r="B13" s="20" t="s">
        <v>1421</v>
      </c>
      <c r="C13" s="19" t="s">
        <v>312</v>
      </c>
      <c r="D13" s="22" t="s">
        <v>91</v>
      </c>
      <c r="E13" s="19" t="s">
        <v>314</v>
      </c>
      <c r="F13" s="20"/>
      <c r="G13" s="20"/>
      <c r="H13" s="20" t="s">
        <v>1455</v>
      </c>
      <c r="I13" s="74" t="s">
        <v>79</v>
      </c>
      <c r="J13" s="94" t="n">
        <v>11.14</v>
      </c>
      <c r="K13" s="74" t="s">
        <v>4285</v>
      </c>
      <c r="L13" s="95" t="n">
        <v>16.3</v>
      </c>
      <c r="M13" s="52" t="n">
        <v>31.7</v>
      </c>
      <c r="N13" s="22" t="s">
        <v>4180</v>
      </c>
      <c r="O13" s="96" t="s">
        <v>1016</v>
      </c>
      <c r="P13" s="20"/>
      <c r="Q13" s="106" t="s">
        <v>889</v>
      </c>
      <c r="R13" s="92"/>
      <c r="S13" s="95" t="str">
        <f aca="false">IF(OR(R13="",J13=""),"",ROUND(J13*(1+R13/100),2))</f>
        <v/>
      </c>
      <c r="T13" s="97" t="n">
        <v>20</v>
      </c>
      <c r="U13" s="20" t="s">
        <v>313</v>
      </c>
      <c r="V13" s="55" t="s">
        <v>95</v>
      </c>
    </row>
    <row r="14" customFormat="false" ht="23.85" hidden="false" customHeight="false" outlineLevel="0" collapsed="false">
      <c r="A14" s="24" t="s">
        <v>1463</v>
      </c>
      <c r="B14" s="24" t="s">
        <v>1464</v>
      </c>
      <c r="C14" s="23" t="s">
        <v>315</v>
      </c>
      <c r="D14" s="26" t="s">
        <v>91</v>
      </c>
      <c r="E14" s="23" t="s">
        <v>316</v>
      </c>
      <c r="F14" s="24" t="s">
        <v>1389</v>
      </c>
      <c r="G14" s="24" t="s">
        <v>4286</v>
      </c>
      <c r="H14" s="24" t="s">
        <v>1465</v>
      </c>
      <c r="I14" s="74" t="s">
        <v>81</v>
      </c>
      <c r="J14" s="94" t="n">
        <v>7.57</v>
      </c>
      <c r="K14" s="74" t="s">
        <v>4241</v>
      </c>
      <c r="L14" s="91" t="n">
        <v>7.91</v>
      </c>
      <c r="M14" s="58" t="n">
        <v>4.3</v>
      </c>
      <c r="N14" s="26" t="s">
        <v>4180</v>
      </c>
      <c r="O14" s="96" t="s">
        <v>1007</v>
      </c>
      <c r="P14" s="24"/>
      <c r="Q14" s="23"/>
      <c r="R14" s="92"/>
      <c r="S14" s="91" t="str">
        <f aca="false">IF(OR(R14="",J14=""),"",ROUND(J14*(1+R14/100),2))</f>
        <v/>
      </c>
      <c r="T14" s="93" t="n">
        <v>20</v>
      </c>
      <c r="U14" s="24" t="s">
        <v>119</v>
      </c>
      <c r="V14" s="61" t="s">
        <v>95</v>
      </c>
    </row>
    <row r="15" customFormat="false" ht="23.85" hidden="false" customHeight="false" outlineLevel="0" collapsed="false">
      <c r="A15" s="20" t="s">
        <v>1468</v>
      </c>
      <c r="B15" s="20" t="s">
        <v>1464</v>
      </c>
      <c r="C15" s="19" t="s">
        <v>317</v>
      </c>
      <c r="D15" s="22" t="s">
        <v>91</v>
      </c>
      <c r="E15" s="19" t="s">
        <v>318</v>
      </c>
      <c r="F15" s="20"/>
      <c r="G15" s="20"/>
      <c r="H15" s="20" t="s">
        <v>1469</v>
      </c>
      <c r="I15" s="20" t="s">
        <v>80</v>
      </c>
      <c r="J15" s="95" t="n">
        <v>9.26</v>
      </c>
      <c r="K15" s="20" t="s">
        <v>939</v>
      </c>
      <c r="L15" s="95"/>
      <c r="M15" s="52"/>
      <c r="N15" s="22" t="s">
        <v>4180</v>
      </c>
      <c r="O15" s="22" t="s">
        <v>942</v>
      </c>
      <c r="P15" s="20"/>
      <c r="Q15" s="19"/>
      <c r="R15" s="92"/>
      <c r="S15" s="95" t="str">
        <f aca="false">IF(OR(R15="",J15=""),"",ROUND(J15*(1+R15/100),2))</f>
        <v/>
      </c>
      <c r="T15" s="97" t="n">
        <v>20</v>
      </c>
      <c r="U15" s="20" t="s">
        <v>303</v>
      </c>
      <c r="V15" s="55" t="s">
        <v>95</v>
      </c>
    </row>
    <row r="16" customFormat="false" ht="15" hidden="false" customHeight="false" outlineLevel="0" collapsed="false">
      <c r="A16" s="24" t="s">
        <v>1470</v>
      </c>
      <c r="B16" s="24" t="s">
        <v>1464</v>
      </c>
      <c r="C16" s="23" t="s">
        <v>319</v>
      </c>
      <c r="D16" s="26" t="s">
        <v>91</v>
      </c>
      <c r="E16" s="23" t="s">
        <v>320</v>
      </c>
      <c r="F16" s="24" t="s">
        <v>1471</v>
      </c>
      <c r="G16" s="24"/>
      <c r="H16" s="24" t="s">
        <v>1472</v>
      </c>
      <c r="I16" s="74" t="s">
        <v>81</v>
      </c>
      <c r="J16" s="94" t="n">
        <v>31.86</v>
      </c>
      <c r="K16" s="74" t="s">
        <v>4215</v>
      </c>
      <c r="L16" s="91" t="n">
        <v>42.44</v>
      </c>
      <c r="M16" s="58" t="n">
        <v>24.9</v>
      </c>
      <c r="N16" s="26" t="s">
        <v>4180</v>
      </c>
      <c r="O16" s="96" t="s">
        <v>1007</v>
      </c>
      <c r="P16" s="24"/>
      <c r="Q16" s="23"/>
      <c r="R16" s="92"/>
      <c r="S16" s="91" t="str">
        <f aca="false">IF(OR(R16="",J16=""),"",ROUND(J16*(1+R16/100),2))</f>
        <v/>
      </c>
      <c r="T16" s="93" t="n">
        <v>20</v>
      </c>
      <c r="U16" s="24" t="s">
        <v>169</v>
      </c>
      <c r="V16" s="61" t="s">
        <v>95</v>
      </c>
    </row>
    <row r="17" customFormat="false" ht="15" hidden="false" customHeight="false" outlineLevel="0" collapsed="false">
      <c r="A17" s="20" t="s">
        <v>1483</v>
      </c>
      <c r="B17" s="20" t="s">
        <v>1464</v>
      </c>
      <c r="C17" s="19" t="s">
        <v>321</v>
      </c>
      <c r="D17" s="22" t="s">
        <v>91</v>
      </c>
      <c r="E17" s="19" t="s">
        <v>322</v>
      </c>
      <c r="F17" s="20"/>
      <c r="G17" s="20"/>
      <c r="H17" s="20" t="s">
        <v>1484</v>
      </c>
      <c r="I17" s="20" t="s">
        <v>80</v>
      </c>
      <c r="J17" s="95" t="n">
        <v>50.06</v>
      </c>
      <c r="K17" s="20" t="s">
        <v>4233</v>
      </c>
      <c r="L17" s="95" t="n">
        <v>185.54</v>
      </c>
      <c r="M17" s="52" t="n">
        <v>73</v>
      </c>
      <c r="N17" s="22" t="s">
        <v>4180</v>
      </c>
      <c r="O17" s="22" t="s">
        <v>1085</v>
      </c>
      <c r="P17" s="20"/>
      <c r="Q17" s="19"/>
      <c r="R17" s="92"/>
      <c r="S17" s="95" t="str">
        <f aca="false">IF(OR(R17="",J17=""),"",ROUND(J17*(1+R17/100),2))</f>
        <v/>
      </c>
      <c r="T17" s="97" t="n">
        <v>20</v>
      </c>
      <c r="U17" s="20" t="s">
        <v>303</v>
      </c>
      <c r="V17" s="55" t="s">
        <v>95</v>
      </c>
    </row>
    <row r="18" customFormat="false" ht="15" hidden="false" customHeight="false" outlineLevel="0" collapsed="false">
      <c r="A18" s="24" t="s">
        <v>1495</v>
      </c>
      <c r="B18" s="24" t="s">
        <v>1464</v>
      </c>
      <c r="C18" s="23" t="s">
        <v>323</v>
      </c>
      <c r="D18" s="26" t="s">
        <v>91</v>
      </c>
      <c r="E18" s="23" t="s">
        <v>324</v>
      </c>
      <c r="F18" s="24" t="s">
        <v>1471</v>
      </c>
      <c r="G18" s="24"/>
      <c r="H18" s="24" t="s">
        <v>1496</v>
      </c>
      <c r="I18" s="74" t="s">
        <v>81</v>
      </c>
      <c r="J18" s="94" t="n">
        <v>49.03</v>
      </c>
      <c r="K18" s="74" t="s">
        <v>4215</v>
      </c>
      <c r="L18" s="91" t="n">
        <v>92.69</v>
      </c>
      <c r="M18" s="58" t="n">
        <v>47.1</v>
      </c>
      <c r="N18" s="26" t="s">
        <v>4180</v>
      </c>
      <c r="O18" s="96" t="s">
        <v>1007</v>
      </c>
      <c r="P18" s="24"/>
      <c r="Q18" s="23"/>
      <c r="R18" s="92"/>
      <c r="S18" s="91" t="str">
        <f aca="false">IF(OR(R18="",J18=""),"",ROUND(J18*(1+R18/100),2))</f>
        <v/>
      </c>
      <c r="T18" s="93" t="n">
        <v>20</v>
      </c>
      <c r="U18" s="24" t="s">
        <v>169</v>
      </c>
      <c r="V18" s="61" t="s">
        <v>95</v>
      </c>
    </row>
    <row r="19" customFormat="false" ht="23.85" hidden="false" customHeight="false" outlineLevel="0" collapsed="false">
      <c r="A19" s="20" t="s">
        <v>1506</v>
      </c>
      <c r="B19" s="20" t="s">
        <v>1464</v>
      </c>
      <c r="C19" s="19" t="s">
        <v>325</v>
      </c>
      <c r="D19" s="22" t="s">
        <v>91</v>
      </c>
      <c r="E19" s="19" t="s">
        <v>326</v>
      </c>
      <c r="F19" s="20" t="s">
        <v>1139</v>
      </c>
      <c r="G19" s="20" t="s">
        <v>4287</v>
      </c>
      <c r="H19" s="20" t="s">
        <v>1507</v>
      </c>
      <c r="I19" s="74" t="s">
        <v>81</v>
      </c>
      <c r="J19" s="94" t="n">
        <v>55.8</v>
      </c>
      <c r="K19" s="74" t="s">
        <v>4241</v>
      </c>
      <c r="L19" s="95" t="n">
        <v>69.76</v>
      </c>
      <c r="M19" s="52" t="n">
        <v>20</v>
      </c>
      <c r="N19" s="22" t="s">
        <v>4180</v>
      </c>
      <c r="O19" s="96" t="s">
        <v>1007</v>
      </c>
      <c r="P19" s="20"/>
      <c r="Q19" s="19"/>
      <c r="R19" s="92"/>
      <c r="S19" s="95" t="str">
        <f aca="false">IF(OR(R19="",J19=""),"",ROUND(J19*(1+R19/100),2))</f>
        <v/>
      </c>
      <c r="T19" s="97" t="n">
        <v>20</v>
      </c>
      <c r="U19" s="20" t="s">
        <v>169</v>
      </c>
      <c r="V19" s="55" t="s">
        <v>95</v>
      </c>
    </row>
    <row r="20" customFormat="false" ht="15" hidden="false" customHeight="false" outlineLevel="0" collapsed="false">
      <c r="A20" s="24" t="s">
        <v>1512</v>
      </c>
      <c r="B20" s="24" t="s">
        <v>1464</v>
      </c>
      <c r="C20" s="23" t="s">
        <v>327</v>
      </c>
      <c r="D20" s="26" t="s">
        <v>91</v>
      </c>
      <c r="E20" s="23" t="s">
        <v>328</v>
      </c>
      <c r="F20" s="24" t="s">
        <v>1383</v>
      </c>
      <c r="G20" s="24" t="s">
        <v>4288</v>
      </c>
      <c r="H20" s="24" t="s">
        <v>1513</v>
      </c>
      <c r="I20" s="24" t="s">
        <v>76</v>
      </c>
      <c r="J20" s="91" t="n">
        <v>2.59</v>
      </c>
      <c r="K20" s="24" t="s">
        <v>4233</v>
      </c>
      <c r="L20" s="91" t="n">
        <v>12.13</v>
      </c>
      <c r="M20" s="58" t="n">
        <v>78.6</v>
      </c>
      <c r="N20" s="26" t="s">
        <v>4180</v>
      </c>
      <c r="O20" s="26" t="s">
        <v>942</v>
      </c>
      <c r="P20" s="24"/>
      <c r="Q20" s="23"/>
      <c r="R20" s="92"/>
      <c r="S20" s="91" t="str">
        <f aca="false">IF(OR(R20="",J20=""),"",ROUND(J20*(1+R20/100),2))</f>
        <v/>
      </c>
      <c r="T20" s="93" t="n">
        <v>20</v>
      </c>
      <c r="U20" s="24" t="s">
        <v>93</v>
      </c>
      <c r="V20" s="61" t="s">
        <v>95</v>
      </c>
    </row>
    <row r="21" customFormat="false" ht="23.85" hidden="false" customHeight="false" outlineLevel="0" collapsed="false">
      <c r="A21" s="20" t="s">
        <v>1520</v>
      </c>
      <c r="B21" s="20" t="s">
        <v>1521</v>
      </c>
      <c r="C21" s="19" t="s">
        <v>329</v>
      </c>
      <c r="D21" s="22" t="s">
        <v>137</v>
      </c>
      <c r="E21" s="19" t="s">
        <v>330</v>
      </c>
      <c r="F21" s="20" t="s">
        <v>1522</v>
      </c>
      <c r="G21" s="20" t="s">
        <v>4289</v>
      </c>
      <c r="H21" s="20" t="s">
        <v>1523</v>
      </c>
      <c r="I21" s="74" t="s">
        <v>81</v>
      </c>
      <c r="J21" s="94" t="n">
        <v>3.01</v>
      </c>
      <c r="K21" s="74" t="s">
        <v>4241</v>
      </c>
      <c r="L21" s="95" t="n">
        <v>3.14</v>
      </c>
      <c r="M21" s="52" t="n">
        <v>4.1</v>
      </c>
      <c r="N21" s="22" t="s">
        <v>4180</v>
      </c>
      <c r="O21" s="96" t="s">
        <v>1007</v>
      </c>
      <c r="P21" s="20"/>
      <c r="Q21" s="19"/>
      <c r="R21" s="92"/>
      <c r="S21" s="95" t="str">
        <f aca="false">IF(OR(R21="",J21=""),"",ROUND(J21*(1+R21/100),2))</f>
        <v/>
      </c>
      <c r="T21" s="97" t="n">
        <v>20</v>
      </c>
      <c r="U21" s="20" t="s">
        <v>169</v>
      </c>
      <c r="V21" s="55" t="s">
        <v>95</v>
      </c>
    </row>
    <row r="22" customFormat="false" ht="15" hidden="false" customHeight="false" outlineLevel="0" collapsed="false">
      <c r="A22" s="24" t="s">
        <v>1528</v>
      </c>
      <c r="B22" s="24" t="s">
        <v>1521</v>
      </c>
      <c r="C22" s="23" t="s">
        <v>331</v>
      </c>
      <c r="D22" s="26" t="s">
        <v>137</v>
      </c>
      <c r="E22" s="23" t="s">
        <v>332</v>
      </c>
      <c r="F22" s="24" t="s">
        <v>1529</v>
      </c>
      <c r="G22" s="24" t="s">
        <v>4290</v>
      </c>
      <c r="H22" s="24" t="s">
        <v>1530</v>
      </c>
      <c r="I22" s="74" t="s">
        <v>81</v>
      </c>
      <c r="J22" s="94" t="n">
        <v>5.87</v>
      </c>
      <c r="K22" s="74" t="s">
        <v>4191</v>
      </c>
      <c r="L22" s="91" t="n">
        <v>6.47</v>
      </c>
      <c r="M22" s="58" t="n">
        <v>9.3</v>
      </c>
      <c r="N22" s="26" t="s">
        <v>4180</v>
      </c>
      <c r="O22" s="96" t="s">
        <v>1007</v>
      </c>
      <c r="P22" s="24"/>
      <c r="Q22" s="23"/>
      <c r="R22" s="92"/>
      <c r="S22" s="91" t="str">
        <f aca="false">IF(OR(R22="",J22=""),"",ROUND(J22*(1+R22/100),2))</f>
        <v/>
      </c>
      <c r="T22" s="93" t="n">
        <v>20</v>
      </c>
      <c r="U22" s="24" t="s">
        <v>169</v>
      </c>
      <c r="V22" s="61" t="s">
        <v>95</v>
      </c>
    </row>
    <row r="23" customFormat="false" ht="15" hidden="false" customHeight="false" outlineLevel="0" collapsed="false">
      <c r="A23" s="20" t="s">
        <v>1538</v>
      </c>
      <c r="B23" s="20" t="s">
        <v>1521</v>
      </c>
      <c r="C23" s="19" t="s">
        <v>333</v>
      </c>
      <c r="D23" s="22" t="s">
        <v>91</v>
      </c>
      <c r="E23" s="19" t="s">
        <v>334</v>
      </c>
      <c r="F23" s="20" t="s">
        <v>1539</v>
      </c>
      <c r="G23" s="20" t="s">
        <v>4291</v>
      </c>
      <c r="H23" s="20" t="s">
        <v>1540</v>
      </c>
      <c r="I23" s="74" t="s">
        <v>81</v>
      </c>
      <c r="J23" s="94" t="n">
        <v>4.14</v>
      </c>
      <c r="K23" s="74" t="s">
        <v>4191</v>
      </c>
      <c r="L23" s="95" t="n">
        <v>4.56</v>
      </c>
      <c r="M23" s="52" t="n">
        <v>9.2</v>
      </c>
      <c r="N23" s="22" t="s">
        <v>4180</v>
      </c>
      <c r="O23" s="96" t="s">
        <v>1007</v>
      </c>
      <c r="P23" s="20"/>
      <c r="Q23" s="19"/>
      <c r="R23" s="92"/>
      <c r="S23" s="95" t="str">
        <f aca="false">IF(OR(R23="",J23=""),"",ROUND(J23*(1+R23/100),2))</f>
        <v/>
      </c>
      <c r="T23" s="97" t="n">
        <v>20</v>
      </c>
      <c r="U23" s="20" t="s">
        <v>169</v>
      </c>
      <c r="V23" s="55" t="s">
        <v>95</v>
      </c>
    </row>
    <row r="24" customFormat="false" ht="15" hidden="false" customHeight="false" outlineLevel="0" collapsed="false">
      <c r="A24" s="88" t="s">
        <v>1549</v>
      </c>
      <c r="B24" s="88" t="s">
        <v>1521</v>
      </c>
      <c r="C24" s="89" t="s">
        <v>335</v>
      </c>
      <c r="D24" s="90" t="s">
        <v>91</v>
      </c>
      <c r="E24" s="89" t="s">
        <v>336</v>
      </c>
      <c r="F24" s="88" t="s">
        <v>1550</v>
      </c>
      <c r="G24" s="88" t="s">
        <v>4292</v>
      </c>
      <c r="H24" s="88" t="s">
        <v>1551</v>
      </c>
      <c r="I24" s="88" t="s">
        <v>76</v>
      </c>
      <c r="J24" s="98" t="n">
        <v>19.45</v>
      </c>
      <c r="K24" s="88" t="s">
        <v>4179</v>
      </c>
      <c r="L24" s="98" t="n">
        <v>23.93</v>
      </c>
      <c r="M24" s="99" t="n">
        <v>18.7</v>
      </c>
      <c r="N24" s="90" t="s">
        <v>4180</v>
      </c>
      <c r="O24" s="100" t="s">
        <v>1052</v>
      </c>
      <c r="P24" s="88"/>
      <c r="Q24" s="101" t="s">
        <v>889</v>
      </c>
      <c r="R24" s="102"/>
      <c r="S24" s="98" t="str">
        <f aca="false">IF(OR(R24="",J24=""),"",ROUND(J24*(1+R24/100),2))</f>
        <v/>
      </c>
      <c r="T24" s="103" t="n">
        <v>20</v>
      </c>
      <c r="U24" s="88" t="s">
        <v>93</v>
      </c>
      <c r="V24" s="104" t="s">
        <v>95</v>
      </c>
    </row>
    <row r="25" customFormat="false" ht="15" hidden="false" customHeight="false" outlineLevel="0" collapsed="false">
      <c r="A25" s="20" t="s">
        <v>1554</v>
      </c>
      <c r="B25" s="20" t="s">
        <v>1521</v>
      </c>
      <c r="C25" s="19" t="s">
        <v>337</v>
      </c>
      <c r="D25" s="22" t="s">
        <v>91</v>
      </c>
      <c r="E25" s="19" t="s">
        <v>338</v>
      </c>
      <c r="F25" s="20" t="s">
        <v>1550</v>
      </c>
      <c r="G25" s="20" t="s">
        <v>4293</v>
      </c>
      <c r="H25" s="20" t="s">
        <v>1555</v>
      </c>
      <c r="I25" s="20" t="s">
        <v>76</v>
      </c>
      <c r="J25" s="95" t="n">
        <v>25.32</v>
      </c>
      <c r="K25" s="20" t="s">
        <v>4179</v>
      </c>
      <c r="L25" s="95" t="n">
        <v>129.19</v>
      </c>
      <c r="M25" s="52" t="n">
        <v>80.4</v>
      </c>
      <c r="N25" s="22" t="s">
        <v>4180</v>
      </c>
      <c r="O25" s="22" t="s">
        <v>1085</v>
      </c>
      <c r="P25" s="20"/>
      <c r="Q25" s="19"/>
      <c r="R25" s="92"/>
      <c r="S25" s="95" t="str">
        <f aca="false">IF(OR(R25="",J25=""),"",ROUND(J25*(1+R25/100),2))</f>
        <v/>
      </c>
      <c r="T25" s="97" t="n">
        <v>20</v>
      </c>
      <c r="U25" s="20" t="s">
        <v>93</v>
      </c>
      <c r="V25" s="55" t="s">
        <v>95</v>
      </c>
    </row>
    <row r="26" customFormat="false" ht="23.85" hidden="false" customHeight="false" outlineLevel="0" collapsed="false">
      <c r="A26" s="24" t="s">
        <v>1559</v>
      </c>
      <c r="B26" s="24" t="s">
        <v>1521</v>
      </c>
      <c r="C26" s="23" t="s">
        <v>339</v>
      </c>
      <c r="D26" s="26" t="s">
        <v>91</v>
      </c>
      <c r="E26" s="23" t="s">
        <v>340</v>
      </c>
      <c r="F26" s="24" t="s">
        <v>1560</v>
      </c>
      <c r="G26" s="24" t="s">
        <v>4294</v>
      </c>
      <c r="H26" s="24" t="s">
        <v>1561</v>
      </c>
      <c r="I26" s="24" t="s">
        <v>76</v>
      </c>
      <c r="J26" s="91" t="n">
        <v>2.59</v>
      </c>
      <c r="K26" s="24" t="s">
        <v>4233</v>
      </c>
      <c r="L26" s="91" t="n">
        <v>16.66</v>
      </c>
      <c r="M26" s="58" t="n">
        <v>84.5</v>
      </c>
      <c r="N26" s="26" t="s">
        <v>4180</v>
      </c>
      <c r="O26" s="26" t="s">
        <v>1085</v>
      </c>
      <c r="P26" s="24"/>
      <c r="Q26" s="23"/>
      <c r="R26" s="92"/>
      <c r="S26" s="91" t="str">
        <f aca="false">IF(OR(R26="",J26=""),"",ROUND(J26*(1+R26/100),2))</f>
        <v/>
      </c>
      <c r="T26" s="93" t="n">
        <v>20</v>
      </c>
      <c r="U26" s="24" t="s">
        <v>93</v>
      </c>
      <c r="V26" s="61" t="s">
        <v>95</v>
      </c>
    </row>
    <row r="27" customFormat="false" ht="15" hidden="false" customHeight="false" outlineLevel="0" collapsed="false">
      <c r="A27" s="20" t="s">
        <v>1571</v>
      </c>
      <c r="B27" s="20" t="s">
        <v>1521</v>
      </c>
      <c r="C27" s="19" t="s">
        <v>341</v>
      </c>
      <c r="D27" s="22" t="s">
        <v>91</v>
      </c>
      <c r="E27" s="19" t="s">
        <v>342</v>
      </c>
      <c r="F27" s="20"/>
      <c r="G27" s="20"/>
      <c r="H27" s="20" t="s">
        <v>1572</v>
      </c>
      <c r="I27" s="74" t="s">
        <v>79</v>
      </c>
      <c r="J27" s="94" t="n">
        <v>12.23</v>
      </c>
      <c r="K27" s="74" t="s">
        <v>4189</v>
      </c>
      <c r="L27" s="95" t="n">
        <v>99.26</v>
      </c>
      <c r="M27" s="52" t="n">
        <v>87.7</v>
      </c>
      <c r="N27" s="22" t="s">
        <v>4180</v>
      </c>
      <c r="O27" s="96" t="s">
        <v>1387</v>
      </c>
      <c r="P27" s="20"/>
      <c r="Q27" s="19"/>
      <c r="R27" s="92"/>
      <c r="S27" s="95" t="str">
        <f aca="false">IF(OR(R27="",J27=""),"",ROUND(J27*(1+R27/100),2))</f>
        <v/>
      </c>
      <c r="T27" s="97" t="n">
        <v>20</v>
      </c>
      <c r="U27" s="20" t="s">
        <v>313</v>
      </c>
      <c r="V27" s="55" t="s">
        <v>95</v>
      </c>
    </row>
    <row r="28" customFormat="false" ht="23.85" hidden="false" customHeight="false" outlineLevel="0" collapsed="false">
      <c r="A28" s="24" t="s">
        <v>1581</v>
      </c>
      <c r="B28" s="24" t="s">
        <v>1521</v>
      </c>
      <c r="C28" s="23" t="s">
        <v>343</v>
      </c>
      <c r="D28" s="26" t="s">
        <v>344</v>
      </c>
      <c r="E28" s="23" t="s">
        <v>345</v>
      </c>
      <c r="F28" s="24" t="s">
        <v>1293</v>
      </c>
      <c r="G28" s="24" t="s">
        <v>4295</v>
      </c>
      <c r="H28" s="24" t="s">
        <v>1582</v>
      </c>
      <c r="I28" s="24" t="s">
        <v>76</v>
      </c>
      <c r="J28" s="91" t="n">
        <v>9.6</v>
      </c>
      <c r="K28" s="24" t="s">
        <v>939</v>
      </c>
      <c r="L28" s="91"/>
      <c r="M28" s="58"/>
      <c r="N28" s="26" t="s">
        <v>4180</v>
      </c>
      <c r="O28" s="26" t="s">
        <v>942</v>
      </c>
      <c r="P28" s="24"/>
      <c r="Q28" s="23"/>
      <c r="R28" s="92"/>
      <c r="S28" s="91" t="str">
        <f aca="false">IF(OR(R28="",J28=""),"",ROUND(J28*(1+R28/100),2))</f>
        <v/>
      </c>
      <c r="T28" s="93" t="n">
        <v>20</v>
      </c>
      <c r="U28" s="24" t="s">
        <v>93</v>
      </c>
      <c r="V28" s="61" t="s">
        <v>95</v>
      </c>
    </row>
    <row r="29" customFormat="false" ht="23.85" hidden="false" customHeight="false" outlineLevel="0" collapsed="false">
      <c r="A29" s="20" t="s">
        <v>1590</v>
      </c>
      <c r="B29" s="20" t="s">
        <v>1591</v>
      </c>
      <c r="C29" s="19" t="s">
        <v>346</v>
      </c>
      <c r="D29" s="22" t="s">
        <v>91</v>
      </c>
      <c r="E29" s="19" t="s">
        <v>347</v>
      </c>
      <c r="F29" s="20" t="s">
        <v>1547</v>
      </c>
      <c r="G29" s="20" t="s">
        <v>4296</v>
      </c>
      <c r="H29" s="20" t="s">
        <v>1592</v>
      </c>
      <c r="I29" s="74" t="s">
        <v>81</v>
      </c>
      <c r="J29" s="94" t="n">
        <v>70.88</v>
      </c>
      <c r="K29" s="74" t="s">
        <v>4241</v>
      </c>
      <c r="L29" s="95" t="n">
        <v>83.24</v>
      </c>
      <c r="M29" s="52" t="n">
        <v>14.8</v>
      </c>
      <c r="N29" s="22" t="s">
        <v>4180</v>
      </c>
      <c r="O29" s="96" t="s">
        <v>1007</v>
      </c>
      <c r="P29" s="20"/>
      <c r="Q29" s="19"/>
      <c r="R29" s="92"/>
      <c r="S29" s="95" t="str">
        <f aca="false">IF(OR(R29="",J29=""),"",ROUND(J29*(1+R29/100),2))</f>
        <v/>
      </c>
      <c r="T29" s="97" t="n">
        <v>20</v>
      </c>
      <c r="U29" s="20" t="s">
        <v>169</v>
      </c>
      <c r="V29" s="55" t="s">
        <v>95</v>
      </c>
    </row>
    <row r="30" customFormat="false" ht="23.85" hidden="false" customHeight="false" outlineLevel="0" collapsed="false">
      <c r="A30" s="24" t="s">
        <v>1598</v>
      </c>
      <c r="B30" s="24" t="s">
        <v>1591</v>
      </c>
      <c r="C30" s="23" t="s">
        <v>348</v>
      </c>
      <c r="D30" s="26" t="s">
        <v>91</v>
      </c>
      <c r="E30" s="23" t="s">
        <v>349</v>
      </c>
      <c r="F30" s="24" t="s">
        <v>1471</v>
      </c>
      <c r="G30" s="24"/>
      <c r="H30" s="24" t="s">
        <v>1599</v>
      </c>
      <c r="I30" s="74" t="s">
        <v>81</v>
      </c>
      <c r="J30" s="94" t="n">
        <v>43.11</v>
      </c>
      <c r="K30" s="74" t="s">
        <v>4191</v>
      </c>
      <c r="L30" s="91" t="n">
        <v>57.33</v>
      </c>
      <c r="M30" s="58" t="n">
        <v>24.8</v>
      </c>
      <c r="N30" s="26" t="s">
        <v>4180</v>
      </c>
      <c r="O30" s="96" t="s">
        <v>1007</v>
      </c>
      <c r="P30" s="24"/>
      <c r="Q30" s="23"/>
      <c r="R30" s="92"/>
      <c r="S30" s="91" t="str">
        <f aca="false">IF(OR(R30="",J30=""),"",ROUND(J30*(1+R30/100),2))</f>
        <v/>
      </c>
      <c r="T30" s="93" t="n">
        <v>20</v>
      </c>
      <c r="U30" s="24" t="s">
        <v>169</v>
      </c>
      <c r="V30" s="61" t="s">
        <v>95</v>
      </c>
    </row>
    <row r="31" customFormat="false" ht="15" hidden="false" customHeight="false" outlineLevel="0" collapsed="false">
      <c r="A31" s="20" t="s">
        <v>1608</v>
      </c>
      <c r="B31" s="20" t="s">
        <v>1591</v>
      </c>
      <c r="C31" s="19" t="s">
        <v>350</v>
      </c>
      <c r="D31" s="22" t="s">
        <v>351</v>
      </c>
      <c r="E31" s="19" t="s">
        <v>352</v>
      </c>
      <c r="F31" s="20" t="s">
        <v>1547</v>
      </c>
      <c r="G31" s="20" t="s">
        <v>4297</v>
      </c>
      <c r="H31" s="20" t="s">
        <v>1613</v>
      </c>
      <c r="I31" s="20" t="s">
        <v>76</v>
      </c>
      <c r="J31" s="95" t="n">
        <v>841.49</v>
      </c>
      <c r="K31" s="20" t="s">
        <v>939</v>
      </c>
      <c r="L31" s="95"/>
      <c r="M31" s="52"/>
      <c r="N31" s="22" t="s">
        <v>4180</v>
      </c>
      <c r="O31" s="22" t="s">
        <v>942</v>
      </c>
      <c r="P31" s="20"/>
      <c r="Q31" s="19"/>
      <c r="R31" s="92"/>
      <c r="S31" s="95" t="str">
        <f aca="false">IF(OR(R31="",J31=""),"",ROUND(J31*(1+R31/100),2))</f>
        <v/>
      </c>
      <c r="T31" s="97" t="n">
        <v>20</v>
      </c>
      <c r="U31" s="20" t="s">
        <v>93</v>
      </c>
      <c r="V31" s="55" t="s">
        <v>95</v>
      </c>
    </row>
    <row r="32" customFormat="false" ht="23.85" hidden="false" customHeight="false" outlineLevel="0" collapsed="false">
      <c r="A32" s="24" t="s">
        <v>1614</v>
      </c>
      <c r="B32" s="24" t="s">
        <v>1591</v>
      </c>
      <c r="C32" s="23" t="s">
        <v>353</v>
      </c>
      <c r="D32" s="26" t="s">
        <v>91</v>
      </c>
      <c r="E32" s="23" t="s">
        <v>354</v>
      </c>
      <c r="F32" s="24" t="s">
        <v>1502</v>
      </c>
      <c r="G32" s="24" t="s">
        <v>4298</v>
      </c>
      <c r="H32" s="24" t="s">
        <v>1615</v>
      </c>
      <c r="I32" s="24" t="s">
        <v>76</v>
      </c>
      <c r="J32" s="91" t="n">
        <v>61.07</v>
      </c>
      <c r="K32" s="24" t="s">
        <v>4179</v>
      </c>
      <c r="L32" s="91" t="n">
        <v>61.1</v>
      </c>
      <c r="M32" s="58" t="n">
        <v>0</v>
      </c>
      <c r="N32" s="26" t="s">
        <v>4180</v>
      </c>
      <c r="O32" s="26" t="s">
        <v>942</v>
      </c>
      <c r="P32" s="24"/>
      <c r="Q32" s="23"/>
      <c r="R32" s="92"/>
      <c r="S32" s="91" t="str">
        <f aca="false">IF(OR(R32="",J32=""),"",ROUND(J32*(1+R32/100),2))</f>
        <v/>
      </c>
      <c r="T32" s="93" t="n">
        <v>20</v>
      </c>
      <c r="U32" s="24" t="s">
        <v>93</v>
      </c>
      <c r="V32" s="61" t="s">
        <v>95</v>
      </c>
    </row>
    <row r="33" customFormat="false" ht="15" hidden="false" customHeight="false" outlineLevel="0" collapsed="false">
      <c r="A33" s="20" t="s">
        <v>1618</v>
      </c>
      <c r="B33" s="20" t="s">
        <v>1591</v>
      </c>
      <c r="C33" s="19" t="s">
        <v>355</v>
      </c>
      <c r="D33" s="22" t="s">
        <v>91</v>
      </c>
      <c r="E33" s="19" t="s">
        <v>356</v>
      </c>
      <c r="F33" s="20" t="s">
        <v>1619</v>
      </c>
      <c r="G33" s="20" t="s">
        <v>4299</v>
      </c>
      <c r="H33" s="20" t="s">
        <v>1620</v>
      </c>
      <c r="I33" s="20" t="s">
        <v>76</v>
      </c>
      <c r="J33" s="95" t="n">
        <v>34.05</v>
      </c>
      <c r="K33" s="20" t="s">
        <v>4179</v>
      </c>
      <c r="L33" s="95" t="n">
        <v>153.33</v>
      </c>
      <c r="M33" s="52" t="n">
        <v>77.8</v>
      </c>
      <c r="N33" s="22" t="s">
        <v>4180</v>
      </c>
      <c r="O33" s="22" t="s">
        <v>942</v>
      </c>
      <c r="P33" s="20"/>
      <c r="Q33" s="19"/>
      <c r="R33" s="92"/>
      <c r="S33" s="95" t="str">
        <f aca="false">IF(OR(R33="",J33=""),"",ROUND(J33*(1+R33/100),2))</f>
        <v/>
      </c>
      <c r="T33" s="97" t="n">
        <v>20</v>
      </c>
      <c r="U33" s="20" t="s">
        <v>93</v>
      </c>
      <c r="V33" s="55" t="s">
        <v>95</v>
      </c>
    </row>
    <row r="34" customFormat="false" ht="23.85" hidden="false" customHeight="false" outlineLevel="0" collapsed="false">
      <c r="A34" s="24" t="s">
        <v>1625</v>
      </c>
      <c r="B34" s="24" t="s">
        <v>1591</v>
      </c>
      <c r="C34" s="23" t="s">
        <v>357</v>
      </c>
      <c r="D34" s="26" t="s">
        <v>91</v>
      </c>
      <c r="E34" s="23" t="s">
        <v>358</v>
      </c>
      <c r="F34" s="24" t="s">
        <v>1471</v>
      </c>
      <c r="G34" s="24"/>
      <c r="H34" s="24" t="s">
        <v>1626</v>
      </c>
      <c r="I34" s="74" t="s">
        <v>81</v>
      </c>
      <c r="J34" s="94" t="n">
        <v>136.29</v>
      </c>
      <c r="K34" s="74" t="s">
        <v>4241</v>
      </c>
      <c r="L34" s="91" t="n">
        <v>180</v>
      </c>
      <c r="M34" s="58" t="n">
        <v>24.3</v>
      </c>
      <c r="N34" s="26" t="s">
        <v>4180</v>
      </c>
      <c r="O34" s="96" t="s">
        <v>1007</v>
      </c>
      <c r="P34" s="24"/>
      <c r="Q34" s="23"/>
      <c r="R34" s="92"/>
      <c r="S34" s="91" t="str">
        <f aca="false">IF(OR(R34="",J34=""),"",ROUND(J34*(1+R34/100),2))</f>
        <v/>
      </c>
      <c r="T34" s="93" t="n">
        <v>20</v>
      </c>
      <c r="U34" s="24" t="s">
        <v>169</v>
      </c>
      <c r="V34" s="61" t="s">
        <v>95</v>
      </c>
    </row>
    <row r="35" customFormat="false" ht="23.85" hidden="false" customHeight="false" outlineLevel="0" collapsed="false">
      <c r="A35" s="88" t="s">
        <v>1630</v>
      </c>
      <c r="B35" s="88" t="s">
        <v>1591</v>
      </c>
      <c r="C35" s="89" t="s">
        <v>359</v>
      </c>
      <c r="D35" s="90" t="s">
        <v>91</v>
      </c>
      <c r="E35" s="89" t="s">
        <v>360</v>
      </c>
      <c r="F35" s="88"/>
      <c r="G35" s="88"/>
      <c r="H35" s="88" t="s">
        <v>1631</v>
      </c>
      <c r="I35" s="88" t="s">
        <v>80</v>
      </c>
      <c r="J35" s="98" t="n">
        <v>21.62</v>
      </c>
      <c r="K35" s="88" t="s">
        <v>4233</v>
      </c>
      <c r="L35" s="98" t="n">
        <v>296.14</v>
      </c>
      <c r="M35" s="99" t="n">
        <v>92.7</v>
      </c>
      <c r="N35" s="90" t="s">
        <v>4180</v>
      </c>
      <c r="O35" s="100" t="s">
        <v>963</v>
      </c>
      <c r="P35" s="88" t="s">
        <v>4300</v>
      </c>
      <c r="Q35" s="101" t="s">
        <v>891</v>
      </c>
      <c r="R35" s="102"/>
      <c r="S35" s="98" t="str">
        <f aca="false">IF(OR(R35="",J35=""),"",ROUND(J35*(1+R35/100),2))</f>
        <v/>
      </c>
      <c r="T35" s="103" t="n">
        <v>20</v>
      </c>
      <c r="U35" s="88" t="s">
        <v>303</v>
      </c>
      <c r="V35" s="104" t="s">
        <v>95</v>
      </c>
    </row>
    <row r="36" customFormat="false" ht="23.85" hidden="false" customHeight="false" outlineLevel="0" collapsed="false">
      <c r="A36" s="24" t="s">
        <v>1639</v>
      </c>
      <c r="B36" s="24" t="s">
        <v>1591</v>
      </c>
      <c r="C36" s="23" t="s">
        <v>361</v>
      </c>
      <c r="D36" s="26" t="s">
        <v>91</v>
      </c>
      <c r="E36" s="23" t="s">
        <v>362</v>
      </c>
      <c r="F36" s="24" t="s">
        <v>1640</v>
      </c>
      <c r="G36" s="24" t="s">
        <v>4301</v>
      </c>
      <c r="H36" s="24" t="s">
        <v>1641</v>
      </c>
      <c r="I36" s="24" t="s">
        <v>76</v>
      </c>
      <c r="J36" s="91" t="n">
        <v>71.42</v>
      </c>
      <c r="K36" s="24" t="s">
        <v>4198</v>
      </c>
      <c r="L36" s="91" t="n">
        <v>130.23</v>
      </c>
      <c r="M36" s="58" t="n">
        <v>45.2</v>
      </c>
      <c r="N36" s="26" t="s">
        <v>4180</v>
      </c>
      <c r="O36" s="26" t="s">
        <v>1085</v>
      </c>
      <c r="P36" s="24"/>
      <c r="Q36" s="23"/>
      <c r="R36" s="92"/>
      <c r="S36" s="91" t="str">
        <f aca="false">IF(OR(R36="",J36=""),"",ROUND(J36*(1+R36/100),2))</f>
        <v/>
      </c>
      <c r="T36" s="93" t="n">
        <v>20</v>
      </c>
      <c r="U36" s="24" t="s">
        <v>93</v>
      </c>
      <c r="V36" s="61" t="s">
        <v>95</v>
      </c>
    </row>
    <row r="37" customFormat="false" ht="23.85" hidden="false" customHeight="false" outlineLevel="0" collapsed="false">
      <c r="A37" s="20" t="s">
        <v>1646</v>
      </c>
      <c r="B37" s="20" t="s">
        <v>1591</v>
      </c>
      <c r="C37" s="19" t="s">
        <v>363</v>
      </c>
      <c r="D37" s="22" t="s">
        <v>91</v>
      </c>
      <c r="E37" s="19" t="s">
        <v>364</v>
      </c>
      <c r="F37" s="20" t="s">
        <v>1647</v>
      </c>
      <c r="G37" s="20" t="s">
        <v>4302</v>
      </c>
      <c r="H37" s="20" t="s">
        <v>1648</v>
      </c>
      <c r="I37" s="20" t="s">
        <v>76</v>
      </c>
      <c r="J37" s="95" t="n">
        <v>442.9</v>
      </c>
      <c r="K37" s="20" t="s">
        <v>4179</v>
      </c>
      <c r="L37" s="95" t="n">
        <v>714.41</v>
      </c>
      <c r="M37" s="52" t="n">
        <v>38</v>
      </c>
      <c r="N37" s="22" t="s">
        <v>4180</v>
      </c>
      <c r="O37" s="22" t="s">
        <v>942</v>
      </c>
      <c r="P37" s="20"/>
      <c r="Q37" s="19"/>
      <c r="R37" s="92"/>
      <c r="S37" s="95" t="str">
        <f aca="false">IF(OR(R37="",J37=""),"",ROUND(J37*(1+R37/100),2))</f>
        <v/>
      </c>
      <c r="T37" s="97" t="n">
        <v>20</v>
      </c>
      <c r="U37" s="20" t="s">
        <v>93</v>
      </c>
      <c r="V37" s="55" t="s">
        <v>95</v>
      </c>
    </row>
    <row r="38" customFormat="false" ht="23.85" hidden="false" customHeight="false" outlineLevel="0" collapsed="false">
      <c r="A38" s="24" t="s">
        <v>1651</v>
      </c>
      <c r="B38" s="24" t="s">
        <v>1591</v>
      </c>
      <c r="C38" s="23" t="s">
        <v>365</v>
      </c>
      <c r="D38" s="26" t="s">
        <v>91</v>
      </c>
      <c r="E38" s="23" t="s">
        <v>366</v>
      </c>
      <c r="F38" s="24" t="s">
        <v>1647</v>
      </c>
      <c r="G38" s="24" t="s">
        <v>4303</v>
      </c>
      <c r="H38" s="24" t="s">
        <v>1652</v>
      </c>
      <c r="I38" s="24" t="s">
        <v>76</v>
      </c>
      <c r="J38" s="91" t="n">
        <v>369.77</v>
      </c>
      <c r="K38" s="24" t="s">
        <v>4198</v>
      </c>
      <c r="L38" s="91" t="n">
        <v>1188.04</v>
      </c>
      <c r="M38" s="58" t="n">
        <v>68.9</v>
      </c>
      <c r="N38" s="26" t="s">
        <v>4180</v>
      </c>
      <c r="O38" s="26" t="s">
        <v>942</v>
      </c>
      <c r="P38" s="24"/>
      <c r="Q38" s="23"/>
      <c r="R38" s="92"/>
      <c r="S38" s="91" t="str">
        <f aca="false">IF(OR(R38="",J38=""),"",ROUND(J38*(1+R38/100),2))</f>
        <v/>
      </c>
      <c r="T38" s="93" t="n">
        <v>20</v>
      </c>
      <c r="U38" s="24" t="s">
        <v>93</v>
      </c>
      <c r="V38" s="61" t="s">
        <v>95</v>
      </c>
    </row>
    <row r="39" customFormat="false" ht="23.85" hidden="false" customHeight="false" outlineLevel="0" collapsed="false">
      <c r="A39" s="20" t="s">
        <v>1660</v>
      </c>
      <c r="B39" s="20" t="s">
        <v>1591</v>
      </c>
      <c r="C39" s="19" t="s">
        <v>367</v>
      </c>
      <c r="D39" s="22" t="s">
        <v>91</v>
      </c>
      <c r="E39" s="19" t="s">
        <v>368</v>
      </c>
      <c r="F39" s="20"/>
      <c r="G39" s="20"/>
      <c r="H39" s="20" t="s">
        <v>1661</v>
      </c>
      <c r="I39" s="74" t="s">
        <v>79</v>
      </c>
      <c r="J39" s="94" t="n">
        <v>13.35</v>
      </c>
      <c r="K39" s="74" t="s">
        <v>4189</v>
      </c>
      <c r="L39" s="95" t="n">
        <v>202.91</v>
      </c>
      <c r="M39" s="52" t="n">
        <v>93.4</v>
      </c>
      <c r="N39" s="22" t="s">
        <v>4180</v>
      </c>
      <c r="O39" s="96" t="s">
        <v>1387</v>
      </c>
      <c r="P39" s="20"/>
      <c r="Q39" s="19"/>
      <c r="R39" s="92"/>
      <c r="S39" s="95" t="str">
        <f aca="false">IF(OR(R39="",J39=""),"",ROUND(J39*(1+R39/100),2))</f>
        <v/>
      </c>
      <c r="T39" s="97" t="n">
        <v>20</v>
      </c>
      <c r="U39" s="20" t="s">
        <v>313</v>
      </c>
      <c r="V39" s="55" t="s">
        <v>95</v>
      </c>
    </row>
    <row r="40" customFormat="false" ht="23.85" hidden="false" customHeight="false" outlineLevel="0" collapsed="false">
      <c r="A40" s="24" t="s">
        <v>1668</v>
      </c>
      <c r="B40" s="24" t="s">
        <v>1591</v>
      </c>
      <c r="C40" s="23" t="s">
        <v>369</v>
      </c>
      <c r="D40" s="26" t="s">
        <v>91</v>
      </c>
      <c r="E40" s="23" t="s">
        <v>370</v>
      </c>
      <c r="F40" s="24" t="s">
        <v>1669</v>
      </c>
      <c r="G40" s="24" t="s">
        <v>4304</v>
      </c>
      <c r="H40" s="24" t="s">
        <v>1670</v>
      </c>
      <c r="I40" s="24" t="s">
        <v>76</v>
      </c>
      <c r="J40" s="91" t="n">
        <v>194.63</v>
      </c>
      <c r="K40" s="24" t="s">
        <v>4198</v>
      </c>
      <c r="L40" s="91" t="n">
        <v>2555.09</v>
      </c>
      <c r="M40" s="58" t="n">
        <v>92.4</v>
      </c>
      <c r="N40" s="26" t="s">
        <v>4180</v>
      </c>
      <c r="O40" s="26" t="s">
        <v>1085</v>
      </c>
      <c r="P40" s="24"/>
      <c r="Q40" s="23"/>
      <c r="R40" s="92"/>
      <c r="S40" s="91" t="str">
        <f aca="false">IF(OR(R40="",J40=""),"",ROUND(J40*(1+R40/100),2))</f>
        <v/>
      </c>
      <c r="T40" s="93" t="n">
        <v>20</v>
      </c>
      <c r="U40" s="24" t="s">
        <v>93</v>
      </c>
      <c r="V40" s="61" t="s">
        <v>95</v>
      </c>
    </row>
    <row r="41" customFormat="false" ht="15" hidden="false" customHeight="false" outlineLevel="0" collapsed="false">
      <c r="A41" s="20" t="s">
        <v>1676</v>
      </c>
      <c r="B41" s="20" t="s">
        <v>1591</v>
      </c>
      <c r="C41" s="19" t="s">
        <v>371</v>
      </c>
      <c r="D41" s="22" t="s">
        <v>91</v>
      </c>
      <c r="E41" s="19" t="s">
        <v>372</v>
      </c>
      <c r="F41" s="20" t="s">
        <v>1677</v>
      </c>
      <c r="G41" s="20" t="s">
        <v>4305</v>
      </c>
      <c r="H41" s="20" t="s">
        <v>1678</v>
      </c>
      <c r="I41" s="20" t="s">
        <v>76</v>
      </c>
      <c r="J41" s="95" t="n">
        <v>408.83</v>
      </c>
      <c r="K41" s="20" t="s">
        <v>939</v>
      </c>
      <c r="L41" s="95"/>
      <c r="M41" s="52"/>
      <c r="N41" s="22" t="s">
        <v>4180</v>
      </c>
      <c r="O41" s="22" t="s">
        <v>942</v>
      </c>
      <c r="P41" s="20"/>
      <c r="Q41" s="19"/>
      <c r="R41" s="92"/>
      <c r="S41" s="95" t="str">
        <f aca="false">IF(OR(R41="",J41=""),"",ROUND(J41*(1+R41/100),2))</f>
        <v/>
      </c>
      <c r="T41" s="97" t="n">
        <v>20</v>
      </c>
      <c r="U41" s="20" t="s">
        <v>93</v>
      </c>
      <c r="V41" s="55" t="s">
        <v>95</v>
      </c>
    </row>
    <row r="42" customFormat="false" ht="23.85" hidden="false" customHeight="false" outlineLevel="0" collapsed="false">
      <c r="A42" s="24" t="s">
        <v>1679</v>
      </c>
      <c r="B42" s="24" t="s">
        <v>1680</v>
      </c>
      <c r="C42" s="23" t="s">
        <v>373</v>
      </c>
      <c r="D42" s="26" t="s">
        <v>374</v>
      </c>
      <c r="E42" s="23" t="s">
        <v>375</v>
      </c>
      <c r="F42" s="24" t="s">
        <v>1683</v>
      </c>
      <c r="G42" s="24" t="s">
        <v>4306</v>
      </c>
      <c r="H42" s="24" t="s">
        <v>1684</v>
      </c>
      <c r="I42" s="24" t="s">
        <v>76</v>
      </c>
      <c r="J42" s="91" t="n">
        <v>50.89</v>
      </c>
      <c r="K42" s="24" t="s">
        <v>939</v>
      </c>
      <c r="L42" s="91"/>
      <c r="M42" s="58"/>
      <c r="N42" s="26" t="s">
        <v>4180</v>
      </c>
      <c r="O42" s="26" t="s">
        <v>942</v>
      </c>
      <c r="P42" s="24" t="s">
        <v>4307</v>
      </c>
      <c r="Q42" s="23"/>
      <c r="R42" s="92"/>
      <c r="S42" s="91" t="str">
        <f aca="false">IF(OR(R42="",J42=""),"",ROUND(J42*(1+R42/100),2))</f>
        <v/>
      </c>
      <c r="T42" s="93" t="n">
        <v>20</v>
      </c>
      <c r="U42" s="24" t="s">
        <v>93</v>
      </c>
      <c r="V42" s="61" t="s">
        <v>95</v>
      </c>
    </row>
    <row r="43" customFormat="false" ht="15" hidden="false" customHeight="false" outlineLevel="0" collapsed="false">
      <c r="A43" s="20" t="s">
        <v>1685</v>
      </c>
      <c r="B43" s="20" t="s">
        <v>1680</v>
      </c>
      <c r="C43" s="19" t="s">
        <v>376</v>
      </c>
      <c r="D43" s="22" t="s">
        <v>91</v>
      </c>
      <c r="E43" s="19" t="s">
        <v>377</v>
      </c>
      <c r="F43" s="20"/>
      <c r="G43" s="20"/>
      <c r="H43" s="20" t="s">
        <v>1686</v>
      </c>
      <c r="I43" s="74" t="s">
        <v>79</v>
      </c>
      <c r="J43" s="94" t="n">
        <v>11.09</v>
      </c>
      <c r="K43" s="74" t="s">
        <v>943</v>
      </c>
      <c r="L43" s="95"/>
      <c r="M43" s="52"/>
      <c r="N43" s="22" t="s">
        <v>4180</v>
      </c>
      <c r="O43" s="96" t="s">
        <v>1016</v>
      </c>
      <c r="P43" s="20"/>
      <c r="Q43" s="106" t="s">
        <v>889</v>
      </c>
      <c r="R43" s="92"/>
      <c r="S43" s="95" t="str">
        <f aca="false">IF(OR(R43="",J43=""),"",ROUND(J43*(1+R43/100),2))</f>
        <v/>
      </c>
      <c r="T43" s="97" t="n">
        <v>20</v>
      </c>
      <c r="U43" s="20" t="s">
        <v>313</v>
      </c>
      <c r="V43" s="20"/>
    </row>
    <row r="44" customFormat="false" ht="15" hidden="false" customHeight="false" outlineLevel="0" collapsed="false">
      <c r="A44" s="88" t="s">
        <v>1687</v>
      </c>
      <c r="B44" s="88" t="s">
        <v>1680</v>
      </c>
      <c r="C44" s="89" t="s">
        <v>378</v>
      </c>
      <c r="D44" s="90" t="s">
        <v>344</v>
      </c>
      <c r="E44" s="89" t="s">
        <v>379</v>
      </c>
      <c r="F44" s="88" t="s">
        <v>1694</v>
      </c>
      <c r="G44" s="88" t="s">
        <v>4308</v>
      </c>
      <c r="H44" s="88" t="s">
        <v>1695</v>
      </c>
      <c r="I44" s="88" t="s">
        <v>76</v>
      </c>
      <c r="J44" s="98" t="n">
        <v>25.02</v>
      </c>
      <c r="K44" s="88" t="s">
        <v>939</v>
      </c>
      <c r="L44" s="98"/>
      <c r="M44" s="99"/>
      <c r="N44" s="90" t="s">
        <v>4180</v>
      </c>
      <c r="O44" s="100" t="s">
        <v>963</v>
      </c>
      <c r="P44" s="88"/>
      <c r="Q44" s="101" t="s">
        <v>889</v>
      </c>
      <c r="R44" s="102"/>
      <c r="S44" s="98" t="str">
        <f aca="false">IF(OR(R44="",J44=""),"",ROUND(J44*(1+R44/100),2))</f>
        <v/>
      </c>
      <c r="T44" s="103" t="n">
        <v>20</v>
      </c>
      <c r="U44" s="88" t="s">
        <v>93</v>
      </c>
      <c r="V44" s="104" t="s">
        <v>95</v>
      </c>
    </row>
    <row r="45" customFormat="false" ht="23.85" hidden="false" customHeight="false" outlineLevel="0" collapsed="false">
      <c r="A45" s="20" t="s">
        <v>1696</v>
      </c>
      <c r="B45" s="20" t="s">
        <v>1680</v>
      </c>
      <c r="C45" s="19" t="s">
        <v>380</v>
      </c>
      <c r="D45" s="22" t="s">
        <v>91</v>
      </c>
      <c r="E45" s="19" t="s">
        <v>381</v>
      </c>
      <c r="F45" s="20"/>
      <c r="G45" s="20"/>
      <c r="H45" s="20" t="s">
        <v>1697</v>
      </c>
      <c r="I45" s="20" t="s">
        <v>80</v>
      </c>
      <c r="J45" s="95" t="n">
        <v>5.76</v>
      </c>
      <c r="K45" s="20" t="s">
        <v>4198</v>
      </c>
      <c r="L45" s="95" t="n">
        <v>24.6</v>
      </c>
      <c r="M45" s="52" t="n">
        <v>76.6</v>
      </c>
      <c r="N45" s="22" t="s">
        <v>4180</v>
      </c>
      <c r="O45" s="22" t="s">
        <v>942</v>
      </c>
      <c r="P45" s="20" t="s">
        <v>4309</v>
      </c>
      <c r="Q45" s="106" t="s">
        <v>891</v>
      </c>
      <c r="R45" s="92"/>
      <c r="S45" s="95" t="str">
        <f aca="false">IF(OR(R45="",J45=""),"",ROUND(J45*(1+R45/100),2))</f>
        <v/>
      </c>
      <c r="T45" s="97" t="n">
        <v>20</v>
      </c>
      <c r="U45" s="20" t="s">
        <v>303</v>
      </c>
      <c r="V45" s="55" t="s">
        <v>95</v>
      </c>
    </row>
    <row r="46" customFormat="false" ht="15" hidden="false" customHeight="false" outlineLevel="0" collapsed="false">
      <c r="A46" s="24" t="s">
        <v>1706</v>
      </c>
      <c r="B46" s="24" t="s">
        <v>1680</v>
      </c>
      <c r="C46" s="23" t="s">
        <v>382</v>
      </c>
      <c r="D46" s="26" t="s">
        <v>137</v>
      </c>
      <c r="E46" s="23" t="s">
        <v>383</v>
      </c>
      <c r="F46" s="24"/>
      <c r="G46" s="24"/>
      <c r="H46" s="24" t="s">
        <v>1707</v>
      </c>
      <c r="I46" s="24" t="s">
        <v>80</v>
      </c>
      <c r="J46" s="91" t="n">
        <v>11.09</v>
      </c>
      <c r="K46" s="24" t="s">
        <v>939</v>
      </c>
      <c r="L46" s="91"/>
      <c r="M46" s="58"/>
      <c r="N46" s="26" t="s">
        <v>4180</v>
      </c>
      <c r="O46" s="26" t="s">
        <v>942</v>
      </c>
      <c r="P46" s="24"/>
      <c r="Q46" s="23"/>
      <c r="R46" s="92"/>
      <c r="S46" s="91" t="str">
        <f aca="false">IF(OR(R46="",J46=""),"",ROUND(J46*(1+R46/100),2))</f>
        <v/>
      </c>
      <c r="T46" s="93" t="n">
        <v>20</v>
      </c>
      <c r="U46" s="24" t="s">
        <v>303</v>
      </c>
      <c r="V46" s="61" t="s">
        <v>95</v>
      </c>
    </row>
  </sheetData>
  <autoFilter ref="A1:V46"/>
  <hyperlinks>
    <hyperlink ref="V2" r:id="rId1" display="Voir la fiche"/>
    <hyperlink ref="V3" r:id="rId2" display="Voir la fiche"/>
    <hyperlink ref="V4" r:id="rId3" display="Voir la fiche"/>
    <hyperlink ref="V5" r:id="rId4" display="Voir la fiche"/>
    <hyperlink ref="V6" r:id="rId5" display="Voir la fiche"/>
    <hyperlink ref="V8" r:id="rId6" display="Voir la fiche"/>
    <hyperlink ref="V9" r:id="rId7" display="Voir la fiche"/>
    <hyperlink ref="V10" r:id="rId8" display="Voir la fiche"/>
    <hyperlink ref="V11" r:id="rId9" display="Voir la fiche"/>
    <hyperlink ref="V12" r:id="rId10" display="Voir la fiche"/>
    <hyperlink ref="V13" r:id="rId11" display="Voir la fiche"/>
    <hyperlink ref="V14" r:id="rId12" display="Voir la fiche"/>
    <hyperlink ref="V15" r:id="rId13" display="Voir la fiche"/>
    <hyperlink ref="V16" r:id="rId14" display="Voir la fiche"/>
    <hyperlink ref="V17" r:id="rId15" display="Voir la fiche"/>
    <hyperlink ref="V18" r:id="rId16" display="Voir la fiche"/>
    <hyperlink ref="V19" r:id="rId17" display="Voir la fiche"/>
    <hyperlink ref="V20" r:id="rId18" display="Voir la fiche"/>
    <hyperlink ref="V21" r:id="rId19" display="Voir la fiche"/>
    <hyperlink ref="V22" r:id="rId20" display="Voir la fiche"/>
    <hyperlink ref="V23" r:id="rId21" display="Voir la fiche"/>
    <hyperlink ref="V24" r:id="rId22" display="Voir la fiche"/>
    <hyperlink ref="V25" r:id="rId23" display="Voir la fiche"/>
    <hyperlink ref="V26" r:id="rId24" display="Voir la fiche"/>
    <hyperlink ref="V27" r:id="rId25" display="Voir la fiche"/>
    <hyperlink ref="V28" r:id="rId26" display="Voir la fiche"/>
    <hyperlink ref="V29" r:id="rId27" display="Voir la fiche"/>
    <hyperlink ref="V30" r:id="rId28" display="Voir la fiche"/>
    <hyperlink ref="V31" r:id="rId29" display="Voir la fiche"/>
    <hyperlink ref="V32" r:id="rId30" display="Voir la fiche"/>
    <hyperlink ref="V33" r:id="rId31" display="Voir la fiche"/>
    <hyperlink ref="V34" r:id="rId32" display="Voir la fiche"/>
    <hyperlink ref="V35" r:id="rId33" display="Voir la fiche"/>
    <hyperlink ref="V36" r:id="rId34" display="Voir la fiche"/>
    <hyperlink ref="V37" r:id="rId35" display="Voir la fiche"/>
    <hyperlink ref="V38" r:id="rId36" display="Voir la fiche"/>
    <hyperlink ref="V39" r:id="rId37" display="Voir la fiche"/>
    <hyperlink ref="V40" r:id="rId38" display="Voir la fiche"/>
    <hyperlink ref="V41" r:id="rId39" display="Voir la fiche"/>
    <hyperlink ref="V42" r:id="rId40" display="Voir la fiche"/>
    <hyperlink ref="V44" r:id="rId41" display="Voir la fiche"/>
    <hyperlink ref="V45" r:id="rId42" display="Voir la fiche"/>
    <hyperlink ref="V46" r:id="rId43"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4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V2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15" hidden="false" customHeight="false" outlineLevel="0" collapsed="false">
      <c r="A2" s="24" t="s">
        <v>1711</v>
      </c>
      <c r="B2" s="24" t="s">
        <v>1712</v>
      </c>
      <c r="C2" s="23" t="s">
        <v>384</v>
      </c>
      <c r="D2" s="26" t="s">
        <v>91</v>
      </c>
      <c r="E2" s="23" t="s">
        <v>385</v>
      </c>
      <c r="F2" s="24" t="s">
        <v>1565</v>
      </c>
      <c r="G2" s="24"/>
      <c r="H2" s="24" t="s">
        <v>1713</v>
      </c>
      <c r="I2" s="74" t="s">
        <v>81</v>
      </c>
      <c r="J2" s="94" t="n">
        <v>264.44</v>
      </c>
      <c r="K2" s="74" t="s">
        <v>4241</v>
      </c>
      <c r="L2" s="91" t="n">
        <v>276.61</v>
      </c>
      <c r="M2" s="58" t="n">
        <v>4.4</v>
      </c>
      <c r="N2" s="26" t="s">
        <v>4180</v>
      </c>
      <c r="O2" s="96" t="s">
        <v>1007</v>
      </c>
      <c r="P2" s="24"/>
      <c r="Q2" s="23"/>
      <c r="R2" s="92"/>
      <c r="S2" s="91" t="str">
        <f aca="false">IF(OR(R2="",J2=""),"",ROUND(J2*(1+R2/100),2))</f>
        <v/>
      </c>
      <c r="T2" s="93" t="n">
        <v>20</v>
      </c>
      <c r="U2" s="24" t="s">
        <v>169</v>
      </c>
      <c r="V2" s="61" t="s">
        <v>95</v>
      </c>
    </row>
    <row r="3" customFormat="false" ht="23.85" hidden="false" customHeight="false" outlineLevel="0" collapsed="false">
      <c r="A3" s="20" t="s">
        <v>1717</v>
      </c>
      <c r="B3" s="20" t="s">
        <v>1712</v>
      </c>
      <c r="C3" s="19" t="s">
        <v>386</v>
      </c>
      <c r="D3" s="22" t="s">
        <v>91</v>
      </c>
      <c r="E3" s="19" t="s">
        <v>387</v>
      </c>
      <c r="F3" s="20"/>
      <c r="G3" s="20" t="s">
        <v>4310</v>
      </c>
      <c r="H3" s="20" t="s">
        <v>1718</v>
      </c>
      <c r="I3" s="74" t="s">
        <v>78</v>
      </c>
      <c r="J3" s="94" t="n">
        <v>150.5</v>
      </c>
      <c r="K3" s="74" t="s">
        <v>4189</v>
      </c>
      <c r="L3" s="95" t="n">
        <v>365.33</v>
      </c>
      <c r="M3" s="52" t="n">
        <v>58.8</v>
      </c>
      <c r="N3" s="22" t="s">
        <v>4180</v>
      </c>
      <c r="O3" s="96" t="s">
        <v>1016</v>
      </c>
      <c r="P3" s="20" t="s">
        <v>949</v>
      </c>
      <c r="Q3" s="106" t="s">
        <v>889</v>
      </c>
      <c r="R3" s="92"/>
      <c r="S3" s="95" t="str">
        <f aca="false">IF(OR(R3="",J3=""),"",ROUND(J3*(1+R3/100),2))</f>
        <v/>
      </c>
      <c r="T3" s="97" t="n">
        <v>20</v>
      </c>
      <c r="U3" s="20" t="s">
        <v>93</v>
      </c>
      <c r="V3" s="55" t="s">
        <v>95</v>
      </c>
    </row>
    <row r="4" customFormat="false" ht="23.85" hidden="false" customHeight="false" outlineLevel="0" collapsed="false">
      <c r="A4" s="24" t="s">
        <v>1723</v>
      </c>
      <c r="B4" s="24" t="s">
        <v>1712</v>
      </c>
      <c r="C4" s="23" t="s">
        <v>388</v>
      </c>
      <c r="D4" s="26" t="s">
        <v>91</v>
      </c>
      <c r="E4" s="23" t="s">
        <v>389</v>
      </c>
      <c r="F4" s="24" t="s">
        <v>1471</v>
      </c>
      <c r="G4" s="24"/>
      <c r="H4" s="24" t="s">
        <v>1724</v>
      </c>
      <c r="I4" s="74" t="s">
        <v>81</v>
      </c>
      <c r="J4" s="94" t="n">
        <v>216.34</v>
      </c>
      <c r="K4" s="74" t="s">
        <v>4241</v>
      </c>
      <c r="L4" s="91" t="n">
        <v>252.14</v>
      </c>
      <c r="M4" s="58" t="n">
        <v>14.2</v>
      </c>
      <c r="N4" s="26" t="s">
        <v>4180</v>
      </c>
      <c r="O4" s="96" t="s">
        <v>1007</v>
      </c>
      <c r="P4" s="24"/>
      <c r="Q4" s="23"/>
      <c r="R4" s="92"/>
      <c r="S4" s="91" t="str">
        <f aca="false">IF(OR(R4="",J4=""),"",ROUND(J4*(1+R4/100),2))</f>
        <v/>
      </c>
      <c r="T4" s="93" t="n">
        <v>20</v>
      </c>
      <c r="U4" s="24" t="s">
        <v>169</v>
      </c>
      <c r="V4" s="61" t="s">
        <v>95</v>
      </c>
    </row>
    <row r="5" customFormat="false" ht="23.85" hidden="false" customHeight="false" outlineLevel="0" collapsed="false">
      <c r="A5" s="88" t="s">
        <v>1727</v>
      </c>
      <c r="B5" s="88" t="s">
        <v>1712</v>
      </c>
      <c r="C5" s="89" t="s">
        <v>390</v>
      </c>
      <c r="D5" s="90" t="s">
        <v>91</v>
      </c>
      <c r="E5" s="89" t="s">
        <v>391</v>
      </c>
      <c r="F5" s="88" t="s">
        <v>1715</v>
      </c>
      <c r="G5" s="88" t="s">
        <v>4311</v>
      </c>
      <c r="H5" s="88" t="s">
        <v>1722</v>
      </c>
      <c r="I5" s="88" t="s">
        <v>76</v>
      </c>
      <c r="J5" s="98" t="n">
        <v>365.33</v>
      </c>
      <c r="K5" s="88" t="s">
        <v>939</v>
      </c>
      <c r="L5" s="98"/>
      <c r="M5" s="99"/>
      <c r="N5" s="90" t="s">
        <v>4180</v>
      </c>
      <c r="O5" s="100" t="s">
        <v>963</v>
      </c>
      <c r="P5" s="88"/>
      <c r="Q5" s="101" t="s">
        <v>889</v>
      </c>
      <c r="R5" s="102"/>
      <c r="S5" s="98" t="str">
        <f aca="false">IF(OR(R5="",J5=""),"",ROUND(J5*(1+R5/100),2))</f>
        <v/>
      </c>
      <c r="T5" s="103" t="n">
        <v>20</v>
      </c>
      <c r="U5" s="88" t="s">
        <v>93</v>
      </c>
      <c r="V5" s="104" t="s">
        <v>95</v>
      </c>
    </row>
    <row r="6" customFormat="false" ht="15" hidden="false" customHeight="false" outlineLevel="0" collapsed="false">
      <c r="A6" s="24" t="s">
        <v>1728</v>
      </c>
      <c r="B6" s="24" t="s">
        <v>1712</v>
      </c>
      <c r="C6" s="23" t="s">
        <v>392</v>
      </c>
      <c r="D6" s="26" t="s">
        <v>91</v>
      </c>
      <c r="E6" s="23" t="s">
        <v>393</v>
      </c>
      <c r="F6" s="24" t="s">
        <v>1729</v>
      </c>
      <c r="G6" s="24" t="s">
        <v>4312</v>
      </c>
      <c r="H6" s="24" t="s">
        <v>1730</v>
      </c>
      <c r="I6" s="24" t="s">
        <v>76</v>
      </c>
      <c r="J6" s="91" t="n">
        <v>20.96</v>
      </c>
      <c r="K6" s="24" t="s">
        <v>4233</v>
      </c>
      <c r="L6" s="91" t="n">
        <v>109.56</v>
      </c>
      <c r="M6" s="58" t="n">
        <v>80.9</v>
      </c>
      <c r="N6" s="26" t="s">
        <v>4180</v>
      </c>
      <c r="O6" s="26" t="s">
        <v>942</v>
      </c>
      <c r="P6" s="24"/>
      <c r="Q6" s="23"/>
      <c r="R6" s="92"/>
      <c r="S6" s="91" t="str">
        <f aca="false">IF(OR(R6="",J6=""),"",ROUND(J6*(1+R6/100),2))</f>
        <v/>
      </c>
      <c r="T6" s="93" t="n">
        <v>20</v>
      </c>
      <c r="U6" s="24" t="s">
        <v>93</v>
      </c>
      <c r="V6" s="61" t="s">
        <v>95</v>
      </c>
    </row>
    <row r="7" customFormat="false" ht="23.85" hidden="false" customHeight="false" outlineLevel="0" collapsed="false">
      <c r="A7" s="20" t="s">
        <v>1737</v>
      </c>
      <c r="B7" s="20" t="s">
        <v>1712</v>
      </c>
      <c r="C7" s="19" t="s">
        <v>394</v>
      </c>
      <c r="D7" s="22" t="s">
        <v>91</v>
      </c>
      <c r="E7" s="19" t="s">
        <v>395</v>
      </c>
      <c r="F7" s="20" t="s">
        <v>1729</v>
      </c>
      <c r="G7" s="20" t="s">
        <v>4313</v>
      </c>
      <c r="H7" s="20" t="s">
        <v>1738</v>
      </c>
      <c r="I7" s="20" t="s">
        <v>76</v>
      </c>
      <c r="J7" s="95" t="n">
        <v>13.42</v>
      </c>
      <c r="K7" s="20" t="s">
        <v>4179</v>
      </c>
      <c r="L7" s="95" t="n">
        <v>53.05</v>
      </c>
      <c r="M7" s="52" t="n">
        <v>74.7</v>
      </c>
      <c r="N7" s="22" t="s">
        <v>4180</v>
      </c>
      <c r="O7" s="22" t="s">
        <v>942</v>
      </c>
      <c r="P7" s="20"/>
      <c r="Q7" s="19"/>
      <c r="R7" s="92"/>
      <c r="S7" s="95" t="str">
        <f aca="false">IF(OR(R7="",J7=""),"",ROUND(J7*(1+R7/100),2))</f>
        <v/>
      </c>
      <c r="T7" s="97" t="n">
        <v>20</v>
      </c>
      <c r="U7" s="20" t="s">
        <v>93</v>
      </c>
      <c r="V7" s="55" t="s">
        <v>95</v>
      </c>
    </row>
    <row r="8" customFormat="false" ht="23.85" hidden="false" customHeight="false" outlineLevel="0" collapsed="false">
      <c r="A8" s="24" t="s">
        <v>1739</v>
      </c>
      <c r="B8" s="24" t="s">
        <v>1712</v>
      </c>
      <c r="C8" s="23" t="s">
        <v>396</v>
      </c>
      <c r="D8" s="26" t="s">
        <v>91</v>
      </c>
      <c r="E8" s="23" t="s">
        <v>397</v>
      </c>
      <c r="F8" s="24" t="s">
        <v>1428</v>
      </c>
      <c r="G8" s="24" t="s">
        <v>4314</v>
      </c>
      <c r="H8" s="24" t="s">
        <v>1740</v>
      </c>
      <c r="I8" s="24" t="s">
        <v>76</v>
      </c>
      <c r="J8" s="91" t="n">
        <v>9.26</v>
      </c>
      <c r="K8" s="24" t="s">
        <v>4179</v>
      </c>
      <c r="L8" s="91" t="n">
        <v>13.88</v>
      </c>
      <c r="M8" s="58" t="n">
        <v>33.3</v>
      </c>
      <c r="N8" s="26" t="s">
        <v>4180</v>
      </c>
      <c r="O8" s="26" t="s">
        <v>942</v>
      </c>
      <c r="P8" s="24"/>
      <c r="Q8" s="23"/>
      <c r="R8" s="92"/>
      <c r="S8" s="91" t="str">
        <f aca="false">IF(OR(R8="",J8=""),"",ROUND(J8*(1+R8/100),2))</f>
        <v/>
      </c>
      <c r="T8" s="93" t="n">
        <v>20</v>
      </c>
      <c r="U8" s="24" t="s">
        <v>93</v>
      </c>
      <c r="V8" s="61" t="s">
        <v>95</v>
      </c>
    </row>
    <row r="9" customFormat="false" ht="23.85" hidden="false" customHeight="false" outlineLevel="0" collapsed="false">
      <c r="A9" s="20" t="s">
        <v>1743</v>
      </c>
      <c r="B9" s="20" t="s">
        <v>1712</v>
      </c>
      <c r="C9" s="19" t="s">
        <v>398</v>
      </c>
      <c r="D9" s="22" t="s">
        <v>91</v>
      </c>
      <c r="E9" s="19" t="s">
        <v>399</v>
      </c>
      <c r="F9" s="20" t="s">
        <v>1744</v>
      </c>
      <c r="G9" s="20" t="s">
        <v>4315</v>
      </c>
      <c r="H9" s="20" t="s">
        <v>1745</v>
      </c>
      <c r="I9" s="20" t="s">
        <v>76</v>
      </c>
      <c r="J9" s="95" t="n">
        <v>125.16</v>
      </c>
      <c r="K9" s="20" t="s">
        <v>939</v>
      </c>
      <c r="L9" s="95"/>
      <c r="M9" s="52"/>
      <c r="N9" s="22" t="s">
        <v>4180</v>
      </c>
      <c r="O9" s="22" t="s">
        <v>942</v>
      </c>
      <c r="P9" s="20"/>
      <c r="Q9" s="19"/>
      <c r="R9" s="92"/>
      <c r="S9" s="95" t="str">
        <f aca="false">IF(OR(R9="",J9=""),"",ROUND(J9*(1+R9/100),2))</f>
        <v/>
      </c>
      <c r="T9" s="97" t="n">
        <v>20</v>
      </c>
      <c r="U9" s="20" t="s">
        <v>93</v>
      </c>
      <c r="V9" s="55" t="s">
        <v>95</v>
      </c>
    </row>
    <row r="10" customFormat="false" ht="23.85" hidden="false" customHeight="false" outlineLevel="0" collapsed="false">
      <c r="A10" s="24" t="s">
        <v>1746</v>
      </c>
      <c r="B10" s="24" t="s">
        <v>1712</v>
      </c>
      <c r="C10" s="23" t="s">
        <v>400</v>
      </c>
      <c r="D10" s="26" t="s">
        <v>91</v>
      </c>
      <c r="E10" s="23" t="s">
        <v>401</v>
      </c>
      <c r="F10" s="24" t="s">
        <v>1747</v>
      </c>
      <c r="G10" s="24" t="s">
        <v>4316</v>
      </c>
      <c r="H10" s="24" t="s">
        <v>1748</v>
      </c>
      <c r="I10" s="74" t="s">
        <v>81</v>
      </c>
      <c r="J10" s="94" t="n">
        <v>21.96</v>
      </c>
      <c r="K10" s="74" t="s">
        <v>4215</v>
      </c>
      <c r="L10" s="91" t="n">
        <v>23.12</v>
      </c>
      <c r="M10" s="58" t="n">
        <v>5</v>
      </c>
      <c r="N10" s="26" t="s">
        <v>4180</v>
      </c>
      <c r="O10" s="96" t="s">
        <v>1007</v>
      </c>
      <c r="P10" s="24"/>
      <c r="Q10" s="23"/>
      <c r="R10" s="92"/>
      <c r="S10" s="91" t="str">
        <f aca="false">IF(OR(R10="",J10=""),"",ROUND(J10*(1+R10/100),2))</f>
        <v/>
      </c>
      <c r="T10" s="93" t="n">
        <v>20</v>
      </c>
      <c r="U10" s="24" t="s">
        <v>169</v>
      </c>
      <c r="V10" s="61" t="s">
        <v>95</v>
      </c>
    </row>
    <row r="11" customFormat="false" ht="15" hidden="false" customHeight="false" outlineLevel="0" collapsed="false">
      <c r="A11" s="88" t="s">
        <v>1756</v>
      </c>
      <c r="B11" s="88" t="s">
        <v>1712</v>
      </c>
      <c r="C11" s="89" t="s">
        <v>402</v>
      </c>
      <c r="D11" s="90" t="s">
        <v>91</v>
      </c>
      <c r="E11" s="89" t="s">
        <v>403</v>
      </c>
      <c r="F11" s="88"/>
      <c r="G11" s="88"/>
      <c r="H11" s="88" t="s">
        <v>1757</v>
      </c>
      <c r="I11" s="88" t="s">
        <v>80</v>
      </c>
      <c r="J11" s="98" t="n">
        <v>30.87</v>
      </c>
      <c r="K11" s="88" t="s">
        <v>4233</v>
      </c>
      <c r="L11" s="98" t="n">
        <v>315.87</v>
      </c>
      <c r="M11" s="99" t="n">
        <v>90.2</v>
      </c>
      <c r="N11" s="90" t="s">
        <v>4180</v>
      </c>
      <c r="O11" s="100" t="s">
        <v>963</v>
      </c>
      <c r="P11" s="88"/>
      <c r="Q11" s="101" t="s">
        <v>889</v>
      </c>
      <c r="R11" s="102"/>
      <c r="S11" s="98" t="str">
        <f aca="false">IF(OR(R11="",J11=""),"",ROUND(J11*(1+R11/100),2))</f>
        <v/>
      </c>
      <c r="T11" s="103" t="n">
        <v>20</v>
      </c>
      <c r="U11" s="88" t="s">
        <v>303</v>
      </c>
      <c r="V11" s="104" t="s">
        <v>95</v>
      </c>
    </row>
    <row r="12" customFormat="false" ht="22.35" hidden="false" customHeight="false" outlineLevel="0" collapsed="false">
      <c r="A12" s="85" t="s">
        <v>4317</v>
      </c>
      <c r="B12" s="85" t="s">
        <v>1712</v>
      </c>
      <c r="C12" s="86" t="s">
        <v>905</v>
      </c>
      <c r="D12" s="87" t="s">
        <v>91</v>
      </c>
      <c r="E12" s="86"/>
      <c r="F12" s="85"/>
      <c r="G12" s="85"/>
      <c r="H12" s="85"/>
      <c r="I12" s="85" t="s">
        <v>894</v>
      </c>
      <c r="J12" s="107"/>
      <c r="K12" s="85"/>
      <c r="L12" s="107"/>
      <c r="M12" s="108"/>
      <c r="N12" s="87"/>
      <c r="O12" s="109" t="s">
        <v>52</v>
      </c>
      <c r="P12" s="85"/>
      <c r="Q12" s="110" t="s">
        <v>895</v>
      </c>
      <c r="R12" s="111"/>
      <c r="S12" s="107" t="str">
        <f aca="false">IF(OR(R12="",J12=""),"",ROUND(J12*(1+R12/100),2))</f>
        <v/>
      </c>
      <c r="T12" s="112" t="n">
        <v>20</v>
      </c>
      <c r="U12" s="85"/>
      <c r="V12" s="85"/>
    </row>
    <row r="13" customFormat="false" ht="23.85" hidden="false" customHeight="false" outlineLevel="0" collapsed="false">
      <c r="A13" s="20" t="s">
        <v>1765</v>
      </c>
      <c r="B13" s="20" t="s">
        <v>1712</v>
      </c>
      <c r="C13" s="19" t="s">
        <v>404</v>
      </c>
      <c r="D13" s="22" t="s">
        <v>91</v>
      </c>
      <c r="E13" s="19" t="s">
        <v>405</v>
      </c>
      <c r="F13" s="20"/>
      <c r="G13" s="20" t="s">
        <v>4318</v>
      </c>
      <c r="H13" s="20" t="s">
        <v>1766</v>
      </c>
      <c r="I13" s="74" t="s">
        <v>78</v>
      </c>
      <c r="J13" s="94" t="n">
        <v>1046.81</v>
      </c>
      <c r="K13" s="74" t="s">
        <v>943</v>
      </c>
      <c r="L13" s="95"/>
      <c r="M13" s="52"/>
      <c r="N13" s="22" t="s">
        <v>4180</v>
      </c>
      <c r="O13" s="96" t="s">
        <v>1016</v>
      </c>
      <c r="P13" s="20"/>
      <c r="Q13" s="106" t="s">
        <v>889</v>
      </c>
      <c r="R13" s="92"/>
      <c r="S13" s="95" t="str">
        <f aca="false">IF(OR(R13="",J13=""),"",ROUND(J13*(1+R13/100),2))</f>
        <v/>
      </c>
      <c r="T13" s="97" t="n">
        <v>20</v>
      </c>
      <c r="U13" s="20" t="s">
        <v>93</v>
      </c>
      <c r="V13" s="20"/>
    </row>
    <row r="14" customFormat="false" ht="15" hidden="false" customHeight="false" outlineLevel="0" collapsed="false">
      <c r="A14" s="24" t="s">
        <v>1767</v>
      </c>
      <c r="B14" s="24" t="s">
        <v>1768</v>
      </c>
      <c r="C14" s="23" t="s">
        <v>406</v>
      </c>
      <c r="D14" s="26" t="s">
        <v>91</v>
      </c>
      <c r="E14" s="23" t="s">
        <v>407</v>
      </c>
      <c r="F14" s="24" t="s">
        <v>1769</v>
      </c>
      <c r="G14" s="24" t="s">
        <v>4319</v>
      </c>
      <c r="H14" s="24" t="s">
        <v>1770</v>
      </c>
      <c r="I14" s="74" t="s">
        <v>81</v>
      </c>
      <c r="J14" s="94" t="n">
        <v>71.11</v>
      </c>
      <c r="K14" s="74" t="s">
        <v>4215</v>
      </c>
      <c r="L14" s="91" t="n">
        <v>72.99</v>
      </c>
      <c r="M14" s="58" t="n">
        <v>2.6</v>
      </c>
      <c r="N14" s="26" t="s">
        <v>4180</v>
      </c>
      <c r="O14" s="96" t="s">
        <v>1007</v>
      </c>
      <c r="P14" s="24"/>
      <c r="Q14" s="23"/>
      <c r="R14" s="92"/>
      <c r="S14" s="91" t="str">
        <f aca="false">IF(OR(R14="",J14=""),"",ROUND(J14*(1+R14/100),2))</f>
        <v/>
      </c>
      <c r="T14" s="93" t="n">
        <v>20</v>
      </c>
      <c r="U14" s="24" t="s">
        <v>119</v>
      </c>
      <c r="V14" s="61" t="s">
        <v>95</v>
      </c>
    </row>
    <row r="15" customFormat="false" ht="23.85" hidden="false" customHeight="false" outlineLevel="0" collapsed="false">
      <c r="A15" s="20" t="s">
        <v>1779</v>
      </c>
      <c r="B15" s="20" t="s">
        <v>1768</v>
      </c>
      <c r="C15" s="19" t="s">
        <v>408</v>
      </c>
      <c r="D15" s="22" t="s">
        <v>91</v>
      </c>
      <c r="E15" s="19" t="s">
        <v>409</v>
      </c>
      <c r="F15" s="20" t="s">
        <v>1574</v>
      </c>
      <c r="G15" s="20" t="s">
        <v>4320</v>
      </c>
      <c r="H15" s="20" t="s">
        <v>1780</v>
      </c>
      <c r="I15" s="74" t="s">
        <v>81</v>
      </c>
      <c r="J15" s="94" t="n">
        <v>9.9</v>
      </c>
      <c r="K15" s="74" t="s">
        <v>4191</v>
      </c>
      <c r="L15" s="95" t="n">
        <v>11</v>
      </c>
      <c r="M15" s="52" t="n">
        <v>10</v>
      </c>
      <c r="N15" s="22" t="s">
        <v>4180</v>
      </c>
      <c r="O15" s="96" t="s">
        <v>1007</v>
      </c>
      <c r="P15" s="20"/>
      <c r="Q15" s="19"/>
      <c r="R15" s="92"/>
      <c r="S15" s="95" t="str">
        <f aca="false">IF(OR(R15="",J15=""),"",ROUND(J15*(1+R15/100),2))</f>
        <v/>
      </c>
      <c r="T15" s="97" t="n">
        <v>20</v>
      </c>
      <c r="U15" s="20" t="s">
        <v>169</v>
      </c>
      <c r="V15" s="55" t="s">
        <v>95</v>
      </c>
    </row>
    <row r="16" customFormat="false" ht="15" hidden="false" customHeight="false" outlineLevel="0" collapsed="false">
      <c r="A16" s="24" t="s">
        <v>1787</v>
      </c>
      <c r="B16" s="24" t="s">
        <v>1768</v>
      </c>
      <c r="C16" s="23" t="s">
        <v>410</v>
      </c>
      <c r="D16" s="26" t="s">
        <v>91</v>
      </c>
      <c r="E16" s="23" t="s">
        <v>411</v>
      </c>
      <c r="F16" s="24" t="s">
        <v>1574</v>
      </c>
      <c r="G16" s="24" t="s">
        <v>4321</v>
      </c>
      <c r="H16" s="24" t="s">
        <v>1788</v>
      </c>
      <c r="I16" s="24" t="s">
        <v>76</v>
      </c>
      <c r="J16" s="91" t="n">
        <v>4.78</v>
      </c>
      <c r="K16" s="24" t="s">
        <v>4233</v>
      </c>
      <c r="L16" s="91" t="n">
        <v>14.18</v>
      </c>
      <c r="M16" s="58" t="n">
        <v>66.3</v>
      </c>
      <c r="N16" s="26" t="s">
        <v>4180</v>
      </c>
      <c r="O16" s="26" t="s">
        <v>942</v>
      </c>
      <c r="P16" s="24"/>
      <c r="Q16" s="23"/>
      <c r="R16" s="92"/>
      <c r="S16" s="91" t="str">
        <f aca="false">IF(OR(R16="",J16=""),"",ROUND(J16*(1+R16/100),2))</f>
        <v/>
      </c>
      <c r="T16" s="93" t="n">
        <v>20</v>
      </c>
      <c r="U16" s="24" t="s">
        <v>93</v>
      </c>
      <c r="V16" s="61" t="s">
        <v>95</v>
      </c>
    </row>
    <row r="17" customFormat="false" ht="15" hidden="false" customHeight="false" outlineLevel="0" collapsed="false">
      <c r="A17" s="20" t="s">
        <v>1795</v>
      </c>
      <c r="B17" s="20" t="s">
        <v>1768</v>
      </c>
      <c r="C17" s="19" t="s">
        <v>412</v>
      </c>
      <c r="D17" s="22" t="s">
        <v>137</v>
      </c>
      <c r="E17" s="19" t="s">
        <v>413</v>
      </c>
      <c r="F17" s="20" t="s">
        <v>1785</v>
      </c>
      <c r="G17" s="20" t="s">
        <v>4322</v>
      </c>
      <c r="H17" s="20" t="s">
        <v>1803</v>
      </c>
      <c r="I17" s="20" t="s">
        <v>76</v>
      </c>
      <c r="J17" s="95" t="n">
        <v>58.6</v>
      </c>
      <c r="K17" s="20" t="s">
        <v>939</v>
      </c>
      <c r="L17" s="95"/>
      <c r="M17" s="52"/>
      <c r="N17" s="22" t="s">
        <v>4180</v>
      </c>
      <c r="O17" s="22" t="s">
        <v>1085</v>
      </c>
      <c r="P17" s="20"/>
      <c r="Q17" s="19"/>
      <c r="R17" s="92"/>
      <c r="S17" s="95" t="str">
        <f aca="false">IF(OR(R17="",J17=""),"",ROUND(J17*(1+R17/100),2))</f>
        <v/>
      </c>
      <c r="T17" s="97" t="n">
        <v>20</v>
      </c>
      <c r="U17" s="20" t="s">
        <v>93</v>
      </c>
      <c r="V17" s="55" t="s">
        <v>95</v>
      </c>
    </row>
    <row r="18" customFormat="false" ht="23.85" hidden="false" customHeight="false" outlineLevel="0" collapsed="false">
      <c r="A18" s="88" t="s">
        <v>1806</v>
      </c>
      <c r="B18" s="88" t="s">
        <v>1768</v>
      </c>
      <c r="C18" s="89" t="s">
        <v>414</v>
      </c>
      <c r="D18" s="90" t="s">
        <v>91</v>
      </c>
      <c r="E18" s="89" t="s">
        <v>415</v>
      </c>
      <c r="F18" s="88" t="s">
        <v>1807</v>
      </c>
      <c r="G18" s="88" t="s">
        <v>4323</v>
      </c>
      <c r="H18" s="88" t="s">
        <v>1808</v>
      </c>
      <c r="I18" s="88" t="s">
        <v>76</v>
      </c>
      <c r="J18" s="98" t="n">
        <v>4.75</v>
      </c>
      <c r="K18" s="88" t="s">
        <v>939</v>
      </c>
      <c r="L18" s="98"/>
      <c r="M18" s="99"/>
      <c r="N18" s="90" t="s">
        <v>4180</v>
      </c>
      <c r="O18" s="100" t="s">
        <v>963</v>
      </c>
      <c r="P18" s="88" t="s">
        <v>4324</v>
      </c>
      <c r="Q18" s="101" t="s">
        <v>891</v>
      </c>
      <c r="R18" s="102"/>
      <c r="S18" s="98" t="str">
        <f aca="false">IF(OR(R18="",J18=""),"",ROUND(J18*(1+R18/100),2))</f>
        <v/>
      </c>
      <c r="T18" s="103" t="n">
        <v>20</v>
      </c>
      <c r="U18" s="88" t="s">
        <v>93</v>
      </c>
      <c r="V18" s="104" t="s">
        <v>95</v>
      </c>
    </row>
    <row r="19" customFormat="false" ht="23.85" hidden="false" customHeight="false" outlineLevel="0" collapsed="false">
      <c r="A19" s="20" t="s">
        <v>1809</v>
      </c>
      <c r="B19" s="20" t="s">
        <v>1768</v>
      </c>
      <c r="C19" s="19" t="s">
        <v>416</v>
      </c>
      <c r="D19" s="22" t="s">
        <v>91</v>
      </c>
      <c r="E19" s="19" t="s">
        <v>417</v>
      </c>
      <c r="F19" s="20" t="s">
        <v>1476</v>
      </c>
      <c r="G19" s="20" t="s">
        <v>4325</v>
      </c>
      <c r="H19" s="20" t="s">
        <v>1810</v>
      </c>
      <c r="I19" s="20" t="s">
        <v>76</v>
      </c>
      <c r="J19" s="95" t="n">
        <v>86.54</v>
      </c>
      <c r="K19" s="20" t="s">
        <v>4179</v>
      </c>
      <c r="L19" s="95" t="n">
        <v>128.16</v>
      </c>
      <c r="M19" s="52" t="n">
        <v>32.5</v>
      </c>
      <c r="N19" s="22" t="s">
        <v>4180</v>
      </c>
      <c r="O19" s="22" t="s">
        <v>1085</v>
      </c>
      <c r="P19" s="20"/>
      <c r="Q19" s="19"/>
      <c r="R19" s="92"/>
      <c r="S19" s="95" t="str">
        <f aca="false">IF(OR(R19="",J19=""),"",ROUND(J19*(1+R19/100),2))</f>
        <v/>
      </c>
      <c r="T19" s="97" t="n">
        <v>20</v>
      </c>
      <c r="U19" s="20" t="s">
        <v>93</v>
      </c>
      <c r="V19" s="55" t="s">
        <v>95</v>
      </c>
    </row>
    <row r="20" customFormat="false" ht="15" hidden="false" customHeight="false" outlineLevel="0" collapsed="false">
      <c r="A20" s="24" t="s">
        <v>1813</v>
      </c>
      <c r="B20" s="24" t="s">
        <v>1768</v>
      </c>
      <c r="C20" s="23" t="s">
        <v>418</v>
      </c>
      <c r="D20" s="26" t="s">
        <v>91</v>
      </c>
      <c r="E20" s="23" t="s">
        <v>419</v>
      </c>
      <c r="F20" s="24" t="s">
        <v>1814</v>
      </c>
      <c r="G20" s="24" t="s">
        <v>4326</v>
      </c>
      <c r="H20" s="24" t="s">
        <v>1815</v>
      </c>
      <c r="I20" s="74" t="s">
        <v>81</v>
      </c>
      <c r="J20" s="94" t="n">
        <v>24.95</v>
      </c>
      <c r="K20" s="74" t="s">
        <v>4191</v>
      </c>
      <c r="L20" s="91" t="n">
        <v>29.35</v>
      </c>
      <c r="M20" s="58" t="n">
        <v>15</v>
      </c>
      <c r="N20" s="26" t="s">
        <v>4180</v>
      </c>
      <c r="O20" s="96" t="s">
        <v>1007</v>
      </c>
      <c r="P20" s="24"/>
      <c r="Q20" s="23"/>
      <c r="R20" s="92"/>
      <c r="S20" s="91" t="str">
        <f aca="false">IF(OR(R20="",J20=""),"",ROUND(J20*(1+R20/100),2))</f>
        <v/>
      </c>
      <c r="T20" s="93" t="n">
        <v>20</v>
      </c>
      <c r="U20" s="24" t="s">
        <v>169</v>
      </c>
      <c r="V20" s="61" t="s">
        <v>95</v>
      </c>
    </row>
    <row r="21" customFormat="false" ht="23.85" hidden="false" customHeight="false" outlineLevel="0" collapsed="false">
      <c r="A21" s="20" t="s">
        <v>1820</v>
      </c>
      <c r="B21" s="20" t="s">
        <v>1768</v>
      </c>
      <c r="C21" s="19" t="s">
        <v>420</v>
      </c>
      <c r="D21" s="22" t="s">
        <v>91</v>
      </c>
      <c r="E21" s="19" t="s">
        <v>421</v>
      </c>
      <c r="F21" s="20" t="s">
        <v>1550</v>
      </c>
      <c r="G21" s="20" t="s">
        <v>4327</v>
      </c>
      <c r="H21" s="20" t="s">
        <v>1821</v>
      </c>
      <c r="I21" s="74" t="s">
        <v>81</v>
      </c>
      <c r="J21" s="94" t="n">
        <v>33.31</v>
      </c>
      <c r="K21" s="74" t="s">
        <v>4191</v>
      </c>
      <c r="L21" s="95" t="n">
        <v>34.24</v>
      </c>
      <c r="M21" s="52" t="n">
        <v>2.7</v>
      </c>
      <c r="N21" s="22" t="s">
        <v>4180</v>
      </c>
      <c r="O21" s="96" t="s">
        <v>1016</v>
      </c>
      <c r="P21" s="20"/>
      <c r="Q21" s="106" t="s">
        <v>889</v>
      </c>
      <c r="R21" s="92"/>
      <c r="S21" s="95" t="str">
        <f aca="false">IF(OR(R21="",J21=""),"",ROUND(J21*(1+R21/100),2))</f>
        <v/>
      </c>
      <c r="T21" s="97" t="n">
        <v>20</v>
      </c>
      <c r="U21" s="20" t="s">
        <v>119</v>
      </c>
      <c r="V21" s="55" t="s">
        <v>95</v>
      </c>
    </row>
    <row r="22" customFormat="false" ht="23.85" hidden="false" customHeight="false" outlineLevel="0" collapsed="false">
      <c r="A22" s="88" t="s">
        <v>1826</v>
      </c>
      <c r="B22" s="88" t="s">
        <v>1827</v>
      </c>
      <c r="C22" s="89" t="s">
        <v>422</v>
      </c>
      <c r="D22" s="90" t="s">
        <v>91</v>
      </c>
      <c r="E22" s="89" t="s">
        <v>423</v>
      </c>
      <c r="F22" s="88" t="s">
        <v>1761</v>
      </c>
      <c r="G22" s="88" t="s">
        <v>4328</v>
      </c>
      <c r="H22" s="88" t="s">
        <v>1828</v>
      </c>
      <c r="I22" s="88" t="s">
        <v>76</v>
      </c>
      <c r="J22" s="98" t="n">
        <v>596.37</v>
      </c>
      <c r="K22" s="88" t="s">
        <v>939</v>
      </c>
      <c r="L22" s="98"/>
      <c r="M22" s="99"/>
      <c r="N22" s="90" t="s">
        <v>4180</v>
      </c>
      <c r="O22" s="100" t="s">
        <v>963</v>
      </c>
      <c r="P22" s="88"/>
      <c r="Q22" s="101" t="s">
        <v>889</v>
      </c>
      <c r="R22" s="102"/>
      <c r="S22" s="98" t="str">
        <f aca="false">IF(OR(R22="",J22=""),"",ROUND(J22*(1+R22/100),2))</f>
        <v/>
      </c>
      <c r="T22" s="103" t="n">
        <v>20</v>
      </c>
      <c r="U22" s="88" t="s">
        <v>93</v>
      </c>
      <c r="V22" s="104" t="s">
        <v>95</v>
      </c>
    </row>
    <row r="23" customFormat="false" ht="15" hidden="false" customHeight="false" outlineLevel="0" collapsed="false">
      <c r="A23" s="20" t="s">
        <v>1829</v>
      </c>
      <c r="B23" s="20" t="s">
        <v>1827</v>
      </c>
      <c r="C23" s="19" t="s">
        <v>424</v>
      </c>
      <c r="D23" s="22" t="s">
        <v>137</v>
      </c>
      <c r="E23" s="19" t="s">
        <v>425</v>
      </c>
      <c r="F23" s="20" t="s">
        <v>1830</v>
      </c>
      <c r="G23" s="20"/>
      <c r="H23" s="20" t="s">
        <v>1831</v>
      </c>
      <c r="I23" s="74" t="s">
        <v>77</v>
      </c>
      <c r="J23" s="94" t="n">
        <v>20.89</v>
      </c>
      <c r="K23" s="74" t="s">
        <v>979</v>
      </c>
      <c r="L23" s="95" t="n">
        <v>20.89</v>
      </c>
      <c r="M23" s="52"/>
      <c r="N23" s="22" t="s">
        <v>4180</v>
      </c>
      <c r="O23" s="96" t="s">
        <v>983</v>
      </c>
      <c r="P23" s="20" t="s">
        <v>1832</v>
      </c>
      <c r="Q23" s="19"/>
      <c r="R23" s="92"/>
      <c r="S23" s="95" t="str">
        <f aca="false">IF(OR(R23="",J23=""),"",ROUND(J23*(1+R23/100),2))</f>
        <v/>
      </c>
      <c r="T23" s="97" t="n">
        <v>20</v>
      </c>
      <c r="U23" s="20" t="s">
        <v>114</v>
      </c>
      <c r="V23" s="20"/>
    </row>
    <row r="24" customFormat="false" ht="23.85" hidden="false" customHeight="false" outlineLevel="0" collapsed="false">
      <c r="A24" s="24" t="s">
        <v>1833</v>
      </c>
      <c r="B24" s="24" t="s">
        <v>1827</v>
      </c>
      <c r="C24" s="23" t="s">
        <v>426</v>
      </c>
      <c r="D24" s="26" t="s">
        <v>91</v>
      </c>
      <c r="E24" s="23" t="s">
        <v>427</v>
      </c>
      <c r="F24" s="24" t="s">
        <v>1830</v>
      </c>
      <c r="G24" s="24"/>
      <c r="H24" s="24" t="s">
        <v>1834</v>
      </c>
      <c r="I24" s="74" t="s">
        <v>77</v>
      </c>
      <c r="J24" s="94" t="n">
        <v>46.25</v>
      </c>
      <c r="K24" s="74" t="s">
        <v>979</v>
      </c>
      <c r="L24" s="91" t="n">
        <v>46.25</v>
      </c>
      <c r="M24" s="58"/>
      <c r="N24" s="26" t="s">
        <v>4180</v>
      </c>
      <c r="O24" s="96" t="s">
        <v>983</v>
      </c>
      <c r="P24" s="24"/>
      <c r="Q24" s="23"/>
      <c r="R24" s="92"/>
      <c r="S24" s="91" t="str">
        <f aca="false">IF(OR(R24="",J24=""),"",ROUND(J24*(1+R24/100),2))</f>
        <v/>
      </c>
      <c r="T24" s="93" t="n">
        <v>20</v>
      </c>
      <c r="U24" s="24" t="s">
        <v>114</v>
      </c>
      <c r="V24" s="24"/>
    </row>
    <row r="25" customFormat="false" ht="23.85" hidden="false" customHeight="false" outlineLevel="0" collapsed="false">
      <c r="A25" s="20" t="s">
        <v>1835</v>
      </c>
      <c r="B25" s="20" t="s">
        <v>1827</v>
      </c>
      <c r="C25" s="19" t="s">
        <v>428</v>
      </c>
      <c r="D25" s="22" t="s">
        <v>91</v>
      </c>
      <c r="E25" s="19" t="s">
        <v>429</v>
      </c>
      <c r="F25" s="20" t="s">
        <v>1836</v>
      </c>
      <c r="G25" s="20" t="s">
        <v>4329</v>
      </c>
      <c r="H25" s="20" t="s">
        <v>1837</v>
      </c>
      <c r="I25" s="20" t="s">
        <v>76</v>
      </c>
      <c r="J25" s="95" t="n">
        <v>80.73</v>
      </c>
      <c r="K25" s="20" t="s">
        <v>939</v>
      </c>
      <c r="L25" s="95"/>
      <c r="M25" s="52"/>
      <c r="N25" s="22" t="s">
        <v>4180</v>
      </c>
      <c r="O25" s="22" t="s">
        <v>942</v>
      </c>
      <c r="P25" s="20"/>
      <c r="Q25" s="19"/>
      <c r="R25" s="92"/>
      <c r="S25" s="95" t="str">
        <f aca="false">IF(OR(R25="",J25=""),"",ROUND(J25*(1+R25/100),2))</f>
        <v/>
      </c>
      <c r="T25" s="97" t="n">
        <v>20</v>
      </c>
      <c r="U25" s="20" t="s">
        <v>93</v>
      </c>
      <c r="V25" s="55" t="s">
        <v>95</v>
      </c>
    </row>
    <row r="26" customFormat="false" ht="23.85" hidden="false" customHeight="false" outlineLevel="0" collapsed="false">
      <c r="A26" s="24" t="s">
        <v>1838</v>
      </c>
      <c r="B26" s="24" t="s">
        <v>1827</v>
      </c>
      <c r="C26" s="23" t="s">
        <v>430</v>
      </c>
      <c r="D26" s="26" t="s">
        <v>137</v>
      </c>
      <c r="E26" s="23" t="s">
        <v>431</v>
      </c>
      <c r="F26" s="24" t="s">
        <v>1293</v>
      </c>
      <c r="G26" s="24" t="s">
        <v>4330</v>
      </c>
      <c r="H26" s="24" t="s">
        <v>1839</v>
      </c>
      <c r="I26" s="24" t="s">
        <v>76</v>
      </c>
      <c r="J26" s="91" t="n">
        <v>3.21</v>
      </c>
      <c r="K26" s="24" t="s">
        <v>939</v>
      </c>
      <c r="L26" s="91"/>
      <c r="M26" s="58"/>
      <c r="N26" s="26" t="s">
        <v>4180</v>
      </c>
      <c r="O26" s="26" t="s">
        <v>942</v>
      </c>
      <c r="P26" s="24"/>
      <c r="Q26" s="23"/>
      <c r="R26" s="92"/>
      <c r="S26" s="91" t="str">
        <f aca="false">IF(OR(R26="",J26=""),"",ROUND(J26*(1+R26/100),2))</f>
        <v/>
      </c>
      <c r="T26" s="93" t="n">
        <v>20</v>
      </c>
      <c r="U26" s="24" t="s">
        <v>93</v>
      </c>
      <c r="V26" s="61" t="s">
        <v>95</v>
      </c>
    </row>
    <row r="27" customFormat="false" ht="22.35" hidden="false" customHeight="false" outlineLevel="0" collapsed="false">
      <c r="A27" s="85" t="s">
        <v>4331</v>
      </c>
      <c r="B27" s="85" t="s">
        <v>1827</v>
      </c>
      <c r="C27" s="86" t="s">
        <v>906</v>
      </c>
      <c r="D27" s="87" t="s">
        <v>91</v>
      </c>
      <c r="E27" s="86"/>
      <c r="F27" s="85"/>
      <c r="G27" s="85"/>
      <c r="H27" s="85"/>
      <c r="I27" s="85" t="s">
        <v>894</v>
      </c>
      <c r="J27" s="107"/>
      <c r="K27" s="85"/>
      <c r="L27" s="107"/>
      <c r="M27" s="108"/>
      <c r="N27" s="87"/>
      <c r="O27" s="109" t="s">
        <v>52</v>
      </c>
      <c r="P27" s="85"/>
      <c r="Q27" s="110" t="s">
        <v>895</v>
      </c>
      <c r="R27" s="111"/>
      <c r="S27" s="107" t="str">
        <f aca="false">IF(OR(R27="",J27=""),"",ROUND(J27*(1+R27/100),2))</f>
        <v/>
      </c>
      <c r="T27" s="112" t="n">
        <v>20</v>
      </c>
      <c r="U27" s="85"/>
      <c r="V27" s="85"/>
    </row>
    <row r="28" customFormat="false" ht="15" hidden="false" customHeight="false" outlineLevel="0" collapsed="false">
      <c r="A28" s="24" t="s">
        <v>1842</v>
      </c>
      <c r="B28" s="24" t="s">
        <v>1843</v>
      </c>
      <c r="C28" s="23" t="s">
        <v>432</v>
      </c>
      <c r="D28" s="26" t="s">
        <v>91</v>
      </c>
      <c r="E28" s="23" t="s">
        <v>433</v>
      </c>
      <c r="F28" s="24" t="s">
        <v>1844</v>
      </c>
      <c r="G28" s="24" t="s">
        <v>4332</v>
      </c>
      <c r="H28" s="24" t="s">
        <v>1845</v>
      </c>
      <c r="I28" s="24" t="s">
        <v>76</v>
      </c>
      <c r="J28" s="91" t="n">
        <v>40.3</v>
      </c>
      <c r="K28" s="24" t="s">
        <v>4179</v>
      </c>
      <c r="L28" s="91" t="n">
        <v>131.53</v>
      </c>
      <c r="M28" s="58" t="n">
        <v>69.4</v>
      </c>
      <c r="N28" s="26" t="s">
        <v>4180</v>
      </c>
      <c r="O28" s="26" t="s">
        <v>942</v>
      </c>
      <c r="P28" s="24"/>
      <c r="Q28" s="23"/>
      <c r="R28" s="92"/>
      <c r="S28" s="91" t="str">
        <f aca="false">IF(OR(R28="",J28=""),"",ROUND(J28*(1+R28/100),2))</f>
        <v/>
      </c>
      <c r="T28" s="93" t="n">
        <v>20</v>
      </c>
      <c r="U28" s="24" t="s">
        <v>93</v>
      </c>
      <c r="V28" s="61" t="s">
        <v>95</v>
      </c>
    </row>
    <row r="29" customFormat="false" ht="15" hidden="false" customHeight="false" outlineLevel="0" collapsed="false">
      <c r="A29" s="88" t="s">
        <v>1848</v>
      </c>
      <c r="B29" s="88" t="s">
        <v>1843</v>
      </c>
      <c r="C29" s="89" t="s">
        <v>434</v>
      </c>
      <c r="D29" s="90" t="s">
        <v>91</v>
      </c>
      <c r="E29" s="89" t="s">
        <v>435</v>
      </c>
      <c r="F29" s="88" t="s">
        <v>1293</v>
      </c>
      <c r="G29" s="88" t="s">
        <v>4333</v>
      </c>
      <c r="H29" s="88" t="s">
        <v>1849</v>
      </c>
      <c r="I29" s="88" t="s">
        <v>76</v>
      </c>
      <c r="J29" s="98" t="n">
        <v>8.8</v>
      </c>
      <c r="K29" s="88" t="s">
        <v>4198</v>
      </c>
      <c r="L29" s="98" t="n">
        <v>22.24</v>
      </c>
      <c r="M29" s="99" t="n">
        <v>60.4</v>
      </c>
      <c r="N29" s="90" t="s">
        <v>4180</v>
      </c>
      <c r="O29" s="100" t="s">
        <v>963</v>
      </c>
      <c r="P29" s="88"/>
      <c r="Q29" s="101" t="s">
        <v>889</v>
      </c>
      <c r="R29" s="102"/>
      <c r="S29" s="98" t="str">
        <f aca="false">IF(OR(R29="",J29=""),"",ROUND(J29*(1+R29/100),2))</f>
        <v/>
      </c>
      <c r="T29" s="103" t="n">
        <v>20</v>
      </c>
      <c r="U29" s="88" t="s">
        <v>93</v>
      </c>
      <c r="V29" s="104" t="s">
        <v>95</v>
      </c>
    </row>
  </sheetData>
  <autoFilter ref="A1:V29"/>
  <hyperlinks>
    <hyperlink ref="V2" r:id="rId1" display="Voir la fiche"/>
    <hyperlink ref="V3" r:id="rId2" display="Voir la fiche"/>
    <hyperlink ref="V4" r:id="rId3" display="Voir la fiche"/>
    <hyperlink ref="V5" r:id="rId4" display="Voir la fiche"/>
    <hyperlink ref="V6" r:id="rId5" display="Voir la fiche"/>
    <hyperlink ref="V7" r:id="rId6" display="Voir la fiche"/>
    <hyperlink ref="V8" r:id="rId7" display="Voir la fiche"/>
    <hyperlink ref="V9" r:id="rId8" display="Voir la fiche"/>
    <hyperlink ref="V10" r:id="rId9" display="Voir la fiche"/>
    <hyperlink ref="V11" r:id="rId10" display="Voir la fiche"/>
    <hyperlink ref="V14" r:id="rId11" display="Voir la fiche"/>
    <hyperlink ref="V15" r:id="rId12" display="Voir la fiche"/>
    <hyperlink ref="V16" r:id="rId13" display="Voir la fiche"/>
    <hyperlink ref="V17" r:id="rId14" display="Voir la fiche"/>
    <hyperlink ref="V18" r:id="rId15" display="Voir la fiche"/>
    <hyperlink ref="V19" r:id="rId16" display="Voir la fiche"/>
    <hyperlink ref="V20" r:id="rId17" display="Voir la fiche"/>
    <hyperlink ref="V21" r:id="rId18" display="Voir la fiche"/>
    <hyperlink ref="V22" r:id="rId19" display="Voir la fiche"/>
    <hyperlink ref="V25" r:id="rId20" display="Voir la fiche"/>
    <hyperlink ref="V26" r:id="rId21" display="Voir la fiche"/>
    <hyperlink ref="V28" r:id="rId22" display="Voir la fiche"/>
    <hyperlink ref="V29" r:id="rId23"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2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3F00"/>
    <pageSetUpPr fitToPage="true"/>
  </sheetPr>
  <dimension ref="A1:V3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15" hidden="false" customHeight="false" outlineLevel="0" collapsed="false">
      <c r="A2" s="24" t="s">
        <v>1854</v>
      </c>
      <c r="B2" s="24" t="s">
        <v>1855</v>
      </c>
      <c r="C2" s="23" t="s">
        <v>436</v>
      </c>
      <c r="D2" s="26" t="s">
        <v>91</v>
      </c>
      <c r="E2" s="23" t="s">
        <v>437</v>
      </c>
      <c r="F2" s="24"/>
      <c r="G2" s="24"/>
      <c r="H2" s="24" t="s">
        <v>1856</v>
      </c>
      <c r="I2" s="74" t="s">
        <v>82</v>
      </c>
      <c r="J2" s="94" t="n">
        <v>4.57</v>
      </c>
      <c r="K2" s="74" t="s">
        <v>4285</v>
      </c>
      <c r="L2" s="91" t="n">
        <v>34.98</v>
      </c>
      <c r="M2" s="58" t="n">
        <v>86.9</v>
      </c>
      <c r="N2" s="26" t="s">
        <v>4180</v>
      </c>
      <c r="O2" s="96" t="s">
        <v>1016</v>
      </c>
      <c r="P2" s="24"/>
      <c r="Q2" s="105" t="s">
        <v>889</v>
      </c>
      <c r="R2" s="92"/>
      <c r="S2" s="91" t="str">
        <f aca="false">IF(OR(R2="",J2=""),"",ROUND(J2*(1+R2/100),2))</f>
        <v/>
      </c>
      <c r="T2" s="93" t="n">
        <v>20</v>
      </c>
      <c r="U2" s="24" t="s">
        <v>290</v>
      </c>
      <c r="V2" s="61" t="s">
        <v>95</v>
      </c>
    </row>
    <row r="3" customFormat="false" ht="23.85" hidden="false" customHeight="false" outlineLevel="0" collapsed="false">
      <c r="A3" s="20" t="s">
        <v>1863</v>
      </c>
      <c r="B3" s="20" t="s">
        <v>1855</v>
      </c>
      <c r="C3" s="19" t="s">
        <v>438</v>
      </c>
      <c r="D3" s="22" t="s">
        <v>91</v>
      </c>
      <c r="E3" s="19" t="s">
        <v>439</v>
      </c>
      <c r="F3" s="20" t="s">
        <v>1858</v>
      </c>
      <c r="G3" s="20" t="s">
        <v>4334</v>
      </c>
      <c r="H3" s="20" t="s">
        <v>1864</v>
      </c>
      <c r="I3" s="74" t="s">
        <v>81</v>
      </c>
      <c r="J3" s="94" t="n">
        <v>33.45</v>
      </c>
      <c r="K3" s="74" t="s">
        <v>4215</v>
      </c>
      <c r="L3" s="95" t="n">
        <v>35.16</v>
      </c>
      <c r="M3" s="52" t="n">
        <v>4.9</v>
      </c>
      <c r="N3" s="22" t="s">
        <v>4180</v>
      </c>
      <c r="O3" s="96" t="s">
        <v>1016</v>
      </c>
      <c r="P3" s="20"/>
      <c r="Q3" s="106" t="s">
        <v>889</v>
      </c>
      <c r="R3" s="92"/>
      <c r="S3" s="95" t="str">
        <f aca="false">IF(OR(R3="",J3=""),"",ROUND(J3*(1+R3/100),2))</f>
        <v/>
      </c>
      <c r="T3" s="97" t="n">
        <v>20</v>
      </c>
      <c r="U3" s="20" t="s">
        <v>169</v>
      </c>
      <c r="V3" s="55" t="s">
        <v>95</v>
      </c>
    </row>
    <row r="4" customFormat="false" ht="23.85" hidden="false" customHeight="false" outlineLevel="0" collapsed="false">
      <c r="A4" s="24" t="s">
        <v>1871</v>
      </c>
      <c r="B4" s="24" t="s">
        <v>1855</v>
      </c>
      <c r="C4" s="23" t="s">
        <v>440</v>
      </c>
      <c r="D4" s="26" t="s">
        <v>91</v>
      </c>
      <c r="E4" s="23" t="s">
        <v>441</v>
      </c>
      <c r="F4" s="24"/>
      <c r="G4" s="24"/>
      <c r="H4" s="24" t="s">
        <v>1872</v>
      </c>
      <c r="I4" s="74" t="s">
        <v>82</v>
      </c>
      <c r="J4" s="94" t="n">
        <v>336.63</v>
      </c>
      <c r="K4" s="74" t="s">
        <v>4182</v>
      </c>
      <c r="L4" s="91" t="n">
        <v>438.84</v>
      </c>
      <c r="M4" s="58" t="n">
        <v>23.3</v>
      </c>
      <c r="N4" s="26" t="s">
        <v>4180</v>
      </c>
      <c r="O4" s="96" t="s">
        <v>1380</v>
      </c>
      <c r="P4" s="24"/>
      <c r="Q4" s="23"/>
      <c r="R4" s="92"/>
      <c r="S4" s="91" t="str">
        <f aca="false">IF(OR(R4="",J4=""),"",ROUND(J4*(1+R4/100),2))</f>
        <v/>
      </c>
      <c r="T4" s="93" t="n">
        <v>20</v>
      </c>
      <c r="U4" s="24" t="s">
        <v>290</v>
      </c>
      <c r="V4" s="61" t="s">
        <v>95</v>
      </c>
    </row>
    <row r="5" customFormat="false" ht="23.85" hidden="false" customHeight="false" outlineLevel="0" collapsed="false">
      <c r="A5" s="20" t="s">
        <v>1875</v>
      </c>
      <c r="B5" s="20" t="s">
        <v>1855</v>
      </c>
      <c r="C5" s="19" t="s">
        <v>442</v>
      </c>
      <c r="D5" s="22" t="s">
        <v>91</v>
      </c>
      <c r="E5" s="19" t="s">
        <v>443</v>
      </c>
      <c r="F5" s="20"/>
      <c r="G5" s="20"/>
      <c r="H5" s="20" t="s">
        <v>1876</v>
      </c>
      <c r="I5" s="20" t="s">
        <v>80</v>
      </c>
      <c r="J5" s="95" t="n">
        <v>11.48</v>
      </c>
      <c r="K5" s="20" t="s">
        <v>4198</v>
      </c>
      <c r="L5" s="95" t="n">
        <v>128.38</v>
      </c>
      <c r="M5" s="52" t="n">
        <v>91.1</v>
      </c>
      <c r="N5" s="22" t="s">
        <v>4180</v>
      </c>
      <c r="O5" s="22" t="s">
        <v>1085</v>
      </c>
      <c r="P5" s="20"/>
      <c r="Q5" s="19"/>
      <c r="R5" s="92"/>
      <c r="S5" s="95" t="str">
        <f aca="false">IF(OR(R5="",J5=""),"",ROUND(J5*(1+R5/100),2))</f>
        <v/>
      </c>
      <c r="T5" s="97" t="n">
        <v>20</v>
      </c>
      <c r="U5" s="20" t="s">
        <v>303</v>
      </c>
      <c r="V5" s="55" t="s">
        <v>95</v>
      </c>
    </row>
    <row r="6" customFormat="false" ht="23.85" hidden="false" customHeight="false" outlineLevel="0" collapsed="false">
      <c r="A6" s="24" t="s">
        <v>1882</v>
      </c>
      <c r="B6" s="24" t="s">
        <v>1855</v>
      </c>
      <c r="C6" s="23" t="s">
        <v>444</v>
      </c>
      <c r="D6" s="26" t="s">
        <v>91</v>
      </c>
      <c r="E6" s="23" t="s">
        <v>443</v>
      </c>
      <c r="F6" s="24"/>
      <c r="G6" s="24"/>
      <c r="H6" s="24" t="s">
        <v>1876</v>
      </c>
      <c r="I6" s="24" t="s">
        <v>80</v>
      </c>
      <c r="J6" s="91" t="n">
        <v>11.48</v>
      </c>
      <c r="K6" s="24" t="s">
        <v>4198</v>
      </c>
      <c r="L6" s="91" t="n">
        <v>123.77</v>
      </c>
      <c r="M6" s="58" t="n">
        <v>90.7</v>
      </c>
      <c r="N6" s="26" t="s">
        <v>4180</v>
      </c>
      <c r="O6" s="26" t="s">
        <v>942</v>
      </c>
      <c r="P6" s="24"/>
      <c r="Q6" s="23"/>
      <c r="R6" s="92"/>
      <c r="S6" s="91" t="str">
        <f aca="false">IF(OR(R6="",J6=""),"",ROUND(J6*(1+R6/100),2))</f>
        <v/>
      </c>
      <c r="T6" s="93" t="n">
        <v>20</v>
      </c>
      <c r="U6" s="24" t="s">
        <v>303</v>
      </c>
      <c r="V6" s="61" t="s">
        <v>95</v>
      </c>
    </row>
    <row r="7" customFormat="false" ht="15" hidden="false" customHeight="false" outlineLevel="0" collapsed="false">
      <c r="A7" s="20" t="s">
        <v>1885</v>
      </c>
      <c r="B7" s="20" t="s">
        <v>1855</v>
      </c>
      <c r="C7" s="19" t="s">
        <v>445</v>
      </c>
      <c r="D7" s="22" t="s">
        <v>91</v>
      </c>
      <c r="E7" s="19" t="s">
        <v>446</v>
      </c>
      <c r="F7" s="20" t="s">
        <v>1886</v>
      </c>
      <c r="G7" s="20"/>
      <c r="H7" s="20" t="s">
        <v>1887</v>
      </c>
      <c r="I7" s="74" t="s">
        <v>82</v>
      </c>
      <c r="J7" s="94" t="n">
        <v>221.62</v>
      </c>
      <c r="K7" s="74" t="s">
        <v>943</v>
      </c>
      <c r="L7" s="95"/>
      <c r="M7" s="52"/>
      <c r="N7" s="22" t="s">
        <v>4180</v>
      </c>
      <c r="O7" s="96" t="s">
        <v>1016</v>
      </c>
      <c r="P7" s="20"/>
      <c r="Q7" s="106" t="s">
        <v>889</v>
      </c>
      <c r="R7" s="92"/>
      <c r="S7" s="95" t="str">
        <f aca="false">IF(OR(R7="",J7=""),"",ROUND(J7*(1+R7/100),2))</f>
        <v/>
      </c>
      <c r="T7" s="97" t="n">
        <v>20</v>
      </c>
      <c r="U7" s="20" t="s">
        <v>290</v>
      </c>
      <c r="V7" s="55" t="s">
        <v>95</v>
      </c>
    </row>
    <row r="8" customFormat="false" ht="22.35" hidden="false" customHeight="false" outlineLevel="0" collapsed="false">
      <c r="A8" s="85" t="s">
        <v>4335</v>
      </c>
      <c r="B8" s="85" t="s">
        <v>1855</v>
      </c>
      <c r="C8" s="86" t="s">
        <v>907</v>
      </c>
      <c r="D8" s="87" t="s">
        <v>91</v>
      </c>
      <c r="E8" s="86"/>
      <c r="F8" s="85"/>
      <c r="G8" s="85"/>
      <c r="H8" s="85"/>
      <c r="I8" s="85" t="s">
        <v>894</v>
      </c>
      <c r="J8" s="107"/>
      <c r="K8" s="85"/>
      <c r="L8" s="107"/>
      <c r="M8" s="108"/>
      <c r="N8" s="87"/>
      <c r="O8" s="109" t="s">
        <v>52</v>
      </c>
      <c r="P8" s="85"/>
      <c r="Q8" s="110" t="s">
        <v>895</v>
      </c>
      <c r="R8" s="111"/>
      <c r="S8" s="107" t="str">
        <f aca="false">IF(OR(R8="",J8=""),"",ROUND(J8*(1+R8/100),2))</f>
        <v/>
      </c>
      <c r="T8" s="112" t="n">
        <v>20</v>
      </c>
      <c r="U8" s="85"/>
      <c r="V8" s="85"/>
    </row>
    <row r="9" customFormat="false" ht="23.85" hidden="false" customHeight="false" outlineLevel="0" collapsed="false">
      <c r="A9" s="20" t="s">
        <v>1888</v>
      </c>
      <c r="B9" s="20" t="s">
        <v>1855</v>
      </c>
      <c r="C9" s="19" t="s">
        <v>447</v>
      </c>
      <c r="D9" s="22" t="s">
        <v>91</v>
      </c>
      <c r="E9" s="19" t="s">
        <v>448</v>
      </c>
      <c r="F9" s="20" t="s">
        <v>1858</v>
      </c>
      <c r="G9" s="20" t="s">
        <v>4336</v>
      </c>
      <c r="H9" s="20" t="s">
        <v>1889</v>
      </c>
      <c r="I9" s="74" t="s">
        <v>81</v>
      </c>
      <c r="J9" s="94" t="n">
        <v>15.82</v>
      </c>
      <c r="K9" s="74" t="s">
        <v>4215</v>
      </c>
      <c r="L9" s="95" t="n">
        <v>16.62</v>
      </c>
      <c r="M9" s="52" t="n">
        <v>4.8</v>
      </c>
      <c r="N9" s="22" t="s">
        <v>4180</v>
      </c>
      <c r="O9" s="96" t="s">
        <v>1016</v>
      </c>
      <c r="P9" s="20"/>
      <c r="Q9" s="106" t="s">
        <v>889</v>
      </c>
      <c r="R9" s="92"/>
      <c r="S9" s="95" t="str">
        <f aca="false">IF(OR(R9="",J9=""),"",ROUND(J9*(1+R9/100),2))</f>
        <v/>
      </c>
      <c r="T9" s="97" t="n">
        <v>20</v>
      </c>
      <c r="U9" s="20" t="s">
        <v>119</v>
      </c>
      <c r="V9" s="55" t="s">
        <v>95</v>
      </c>
    </row>
    <row r="10" customFormat="false" ht="23.85" hidden="false" customHeight="false" outlineLevel="0" collapsed="false">
      <c r="A10" s="88" t="s">
        <v>1897</v>
      </c>
      <c r="B10" s="88" t="s">
        <v>1855</v>
      </c>
      <c r="C10" s="89" t="s">
        <v>449</v>
      </c>
      <c r="D10" s="90" t="s">
        <v>91</v>
      </c>
      <c r="E10" s="89" t="s">
        <v>450</v>
      </c>
      <c r="F10" s="88"/>
      <c r="G10" s="88"/>
      <c r="H10" s="88" t="s">
        <v>1860</v>
      </c>
      <c r="I10" s="88" t="s">
        <v>80</v>
      </c>
      <c r="J10" s="98" t="n">
        <v>34.39</v>
      </c>
      <c r="K10" s="88" t="s">
        <v>4198</v>
      </c>
      <c r="L10" s="98" t="n">
        <v>107.41</v>
      </c>
      <c r="M10" s="99" t="n">
        <v>68</v>
      </c>
      <c r="N10" s="90" t="s">
        <v>4180</v>
      </c>
      <c r="O10" s="100" t="s">
        <v>963</v>
      </c>
      <c r="P10" s="88"/>
      <c r="Q10" s="101" t="s">
        <v>889</v>
      </c>
      <c r="R10" s="102"/>
      <c r="S10" s="98" t="str">
        <f aca="false">IF(OR(R10="",J10=""),"",ROUND(J10*(1+R10/100),2))</f>
        <v/>
      </c>
      <c r="T10" s="103" t="n">
        <v>20</v>
      </c>
      <c r="U10" s="88" t="s">
        <v>303</v>
      </c>
      <c r="V10" s="104" t="s">
        <v>95</v>
      </c>
    </row>
    <row r="11" customFormat="false" ht="23.85" hidden="false" customHeight="false" outlineLevel="0" collapsed="false">
      <c r="A11" s="88" t="s">
        <v>1902</v>
      </c>
      <c r="B11" s="88" t="s">
        <v>1855</v>
      </c>
      <c r="C11" s="89" t="s">
        <v>451</v>
      </c>
      <c r="D11" s="90" t="s">
        <v>91</v>
      </c>
      <c r="E11" s="89" t="s">
        <v>450</v>
      </c>
      <c r="F11" s="88"/>
      <c r="G11" s="88"/>
      <c r="H11" s="88" t="s">
        <v>1860</v>
      </c>
      <c r="I11" s="88" t="s">
        <v>80</v>
      </c>
      <c r="J11" s="98" t="n">
        <v>34.39</v>
      </c>
      <c r="K11" s="88" t="s">
        <v>4233</v>
      </c>
      <c r="L11" s="98" t="n">
        <v>154.07</v>
      </c>
      <c r="M11" s="99" t="n">
        <v>77.7</v>
      </c>
      <c r="N11" s="90" t="s">
        <v>4180</v>
      </c>
      <c r="O11" s="100" t="s">
        <v>963</v>
      </c>
      <c r="P11" s="88"/>
      <c r="Q11" s="101" t="s">
        <v>889</v>
      </c>
      <c r="R11" s="102"/>
      <c r="S11" s="98" t="str">
        <f aca="false">IF(OR(R11="",J11=""),"",ROUND(J11*(1+R11/100),2))</f>
        <v/>
      </c>
      <c r="T11" s="103" t="n">
        <v>20</v>
      </c>
      <c r="U11" s="88" t="s">
        <v>303</v>
      </c>
      <c r="V11" s="104" t="s">
        <v>95</v>
      </c>
    </row>
    <row r="12" customFormat="false" ht="15" hidden="false" customHeight="false" outlineLevel="0" collapsed="false">
      <c r="A12" s="24" t="s">
        <v>1911</v>
      </c>
      <c r="B12" s="24" t="s">
        <v>1855</v>
      </c>
      <c r="C12" s="23" t="s">
        <v>452</v>
      </c>
      <c r="D12" s="26" t="s">
        <v>91</v>
      </c>
      <c r="E12" s="23" t="s">
        <v>453</v>
      </c>
      <c r="F12" s="24" t="s">
        <v>1909</v>
      </c>
      <c r="G12" s="24" t="s">
        <v>4337</v>
      </c>
      <c r="H12" s="24" t="s">
        <v>1912</v>
      </c>
      <c r="I12" s="24" t="s">
        <v>76</v>
      </c>
      <c r="J12" s="91" t="n">
        <v>19.94</v>
      </c>
      <c r="K12" s="24" t="s">
        <v>4198</v>
      </c>
      <c r="L12" s="91" t="n">
        <v>75.79</v>
      </c>
      <c r="M12" s="58" t="n">
        <v>73.7</v>
      </c>
      <c r="N12" s="26" t="s">
        <v>4180</v>
      </c>
      <c r="O12" s="26" t="s">
        <v>942</v>
      </c>
      <c r="P12" s="24"/>
      <c r="Q12" s="23"/>
      <c r="R12" s="92"/>
      <c r="S12" s="91" t="str">
        <f aca="false">IF(OR(R12="",J12=""),"",ROUND(J12*(1+R12/100),2))</f>
        <v/>
      </c>
      <c r="T12" s="93" t="n">
        <v>20</v>
      </c>
      <c r="U12" s="24" t="s">
        <v>93</v>
      </c>
      <c r="V12" s="61" t="s">
        <v>95</v>
      </c>
    </row>
    <row r="13" customFormat="false" ht="23.85" hidden="false" customHeight="false" outlineLevel="0" collapsed="false">
      <c r="A13" s="20" t="s">
        <v>1917</v>
      </c>
      <c r="B13" s="20" t="s">
        <v>1855</v>
      </c>
      <c r="C13" s="19" t="s">
        <v>454</v>
      </c>
      <c r="D13" s="22" t="s">
        <v>91</v>
      </c>
      <c r="E13" s="19" t="s">
        <v>455</v>
      </c>
      <c r="F13" s="20"/>
      <c r="G13" s="20"/>
      <c r="H13" s="20" t="s">
        <v>1918</v>
      </c>
      <c r="I13" s="74" t="s">
        <v>82</v>
      </c>
      <c r="J13" s="94" t="n">
        <v>30.65</v>
      </c>
      <c r="K13" s="74" t="s">
        <v>4182</v>
      </c>
      <c r="L13" s="95" t="n">
        <v>337.05</v>
      </c>
      <c r="M13" s="52" t="n">
        <v>90.9</v>
      </c>
      <c r="N13" s="22" t="s">
        <v>4180</v>
      </c>
      <c r="O13" s="96" t="s">
        <v>1380</v>
      </c>
      <c r="P13" s="20"/>
      <c r="Q13" s="19"/>
      <c r="R13" s="92"/>
      <c r="S13" s="95" t="str">
        <f aca="false">IF(OR(R13="",J13=""),"",ROUND(J13*(1+R13/100),2))</f>
        <v/>
      </c>
      <c r="T13" s="97" t="n">
        <v>20</v>
      </c>
      <c r="U13" s="20" t="s">
        <v>290</v>
      </c>
      <c r="V13" s="55" t="s">
        <v>95</v>
      </c>
    </row>
    <row r="14" customFormat="false" ht="15" hidden="false" customHeight="false" outlineLevel="0" collapsed="false">
      <c r="A14" s="24" t="s">
        <v>1922</v>
      </c>
      <c r="B14" s="24" t="s">
        <v>1923</v>
      </c>
      <c r="C14" s="23" t="s">
        <v>456</v>
      </c>
      <c r="D14" s="26" t="s">
        <v>91</v>
      </c>
      <c r="E14" s="23" t="s">
        <v>457</v>
      </c>
      <c r="F14" s="24" t="s">
        <v>1280</v>
      </c>
      <c r="G14" s="24" t="s">
        <v>4338</v>
      </c>
      <c r="H14" s="24" t="s">
        <v>1924</v>
      </c>
      <c r="I14" s="24" t="s">
        <v>76</v>
      </c>
      <c r="J14" s="91" t="n">
        <v>18.94</v>
      </c>
      <c r="K14" s="24" t="s">
        <v>4233</v>
      </c>
      <c r="L14" s="91" t="n">
        <v>92.92</v>
      </c>
      <c r="M14" s="58" t="n">
        <v>79.6</v>
      </c>
      <c r="N14" s="26" t="s">
        <v>4180</v>
      </c>
      <c r="O14" s="26" t="s">
        <v>942</v>
      </c>
      <c r="P14" s="24"/>
      <c r="Q14" s="23"/>
      <c r="R14" s="92"/>
      <c r="S14" s="91" t="str">
        <f aca="false">IF(OR(R14="",J14=""),"",ROUND(J14*(1+R14/100),2))</f>
        <v/>
      </c>
      <c r="T14" s="93" t="n">
        <v>20</v>
      </c>
      <c r="U14" s="24" t="s">
        <v>93</v>
      </c>
      <c r="V14" s="61" t="s">
        <v>95</v>
      </c>
    </row>
    <row r="15" customFormat="false" ht="23.85" hidden="false" customHeight="false" outlineLevel="0" collapsed="false">
      <c r="A15" s="88" t="s">
        <v>1932</v>
      </c>
      <c r="B15" s="88" t="s">
        <v>1923</v>
      </c>
      <c r="C15" s="89" t="s">
        <v>458</v>
      </c>
      <c r="D15" s="90" t="s">
        <v>91</v>
      </c>
      <c r="E15" s="89" t="s">
        <v>459</v>
      </c>
      <c r="F15" s="88"/>
      <c r="G15" s="88"/>
      <c r="H15" s="88" t="s">
        <v>1933</v>
      </c>
      <c r="I15" s="88" t="s">
        <v>80</v>
      </c>
      <c r="J15" s="98" t="n">
        <v>2.65</v>
      </c>
      <c r="K15" s="88" t="s">
        <v>4233</v>
      </c>
      <c r="L15" s="98" t="n">
        <v>57.09</v>
      </c>
      <c r="M15" s="99" t="n">
        <v>95.4</v>
      </c>
      <c r="N15" s="90" t="s">
        <v>4180</v>
      </c>
      <c r="O15" s="100" t="s">
        <v>963</v>
      </c>
      <c r="P15" s="88"/>
      <c r="Q15" s="101" t="s">
        <v>889</v>
      </c>
      <c r="R15" s="102"/>
      <c r="S15" s="98" t="str">
        <f aca="false">IF(OR(R15="",J15=""),"",ROUND(J15*(1+R15/100),2))</f>
        <v/>
      </c>
      <c r="T15" s="103" t="n">
        <v>20</v>
      </c>
      <c r="U15" s="88" t="s">
        <v>303</v>
      </c>
      <c r="V15" s="104" t="s">
        <v>95</v>
      </c>
    </row>
    <row r="16" customFormat="false" ht="23.85" hidden="false" customHeight="false" outlineLevel="0" collapsed="false">
      <c r="A16" s="24" t="s">
        <v>1942</v>
      </c>
      <c r="B16" s="24" t="s">
        <v>1923</v>
      </c>
      <c r="C16" s="23" t="s">
        <v>460</v>
      </c>
      <c r="D16" s="26" t="s">
        <v>91</v>
      </c>
      <c r="E16" s="23" t="s">
        <v>461</v>
      </c>
      <c r="F16" s="24"/>
      <c r="G16" s="24"/>
      <c r="H16" s="24" t="s">
        <v>1943</v>
      </c>
      <c r="I16" s="24" t="s">
        <v>80</v>
      </c>
      <c r="J16" s="91" t="n">
        <v>102.12</v>
      </c>
      <c r="K16" s="24" t="s">
        <v>4179</v>
      </c>
      <c r="L16" s="91" t="n">
        <v>143.87</v>
      </c>
      <c r="M16" s="58" t="n">
        <v>29</v>
      </c>
      <c r="N16" s="26" t="s">
        <v>4180</v>
      </c>
      <c r="O16" s="26" t="s">
        <v>942</v>
      </c>
      <c r="P16" s="24"/>
      <c r="Q16" s="23"/>
      <c r="R16" s="92"/>
      <c r="S16" s="91" t="str">
        <f aca="false">IF(OR(R16="",J16=""),"",ROUND(J16*(1+R16/100),2))</f>
        <v/>
      </c>
      <c r="T16" s="93" t="n">
        <v>20</v>
      </c>
      <c r="U16" s="24" t="s">
        <v>303</v>
      </c>
      <c r="V16" s="61" t="s">
        <v>95</v>
      </c>
    </row>
    <row r="17" customFormat="false" ht="23.85" hidden="false" customHeight="false" outlineLevel="0" collapsed="false">
      <c r="A17" s="20" t="s">
        <v>1946</v>
      </c>
      <c r="B17" s="20" t="s">
        <v>1923</v>
      </c>
      <c r="C17" s="19" t="s">
        <v>462</v>
      </c>
      <c r="D17" s="22" t="s">
        <v>91</v>
      </c>
      <c r="E17" s="19" t="s">
        <v>463</v>
      </c>
      <c r="F17" s="20"/>
      <c r="G17" s="20"/>
      <c r="H17" s="20" t="s">
        <v>1947</v>
      </c>
      <c r="I17" s="20" t="s">
        <v>80</v>
      </c>
      <c r="J17" s="95" t="n">
        <v>144.03</v>
      </c>
      <c r="K17" s="20" t="s">
        <v>4179</v>
      </c>
      <c r="L17" s="95" t="n">
        <v>263.93</v>
      </c>
      <c r="M17" s="52" t="n">
        <v>45.4</v>
      </c>
      <c r="N17" s="22" t="s">
        <v>4180</v>
      </c>
      <c r="O17" s="22" t="s">
        <v>942</v>
      </c>
      <c r="P17" s="20"/>
      <c r="Q17" s="19"/>
      <c r="R17" s="92"/>
      <c r="S17" s="95" t="str">
        <f aca="false">IF(OR(R17="",J17=""),"",ROUND(J17*(1+R17/100),2))</f>
        <v/>
      </c>
      <c r="T17" s="97" t="n">
        <v>20</v>
      </c>
      <c r="U17" s="20" t="s">
        <v>303</v>
      </c>
      <c r="V17" s="55" t="s">
        <v>95</v>
      </c>
    </row>
    <row r="18" customFormat="false" ht="23.85" hidden="false" customHeight="false" outlineLevel="0" collapsed="false">
      <c r="A18" s="88" t="s">
        <v>1950</v>
      </c>
      <c r="B18" s="88" t="s">
        <v>1923</v>
      </c>
      <c r="C18" s="89" t="s">
        <v>464</v>
      </c>
      <c r="D18" s="90" t="s">
        <v>91</v>
      </c>
      <c r="E18" s="89" t="s">
        <v>465</v>
      </c>
      <c r="F18" s="88"/>
      <c r="G18" s="88"/>
      <c r="H18" s="88" t="s">
        <v>1951</v>
      </c>
      <c r="I18" s="88" t="s">
        <v>80</v>
      </c>
      <c r="J18" s="98" t="n">
        <v>9.69</v>
      </c>
      <c r="K18" s="88" t="s">
        <v>4198</v>
      </c>
      <c r="L18" s="98" t="n">
        <v>44.74</v>
      </c>
      <c r="M18" s="99" t="n">
        <v>78.3</v>
      </c>
      <c r="N18" s="90" t="s">
        <v>4180</v>
      </c>
      <c r="O18" s="100" t="s">
        <v>963</v>
      </c>
      <c r="P18" s="88"/>
      <c r="Q18" s="101" t="s">
        <v>889</v>
      </c>
      <c r="R18" s="102"/>
      <c r="S18" s="98" t="str">
        <f aca="false">IF(OR(R18="",J18=""),"",ROUND(J18*(1+R18/100),2))</f>
        <v/>
      </c>
      <c r="T18" s="103" t="n">
        <v>20</v>
      </c>
      <c r="U18" s="88" t="s">
        <v>303</v>
      </c>
      <c r="V18" s="104" t="s">
        <v>95</v>
      </c>
    </row>
    <row r="19" customFormat="false" ht="15" hidden="false" customHeight="false" outlineLevel="0" collapsed="false">
      <c r="A19" s="20" t="s">
        <v>1957</v>
      </c>
      <c r="B19" s="20" t="s">
        <v>1923</v>
      </c>
      <c r="C19" s="19" t="s">
        <v>466</v>
      </c>
      <c r="D19" s="22" t="s">
        <v>91</v>
      </c>
      <c r="E19" s="19" t="s">
        <v>467</v>
      </c>
      <c r="F19" s="20" t="s">
        <v>1858</v>
      </c>
      <c r="G19" s="20" t="s">
        <v>4339</v>
      </c>
      <c r="H19" s="20" t="s">
        <v>1958</v>
      </c>
      <c r="I19" s="74" t="s">
        <v>81</v>
      </c>
      <c r="J19" s="94" t="n">
        <v>12.39</v>
      </c>
      <c r="K19" s="74" t="s">
        <v>4215</v>
      </c>
      <c r="L19" s="95" t="n">
        <v>13</v>
      </c>
      <c r="M19" s="52" t="n">
        <v>4.7</v>
      </c>
      <c r="N19" s="22" t="s">
        <v>4180</v>
      </c>
      <c r="O19" s="96" t="s">
        <v>1016</v>
      </c>
      <c r="P19" s="20"/>
      <c r="Q19" s="106" t="s">
        <v>889</v>
      </c>
      <c r="R19" s="92"/>
      <c r="S19" s="95" t="str">
        <f aca="false">IF(OR(R19="",J19=""),"",ROUND(J19*(1+R19/100),2))</f>
        <v/>
      </c>
      <c r="T19" s="97" t="n">
        <v>20</v>
      </c>
      <c r="U19" s="20" t="s">
        <v>119</v>
      </c>
      <c r="V19" s="55" t="s">
        <v>95</v>
      </c>
    </row>
    <row r="20" customFormat="false" ht="15" hidden="false" customHeight="false" outlineLevel="0" collapsed="false">
      <c r="A20" s="24" t="s">
        <v>1965</v>
      </c>
      <c r="B20" s="24" t="s">
        <v>1923</v>
      </c>
      <c r="C20" s="23" t="s">
        <v>468</v>
      </c>
      <c r="D20" s="26" t="s">
        <v>91</v>
      </c>
      <c r="E20" s="23" t="s">
        <v>469</v>
      </c>
      <c r="F20" s="24"/>
      <c r="G20" s="24"/>
      <c r="H20" s="24" t="s">
        <v>1966</v>
      </c>
      <c r="I20" s="74" t="s">
        <v>82</v>
      </c>
      <c r="J20" s="94" t="n">
        <v>3.1</v>
      </c>
      <c r="K20" s="74" t="s">
        <v>4182</v>
      </c>
      <c r="L20" s="91" t="n">
        <v>3.99</v>
      </c>
      <c r="M20" s="58" t="n">
        <v>22.3</v>
      </c>
      <c r="N20" s="26" t="s">
        <v>4180</v>
      </c>
      <c r="O20" s="96" t="s">
        <v>1380</v>
      </c>
      <c r="P20" s="24"/>
      <c r="Q20" s="23"/>
      <c r="R20" s="92"/>
      <c r="S20" s="91" t="str">
        <f aca="false">IF(OR(R20="",J20=""),"",ROUND(J20*(1+R20/100),2))</f>
        <v/>
      </c>
      <c r="T20" s="93" t="n">
        <v>20</v>
      </c>
      <c r="U20" s="24" t="s">
        <v>290</v>
      </c>
      <c r="V20" s="61" t="s">
        <v>95</v>
      </c>
    </row>
    <row r="21" customFormat="false" ht="15" hidden="false" customHeight="false" outlineLevel="0" collapsed="false">
      <c r="A21" s="88" t="s">
        <v>1969</v>
      </c>
      <c r="B21" s="88" t="s">
        <v>1923</v>
      </c>
      <c r="C21" s="89" t="s">
        <v>470</v>
      </c>
      <c r="D21" s="90" t="s">
        <v>91</v>
      </c>
      <c r="E21" s="89" t="s">
        <v>471</v>
      </c>
      <c r="F21" s="88" t="s">
        <v>1970</v>
      </c>
      <c r="G21" s="88" t="s">
        <v>4340</v>
      </c>
      <c r="H21" s="88" t="s">
        <v>1971</v>
      </c>
      <c r="I21" s="88" t="s">
        <v>76</v>
      </c>
      <c r="J21" s="98" t="n">
        <v>22.09</v>
      </c>
      <c r="K21" s="88" t="s">
        <v>939</v>
      </c>
      <c r="L21" s="98"/>
      <c r="M21" s="99"/>
      <c r="N21" s="90" t="s">
        <v>4180</v>
      </c>
      <c r="O21" s="100" t="s">
        <v>963</v>
      </c>
      <c r="P21" s="88"/>
      <c r="Q21" s="101" t="s">
        <v>889</v>
      </c>
      <c r="R21" s="102"/>
      <c r="S21" s="98" t="str">
        <f aca="false">IF(OR(R21="",J21=""),"",ROUND(J21*(1+R21/100),2))</f>
        <v/>
      </c>
      <c r="T21" s="103" t="n">
        <v>20</v>
      </c>
      <c r="U21" s="88" t="s">
        <v>93</v>
      </c>
      <c r="V21" s="104" t="s">
        <v>95</v>
      </c>
    </row>
    <row r="22" customFormat="false" ht="23.85" hidden="false" customHeight="false" outlineLevel="0" collapsed="false">
      <c r="A22" s="88" t="s">
        <v>1972</v>
      </c>
      <c r="B22" s="88" t="s">
        <v>1923</v>
      </c>
      <c r="C22" s="89" t="s">
        <v>472</v>
      </c>
      <c r="D22" s="90" t="s">
        <v>91</v>
      </c>
      <c r="E22" s="89" t="s">
        <v>473</v>
      </c>
      <c r="F22" s="88"/>
      <c r="G22" s="88"/>
      <c r="H22" s="88" t="s">
        <v>1973</v>
      </c>
      <c r="I22" s="88" t="s">
        <v>80</v>
      </c>
      <c r="J22" s="98" t="n">
        <v>1.76</v>
      </c>
      <c r="K22" s="88" t="s">
        <v>4179</v>
      </c>
      <c r="L22" s="98" t="n">
        <v>2.59</v>
      </c>
      <c r="M22" s="99" t="n">
        <v>32</v>
      </c>
      <c r="N22" s="90" t="s">
        <v>4180</v>
      </c>
      <c r="O22" s="100" t="s">
        <v>963</v>
      </c>
      <c r="P22" s="88" t="s">
        <v>4341</v>
      </c>
      <c r="Q22" s="101" t="s">
        <v>891</v>
      </c>
      <c r="R22" s="102"/>
      <c r="S22" s="98" t="str">
        <f aca="false">IF(OR(R22="",J22=""),"",ROUND(J22*(1+R22/100),2))</f>
        <v/>
      </c>
      <c r="T22" s="103" t="n">
        <v>20</v>
      </c>
      <c r="U22" s="88" t="s">
        <v>303</v>
      </c>
      <c r="V22" s="104" t="s">
        <v>95</v>
      </c>
    </row>
    <row r="23" customFormat="false" ht="15" hidden="false" customHeight="false" outlineLevel="0" collapsed="false">
      <c r="A23" s="88" t="s">
        <v>1977</v>
      </c>
      <c r="B23" s="88" t="s">
        <v>1923</v>
      </c>
      <c r="C23" s="89" t="s">
        <v>474</v>
      </c>
      <c r="D23" s="90" t="s">
        <v>91</v>
      </c>
      <c r="E23" s="89" t="s">
        <v>475</v>
      </c>
      <c r="F23" s="88" t="s">
        <v>1280</v>
      </c>
      <c r="G23" s="88" t="s">
        <v>4342</v>
      </c>
      <c r="H23" s="88" t="s">
        <v>1978</v>
      </c>
      <c r="I23" s="88" t="s">
        <v>76</v>
      </c>
      <c r="J23" s="98" t="n">
        <v>20.29</v>
      </c>
      <c r="K23" s="88" t="s">
        <v>939</v>
      </c>
      <c r="L23" s="98"/>
      <c r="M23" s="99"/>
      <c r="N23" s="90" t="s">
        <v>4180</v>
      </c>
      <c r="O23" s="100" t="s">
        <v>963</v>
      </c>
      <c r="P23" s="88"/>
      <c r="Q23" s="101" t="s">
        <v>889</v>
      </c>
      <c r="R23" s="102"/>
      <c r="S23" s="98" t="str">
        <f aca="false">IF(OR(R23="",J23=""),"",ROUND(J23*(1+R23/100),2))</f>
        <v/>
      </c>
      <c r="T23" s="103" t="n">
        <v>20</v>
      </c>
      <c r="U23" s="88" t="s">
        <v>93</v>
      </c>
      <c r="V23" s="104" t="s">
        <v>95</v>
      </c>
    </row>
    <row r="24" customFormat="false" ht="23.85" hidden="false" customHeight="false" outlineLevel="0" collapsed="false">
      <c r="A24" s="88" t="s">
        <v>1979</v>
      </c>
      <c r="B24" s="88" t="s">
        <v>1923</v>
      </c>
      <c r="C24" s="89" t="s">
        <v>476</v>
      </c>
      <c r="D24" s="90" t="s">
        <v>137</v>
      </c>
      <c r="E24" s="89" t="s">
        <v>477</v>
      </c>
      <c r="F24" s="88"/>
      <c r="G24" s="88"/>
      <c r="H24" s="88" t="s">
        <v>1980</v>
      </c>
      <c r="I24" s="88" t="s">
        <v>80</v>
      </c>
      <c r="J24" s="98" t="n">
        <v>1.56</v>
      </c>
      <c r="K24" s="88" t="s">
        <v>4179</v>
      </c>
      <c r="L24" s="98" t="n">
        <v>6.31</v>
      </c>
      <c r="M24" s="99" t="n">
        <v>75.3</v>
      </c>
      <c r="N24" s="90" t="s">
        <v>4180</v>
      </c>
      <c r="O24" s="100" t="s">
        <v>963</v>
      </c>
      <c r="P24" s="88"/>
      <c r="Q24" s="101" t="s">
        <v>889</v>
      </c>
      <c r="R24" s="102"/>
      <c r="S24" s="98" t="str">
        <f aca="false">IF(OR(R24="",J24=""),"",ROUND(J24*(1+R24/100),2))</f>
        <v/>
      </c>
      <c r="T24" s="103" t="n">
        <v>20</v>
      </c>
      <c r="U24" s="88" t="s">
        <v>303</v>
      </c>
      <c r="V24" s="104" t="s">
        <v>95</v>
      </c>
    </row>
    <row r="25" customFormat="false" ht="23.85" hidden="false" customHeight="false" outlineLevel="0" collapsed="false">
      <c r="A25" s="20" t="s">
        <v>1989</v>
      </c>
      <c r="B25" s="20" t="s">
        <v>1923</v>
      </c>
      <c r="C25" s="19" t="s">
        <v>478</v>
      </c>
      <c r="D25" s="22" t="s">
        <v>91</v>
      </c>
      <c r="E25" s="19" t="s">
        <v>479</v>
      </c>
      <c r="F25" s="20"/>
      <c r="G25" s="20"/>
      <c r="H25" s="20" t="s">
        <v>1990</v>
      </c>
      <c r="I25" s="74" t="s">
        <v>82</v>
      </c>
      <c r="J25" s="94" t="n">
        <v>24.4</v>
      </c>
      <c r="K25" s="74" t="s">
        <v>4285</v>
      </c>
      <c r="L25" s="95" t="n">
        <v>188.61</v>
      </c>
      <c r="M25" s="52" t="n">
        <v>87.1</v>
      </c>
      <c r="N25" s="22" t="s">
        <v>4180</v>
      </c>
      <c r="O25" s="96" t="s">
        <v>1380</v>
      </c>
      <c r="P25" s="20"/>
      <c r="Q25" s="19"/>
      <c r="R25" s="92"/>
      <c r="S25" s="95" t="str">
        <f aca="false">IF(OR(R25="",J25=""),"",ROUND(J25*(1+R25/100),2))</f>
        <v/>
      </c>
      <c r="T25" s="97" t="n">
        <v>20</v>
      </c>
      <c r="U25" s="20" t="s">
        <v>290</v>
      </c>
      <c r="V25" s="55" t="s">
        <v>95</v>
      </c>
    </row>
    <row r="26" customFormat="false" ht="22.35" hidden="false" customHeight="false" outlineLevel="0" collapsed="false">
      <c r="A26" s="85" t="s">
        <v>4343</v>
      </c>
      <c r="B26" s="85" t="s">
        <v>2000</v>
      </c>
      <c r="C26" s="86" t="s">
        <v>908</v>
      </c>
      <c r="D26" s="87" t="s">
        <v>137</v>
      </c>
      <c r="E26" s="86"/>
      <c r="F26" s="85"/>
      <c r="G26" s="85"/>
      <c r="H26" s="85"/>
      <c r="I26" s="85" t="s">
        <v>894</v>
      </c>
      <c r="J26" s="107"/>
      <c r="K26" s="85"/>
      <c r="L26" s="107"/>
      <c r="M26" s="108"/>
      <c r="N26" s="87"/>
      <c r="O26" s="109" t="s">
        <v>52</v>
      </c>
      <c r="P26" s="85"/>
      <c r="Q26" s="110" t="s">
        <v>895</v>
      </c>
      <c r="R26" s="111"/>
      <c r="S26" s="107" t="str">
        <f aca="false">IF(OR(R26="",J26=""),"",ROUND(J26*(1+R26/100),2))</f>
        <v/>
      </c>
      <c r="T26" s="112" t="n">
        <v>20</v>
      </c>
      <c r="U26" s="85"/>
      <c r="V26" s="85"/>
    </row>
    <row r="27" customFormat="false" ht="23.85" hidden="false" customHeight="false" outlineLevel="0" collapsed="false">
      <c r="A27" s="20" t="s">
        <v>1999</v>
      </c>
      <c r="B27" s="20" t="s">
        <v>2000</v>
      </c>
      <c r="C27" s="19" t="s">
        <v>480</v>
      </c>
      <c r="D27" s="22" t="s">
        <v>91</v>
      </c>
      <c r="E27" s="19" t="s">
        <v>481</v>
      </c>
      <c r="F27" s="20" t="s">
        <v>2001</v>
      </c>
      <c r="G27" s="20" t="s">
        <v>4344</v>
      </c>
      <c r="H27" s="20" t="s">
        <v>2002</v>
      </c>
      <c r="I27" s="20" t="s">
        <v>76</v>
      </c>
      <c r="J27" s="95" t="n">
        <v>36.33</v>
      </c>
      <c r="K27" s="20" t="s">
        <v>4179</v>
      </c>
      <c r="L27" s="95" t="n">
        <v>44.12</v>
      </c>
      <c r="M27" s="52" t="n">
        <v>17.7</v>
      </c>
      <c r="N27" s="22" t="s">
        <v>4180</v>
      </c>
      <c r="O27" s="22" t="s">
        <v>942</v>
      </c>
      <c r="P27" s="20"/>
      <c r="Q27" s="19"/>
      <c r="R27" s="92"/>
      <c r="S27" s="95" t="str">
        <f aca="false">IF(OR(R27="",J27=""),"",ROUND(J27*(1+R27/100),2))</f>
        <v/>
      </c>
      <c r="T27" s="97" t="n">
        <v>20</v>
      </c>
      <c r="U27" s="20" t="s">
        <v>93</v>
      </c>
      <c r="V27" s="55" t="s">
        <v>95</v>
      </c>
    </row>
    <row r="28" customFormat="false" ht="23.85" hidden="false" customHeight="false" outlineLevel="0" collapsed="false">
      <c r="A28" s="24" t="s">
        <v>2005</v>
      </c>
      <c r="B28" s="24" t="s">
        <v>2000</v>
      </c>
      <c r="C28" s="23" t="s">
        <v>482</v>
      </c>
      <c r="D28" s="26" t="s">
        <v>91</v>
      </c>
      <c r="E28" s="23" t="s">
        <v>483</v>
      </c>
      <c r="F28" s="24" t="s">
        <v>981</v>
      </c>
      <c r="G28" s="24"/>
      <c r="H28" s="24" t="s">
        <v>2006</v>
      </c>
      <c r="I28" s="74" t="s">
        <v>77</v>
      </c>
      <c r="J28" s="94" t="n">
        <v>28.67</v>
      </c>
      <c r="K28" s="74" t="s">
        <v>4191</v>
      </c>
      <c r="L28" s="91" t="n">
        <v>34.54</v>
      </c>
      <c r="M28" s="58" t="n">
        <v>17</v>
      </c>
      <c r="N28" s="26" t="s">
        <v>4180</v>
      </c>
      <c r="O28" s="96" t="s">
        <v>983</v>
      </c>
      <c r="P28" s="24"/>
      <c r="Q28" s="23"/>
      <c r="R28" s="92"/>
      <c r="S28" s="91" t="str">
        <f aca="false">IF(OR(R28="",J28=""),"",ROUND(J28*(1+R28/100),2))</f>
        <v/>
      </c>
      <c r="T28" s="93" t="n">
        <v>20</v>
      </c>
      <c r="U28" s="24" t="s">
        <v>114</v>
      </c>
      <c r="V28" s="24"/>
    </row>
    <row r="29" customFormat="false" ht="23.85" hidden="false" customHeight="false" outlineLevel="0" collapsed="false">
      <c r="A29" s="20" t="s">
        <v>2012</v>
      </c>
      <c r="B29" s="20" t="s">
        <v>2000</v>
      </c>
      <c r="C29" s="19" t="s">
        <v>484</v>
      </c>
      <c r="D29" s="22" t="s">
        <v>91</v>
      </c>
      <c r="E29" s="19" t="s">
        <v>485</v>
      </c>
      <c r="F29" s="20" t="s">
        <v>2013</v>
      </c>
      <c r="G29" s="20" t="s">
        <v>4345</v>
      </c>
      <c r="H29" s="20" t="s">
        <v>2014</v>
      </c>
      <c r="I29" s="20" t="s">
        <v>76</v>
      </c>
      <c r="J29" s="95" t="n">
        <v>21.64</v>
      </c>
      <c r="K29" s="20" t="s">
        <v>939</v>
      </c>
      <c r="L29" s="95"/>
      <c r="M29" s="52"/>
      <c r="N29" s="22" t="s">
        <v>4180</v>
      </c>
      <c r="O29" s="22" t="s">
        <v>942</v>
      </c>
      <c r="P29" s="20"/>
      <c r="Q29" s="19"/>
      <c r="R29" s="92"/>
      <c r="S29" s="95" t="str">
        <f aca="false">IF(OR(R29="",J29=""),"",ROUND(J29*(1+R29/100),2))</f>
        <v/>
      </c>
      <c r="T29" s="97" t="n">
        <v>20</v>
      </c>
      <c r="U29" s="20" t="s">
        <v>93</v>
      </c>
      <c r="V29" s="55" t="s">
        <v>95</v>
      </c>
    </row>
    <row r="30" customFormat="false" ht="23.85" hidden="false" customHeight="false" outlineLevel="0" collapsed="false">
      <c r="A30" s="24" t="s">
        <v>2015</v>
      </c>
      <c r="B30" s="24" t="s">
        <v>2000</v>
      </c>
      <c r="C30" s="23" t="s">
        <v>486</v>
      </c>
      <c r="D30" s="26" t="s">
        <v>91</v>
      </c>
      <c r="E30" s="23" t="s">
        <v>487</v>
      </c>
      <c r="F30" s="24"/>
      <c r="G30" s="24"/>
      <c r="H30" s="24" t="s">
        <v>2016</v>
      </c>
      <c r="I30" s="24" t="s">
        <v>80</v>
      </c>
      <c r="J30" s="91" t="n">
        <v>7.98</v>
      </c>
      <c r="K30" s="24" t="s">
        <v>4233</v>
      </c>
      <c r="L30" s="91" t="n">
        <v>35.43</v>
      </c>
      <c r="M30" s="58" t="n">
        <v>77.5</v>
      </c>
      <c r="N30" s="26" t="s">
        <v>4180</v>
      </c>
      <c r="O30" s="26" t="s">
        <v>942</v>
      </c>
      <c r="P30" s="24"/>
      <c r="Q30" s="23"/>
      <c r="R30" s="92"/>
      <c r="S30" s="91" t="str">
        <f aca="false">IF(OR(R30="",J30=""),"",ROUND(J30*(1+R30/100),2))</f>
        <v/>
      </c>
      <c r="T30" s="93" t="n">
        <v>20</v>
      </c>
      <c r="U30" s="24" t="s">
        <v>303</v>
      </c>
      <c r="V30" s="61" t="s">
        <v>95</v>
      </c>
    </row>
    <row r="31" customFormat="false" ht="15" hidden="false" customHeight="false" outlineLevel="0" collapsed="false">
      <c r="A31" s="88" t="s">
        <v>2023</v>
      </c>
      <c r="B31" s="88" t="s">
        <v>2000</v>
      </c>
      <c r="C31" s="89" t="s">
        <v>488</v>
      </c>
      <c r="D31" s="90" t="s">
        <v>91</v>
      </c>
      <c r="E31" s="89" t="s">
        <v>489</v>
      </c>
      <c r="F31" s="88" t="s">
        <v>1280</v>
      </c>
      <c r="G31" s="88" t="s">
        <v>4346</v>
      </c>
      <c r="H31" s="88" t="s">
        <v>2024</v>
      </c>
      <c r="I31" s="88" t="s">
        <v>76</v>
      </c>
      <c r="J31" s="98" t="n">
        <v>14.98</v>
      </c>
      <c r="K31" s="88" t="s">
        <v>4233</v>
      </c>
      <c r="L31" s="98" t="n">
        <v>130.59</v>
      </c>
      <c r="M31" s="99" t="n">
        <v>88.5</v>
      </c>
      <c r="N31" s="90" t="s">
        <v>4180</v>
      </c>
      <c r="O31" s="100" t="s">
        <v>963</v>
      </c>
      <c r="P31" s="88"/>
      <c r="Q31" s="101" t="s">
        <v>889</v>
      </c>
      <c r="R31" s="102"/>
      <c r="S31" s="98" t="str">
        <f aca="false">IF(OR(R31="",J31=""),"",ROUND(J31*(1+R31/100),2))</f>
        <v/>
      </c>
      <c r="T31" s="103" t="n">
        <v>20</v>
      </c>
      <c r="U31" s="88" t="s">
        <v>93</v>
      </c>
      <c r="V31" s="104" t="s">
        <v>95</v>
      </c>
    </row>
    <row r="32" customFormat="false" ht="22.35" hidden="false" customHeight="false" outlineLevel="0" collapsed="false">
      <c r="A32" s="85" t="s">
        <v>4347</v>
      </c>
      <c r="B32" s="85" t="s">
        <v>2032</v>
      </c>
      <c r="C32" s="86" t="s">
        <v>909</v>
      </c>
      <c r="D32" s="87" t="s">
        <v>137</v>
      </c>
      <c r="E32" s="86"/>
      <c r="F32" s="85"/>
      <c r="G32" s="85"/>
      <c r="H32" s="85"/>
      <c r="I32" s="85" t="s">
        <v>894</v>
      </c>
      <c r="J32" s="107"/>
      <c r="K32" s="85"/>
      <c r="L32" s="107"/>
      <c r="M32" s="108"/>
      <c r="N32" s="87"/>
      <c r="O32" s="109" t="s">
        <v>52</v>
      </c>
      <c r="P32" s="85"/>
      <c r="Q32" s="110" t="s">
        <v>895</v>
      </c>
      <c r="R32" s="111"/>
      <c r="S32" s="107" t="str">
        <f aca="false">IF(OR(R32="",J32=""),"",ROUND(J32*(1+R32/100),2))</f>
        <v/>
      </c>
      <c r="T32" s="112" t="n">
        <v>20</v>
      </c>
      <c r="U32" s="85"/>
      <c r="V32" s="85"/>
    </row>
    <row r="33" customFormat="false" ht="23.85" hidden="false" customHeight="false" outlineLevel="0" collapsed="false">
      <c r="A33" s="88" t="s">
        <v>2031</v>
      </c>
      <c r="B33" s="88" t="s">
        <v>2032</v>
      </c>
      <c r="C33" s="89" t="s">
        <v>490</v>
      </c>
      <c r="D33" s="90" t="s">
        <v>137</v>
      </c>
      <c r="E33" s="89" t="s">
        <v>491</v>
      </c>
      <c r="F33" s="88" t="s">
        <v>2036</v>
      </c>
      <c r="G33" s="88" t="s">
        <v>4348</v>
      </c>
      <c r="H33" s="88" t="s">
        <v>2037</v>
      </c>
      <c r="I33" s="88" t="s">
        <v>76</v>
      </c>
      <c r="J33" s="98" t="n">
        <v>79.4</v>
      </c>
      <c r="K33" s="88" t="s">
        <v>939</v>
      </c>
      <c r="L33" s="98"/>
      <c r="M33" s="99"/>
      <c r="N33" s="90" t="s">
        <v>4180</v>
      </c>
      <c r="O33" s="100" t="s">
        <v>1052</v>
      </c>
      <c r="P33" s="88"/>
      <c r="Q33" s="101" t="s">
        <v>889</v>
      </c>
      <c r="R33" s="102"/>
      <c r="S33" s="98" t="str">
        <f aca="false">IF(OR(R33="",J33=""),"",ROUND(J33*(1+R33/100),2))</f>
        <v/>
      </c>
      <c r="T33" s="103" t="n">
        <v>20</v>
      </c>
      <c r="U33" s="88" t="s">
        <v>93</v>
      </c>
      <c r="V33" s="104" t="s">
        <v>95</v>
      </c>
    </row>
    <row r="34" customFormat="false" ht="23.85" hidden="false" customHeight="false" outlineLevel="0" collapsed="false">
      <c r="A34" s="88" t="s">
        <v>2038</v>
      </c>
      <c r="B34" s="88" t="s">
        <v>2032</v>
      </c>
      <c r="C34" s="89" t="s">
        <v>492</v>
      </c>
      <c r="D34" s="90" t="s">
        <v>493</v>
      </c>
      <c r="E34" s="89" t="s">
        <v>494</v>
      </c>
      <c r="F34" s="88" t="s">
        <v>2039</v>
      </c>
      <c r="G34" s="88" t="s">
        <v>4349</v>
      </c>
      <c r="H34" s="88" t="s">
        <v>2040</v>
      </c>
      <c r="I34" s="88" t="s">
        <v>76</v>
      </c>
      <c r="J34" s="98" t="n">
        <v>8.64</v>
      </c>
      <c r="K34" s="88" t="s">
        <v>939</v>
      </c>
      <c r="L34" s="98"/>
      <c r="M34" s="99"/>
      <c r="N34" s="90" t="s">
        <v>4180</v>
      </c>
      <c r="O34" s="100" t="s">
        <v>963</v>
      </c>
      <c r="P34" s="88" t="s">
        <v>4350</v>
      </c>
      <c r="Q34" s="101" t="s">
        <v>889</v>
      </c>
      <c r="R34" s="102"/>
      <c r="S34" s="98" t="str">
        <f aca="false">IF(OR(R34="",J34=""),"",ROUND(J34*(1+R34/100),2))</f>
        <v/>
      </c>
      <c r="T34" s="103" t="n">
        <v>20</v>
      </c>
      <c r="U34" s="88" t="s">
        <v>93</v>
      </c>
      <c r="V34" s="104" t="s">
        <v>95</v>
      </c>
    </row>
    <row r="35" customFormat="false" ht="23.85" hidden="false" customHeight="false" outlineLevel="0" collapsed="false">
      <c r="A35" s="20" t="s">
        <v>2046</v>
      </c>
      <c r="B35" s="20" t="s">
        <v>2032</v>
      </c>
      <c r="C35" s="19" t="s">
        <v>495</v>
      </c>
      <c r="D35" s="22" t="s">
        <v>203</v>
      </c>
      <c r="E35" s="19" t="s">
        <v>496</v>
      </c>
      <c r="F35" s="20" t="s">
        <v>2047</v>
      </c>
      <c r="G35" s="20" t="s">
        <v>4351</v>
      </c>
      <c r="H35" s="20" t="s">
        <v>2048</v>
      </c>
      <c r="I35" s="20" t="s">
        <v>76</v>
      </c>
      <c r="J35" s="95" t="n">
        <v>24.74</v>
      </c>
      <c r="K35" s="20" t="s">
        <v>4179</v>
      </c>
      <c r="L35" s="95" t="n">
        <v>143.07</v>
      </c>
      <c r="M35" s="52" t="n">
        <v>82.7</v>
      </c>
      <c r="N35" s="22" t="s">
        <v>4180</v>
      </c>
      <c r="O35" s="22" t="s">
        <v>1085</v>
      </c>
      <c r="P35" s="20"/>
      <c r="Q35" s="19"/>
      <c r="R35" s="92"/>
      <c r="S35" s="95" t="str">
        <f aca="false">IF(OR(R35="",J35=""),"",ROUND(J35*(1+R35/100),2))</f>
        <v/>
      </c>
      <c r="T35" s="97" t="n">
        <v>20</v>
      </c>
      <c r="U35" s="20" t="s">
        <v>93</v>
      </c>
      <c r="V35" s="55" t="s">
        <v>95</v>
      </c>
    </row>
    <row r="36" customFormat="false" ht="23.85" hidden="false" customHeight="false" outlineLevel="0" collapsed="false">
      <c r="A36" s="24" t="s">
        <v>2052</v>
      </c>
      <c r="B36" s="24" t="s">
        <v>2032</v>
      </c>
      <c r="C36" s="23" t="s">
        <v>497</v>
      </c>
      <c r="D36" s="26" t="s">
        <v>91</v>
      </c>
      <c r="E36" s="23" t="s">
        <v>498</v>
      </c>
      <c r="F36" s="24" t="s">
        <v>1761</v>
      </c>
      <c r="G36" s="24" t="s">
        <v>4352</v>
      </c>
      <c r="H36" s="24" t="s">
        <v>2053</v>
      </c>
      <c r="I36" s="24" t="s">
        <v>76</v>
      </c>
      <c r="J36" s="91" t="n">
        <v>1.51</v>
      </c>
      <c r="K36" s="24" t="s">
        <v>4198</v>
      </c>
      <c r="L36" s="91" t="n">
        <v>2.18</v>
      </c>
      <c r="M36" s="58" t="n">
        <v>30.7</v>
      </c>
      <c r="N36" s="26" t="s">
        <v>4180</v>
      </c>
      <c r="O36" s="26" t="s">
        <v>942</v>
      </c>
      <c r="P36" s="24"/>
      <c r="Q36" s="23"/>
      <c r="R36" s="92"/>
      <c r="S36" s="91" t="str">
        <f aca="false">IF(OR(R36="",J36=""),"",ROUND(J36*(1+R36/100),2))</f>
        <v/>
      </c>
      <c r="T36" s="93" t="n">
        <v>20</v>
      </c>
      <c r="U36" s="24" t="s">
        <v>93</v>
      </c>
      <c r="V36" s="61" t="s">
        <v>95</v>
      </c>
    </row>
    <row r="37" customFormat="false" ht="15" hidden="false" customHeight="false" outlineLevel="0" collapsed="false">
      <c r="A37" s="88" t="s">
        <v>2059</v>
      </c>
      <c r="B37" s="88" t="s">
        <v>2032</v>
      </c>
      <c r="C37" s="89" t="s">
        <v>499</v>
      </c>
      <c r="D37" s="90" t="s">
        <v>500</v>
      </c>
      <c r="E37" s="89" t="s">
        <v>501</v>
      </c>
      <c r="F37" s="88" t="s">
        <v>2067</v>
      </c>
      <c r="G37" s="88" t="s">
        <v>4353</v>
      </c>
      <c r="H37" s="88" t="s">
        <v>2068</v>
      </c>
      <c r="I37" s="88" t="s">
        <v>76</v>
      </c>
      <c r="J37" s="98" t="n">
        <v>52.41</v>
      </c>
      <c r="K37" s="88" t="s">
        <v>939</v>
      </c>
      <c r="L37" s="98"/>
      <c r="M37" s="99"/>
      <c r="N37" s="90" t="s">
        <v>4180</v>
      </c>
      <c r="O37" s="100" t="s">
        <v>963</v>
      </c>
      <c r="P37" s="88"/>
      <c r="Q37" s="101" t="s">
        <v>889</v>
      </c>
      <c r="R37" s="102"/>
      <c r="S37" s="98" t="str">
        <f aca="false">IF(OR(R37="",J37=""),"",ROUND(J37*(1+R37/100),2))</f>
        <v/>
      </c>
      <c r="T37" s="103" t="n">
        <v>20</v>
      </c>
      <c r="U37" s="88" t="s">
        <v>93</v>
      </c>
      <c r="V37" s="104" t="s">
        <v>95</v>
      </c>
    </row>
  </sheetData>
  <autoFilter ref="A1:V37"/>
  <hyperlinks>
    <hyperlink ref="V2" r:id="rId1" display="Voir la fiche"/>
    <hyperlink ref="V3" r:id="rId2" display="Voir la fiche"/>
    <hyperlink ref="V4" r:id="rId3" display="Voir la fiche"/>
    <hyperlink ref="V5" r:id="rId4" display="Voir la fiche"/>
    <hyperlink ref="V6" r:id="rId5" display="Voir la fiche"/>
    <hyperlink ref="V7" r:id="rId6" display="Voir la fiche"/>
    <hyperlink ref="V9" r:id="rId7" display="Voir la fiche"/>
    <hyperlink ref="V10" r:id="rId8" display="Voir la fiche"/>
    <hyperlink ref="V11" r:id="rId9" display="Voir la fiche"/>
    <hyperlink ref="V12" r:id="rId10" display="Voir la fiche"/>
    <hyperlink ref="V13" r:id="rId11" display="Voir la fiche"/>
    <hyperlink ref="V14" r:id="rId12" display="Voir la fiche"/>
    <hyperlink ref="V15" r:id="rId13" display="Voir la fiche"/>
    <hyperlink ref="V16" r:id="rId14" display="Voir la fiche"/>
    <hyperlink ref="V17" r:id="rId15" display="Voir la fiche"/>
    <hyperlink ref="V18" r:id="rId16" display="Voir la fiche"/>
    <hyperlink ref="V19" r:id="rId17" display="Voir la fiche"/>
    <hyperlink ref="V20" r:id="rId18" display="Voir la fiche"/>
    <hyperlink ref="V21" r:id="rId19" display="Voir la fiche"/>
    <hyperlink ref="V22" r:id="rId20" display="Voir la fiche"/>
    <hyperlink ref="V23" r:id="rId21" display="Voir la fiche"/>
    <hyperlink ref="V24" r:id="rId22" display="Voir la fiche"/>
    <hyperlink ref="V25" r:id="rId23" display="Voir la fiche"/>
    <hyperlink ref="V27" r:id="rId24" display="Voir la fiche"/>
    <hyperlink ref="V29" r:id="rId25" display="Voir la fiche"/>
    <hyperlink ref="V30" r:id="rId26" display="Voir la fiche"/>
    <hyperlink ref="V31" r:id="rId27" display="Voir la fiche"/>
    <hyperlink ref="V33" r:id="rId28" display="Voir la fiche"/>
    <hyperlink ref="V34" r:id="rId29" display="Voir la fiche"/>
    <hyperlink ref="V35" r:id="rId30" display="Voir la fiche"/>
    <hyperlink ref="V36" r:id="rId31" display="Voir la fiche"/>
    <hyperlink ref="V37" r:id="rId32"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3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V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15" hidden="false" customHeight="false" outlineLevel="0" collapsed="false">
      <c r="A2" s="88" t="s">
        <v>2069</v>
      </c>
      <c r="B2" s="88" t="s">
        <v>2070</v>
      </c>
      <c r="C2" s="89" t="s">
        <v>502</v>
      </c>
      <c r="D2" s="90" t="s">
        <v>91</v>
      </c>
      <c r="E2" s="89" t="s">
        <v>503</v>
      </c>
      <c r="F2" s="88" t="s">
        <v>2071</v>
      </c>
      <c r="G2" s="88" t="s">
        <v>4354</v>
      </c>
      <c r="H2" s="88" t="s">
        <v>2072</v>
      </c>
      <c r="I2" s="88" t="s">
        <v>76</v>
      </c>
      <c r="J2" s="98" t="n">
        <v>4.7</v>
      </c>
      <c r="K2" s="88" t="s">
        <v>939</v>
      </c>
      <c r="L2" s="98"/>
      <c r="M2" s="99"/>
      <c r="N2" s="90" t="s">
        <v>4180</v>
      </c>
      <c r="O2" s="100" t="s">
        <v>963</v>
      </c>
      <c r="P2" s="88"/>
      <c r="Q2" s="101" t="s">
        <v>889</v>
      </c>
      <c r="R2" s="102"/>
      <c r="S2" s="98" t="str">
        <f aca="false">IF(OR(R2="",J2=""),"",ROUND(J2*(1+R2/100),2))</f>
        <v/>
      </c>
      <c r="T2" s="103" t="n">
        <v>20</v>
      </c>
      <c r="U2" s="88" t="s">
        <v>93</v>
      </c>
      <c r="V2" s="104" t="s">
        <v>95</v>
      </c>
    </row>
    <row r="3" customFormat="false" ht="22.35" hidden="false" customHeight="false" outlineLevel="0" collapsed="false">
      <c r="A3" s="85" t="s">
        <v>4355</v>
      </c>
      <c r="B3" s="85" t="s">
        <v>2070</v>
      </c>
      <c r="C3" s="86" t="s">
        <v>910</v>
      </c>
      <c r="D3" s="87" t="s">
        <v>91</v>
      </c>
      <c r="E3" s="86"/>
      <c r="F3" s="85"/>
      <c r="G3" s="85"/>
      <c r="H3" s="85"/>
      <c r="I3" s="85" t="s">
        <v>894</v>
      </c>
      <c r="J3" s="107"/>
      <c r="K3" s="85"/>
      <c r="L3" s="107"/>
      <c r="M3" s="108"/>
      <c r="N3" s="87"/>
      <c r="O3" s="109" t="s">
        <v>52</v>
      </c>
      <c r="P3" s="85"/>
      <c r="Q3" s="110" t="s">
        <v>895</v>
      </c>
      <c r="R3" s="111"/>
      <c r="S3" s="107" t="str">
        <f aca="false">IF(OR(R3="",J3=""),"",ROUND(J3*(1+R3/100),2))</f>
        <v/>
      </c>
      <c r="T3" s="112" t="n">
        <v>20</v>
      </c>
      <c r="U3" s="85"/>
      <c r="V3" s="85"/>
    </row>
    <row r="4" customFormat="false" ht="15" hidden="false" customHeight="false" outlineLevel="0" collapsed="false">
      <c r="A4" s="24" t="s">
        <v>2073</v>
      </c>
      <c r="B4" s="24" t="s">
        <v>2070</v>
      </c>
      <c r="C4" s="23" t="s">
        <v>504</v>
      </c>
      <c r="D4" s="26" t="s">
        <v>91</v>
      </c>
      <c r="E4" s="23" t="s">
        <v>505</v>
      </c>
      <c r="F4" s="24" t="s">
        <v>1293</v>
      </c>
      <c r="G4" s="24" t="s">
        <v>4356</v>
      </c>
      <c r="H4" s="24" t="s">
        <v>2074</v>
      </c>
      <c r="I4" s="24" t="s">
        <v>76</v>
      </c>
      <c r="J4" s="91" t="n">
        <v>100.43</v>
      </c>
      <c r="K4" s="24" t="s">
        <v>4179</v>
      </c>
      <c r="L4" s="91" t="n">
        <v>153.33</v>
      </c>
      <c r="M4" s="58" t="n">
        <v>34.5</v>
      </c>
      <c r="N4" s="26" t="s">
        <v>4180</v>
      </c>
      <c r="O4" s="26" t="s">
        <v>942</v>
      </c>
      <c r="P4" s="24"/>
      <c r="Q4" s="23"/>
      <c r="R4" s="92"/>
      <c r="S4" s="91" t="str">
        <f aca="false">IF(OR(R4="",J4=""),"",ROUND(J4*(1+R4/100),2))</f>
        <v/>
      </c>
      <c r="T4" s="93" t="n">
        <v>20</v>
      </c>
      <c r="U4" s="24" t="s">
        <v>93</v>
      </c>
      <c r="V4" s="61" t="s">
        <v>95</v>
      </c>
    </row>
    <row r="5" customFormat="false" ht="22.35" hidden="false" customHeight="false" outlineLevel="0" collapsed="false">
      <c r="A5" s="85" t="s">
        <v>4357</v>
      </c>
      <c r="B5" s="85" t="s">
        <v>2070</v>
      </c>
      <c r="C5" s="86" t="s">
        <v>911</v>
      </c>
      <c r="D5" s="87" t="s">
        <v>91</v>
      </c>
      <c r="E5" s="86"/>
      <c r="F5" s="85"/>
      <c r="G5" s="85"/>
      <c r="H5" s="85"/>
      <c r="I5" s="85" t="s">
        <v>894</v>
      </c>
      <c r="J5" s="107"/>
      <c r="K5" s="85"/>
      <c r="L5" s="107"/>
      <c r="M5" s="108"/>
      <c r="N5" s="87"/>
      <c r="O5" s="109" t="s">
        <v>52</v>
      </c>
      <c r="P5" s="85"/>
      <c r="Q5" s="110" t="s">
        <v>895</v>
      </c>
      <c r="R5" s="111"/>
      <c r="S5" s="107" t="str">
        <f aca="false">IF(OR(R5="",J5=""),"",ROUND(J5*(1+R5/100),2))</f>
        <v/>
      </c>
      <c r="T5" s="112" t="n">
        <v>20</v>
      </c>
      <c r="U5" s="85"/>
      <c r="V5" s="85"/>
    </row>
    <row r="6" customFormat="false" ht="15" hidden="false" customHeight="false" outlineLevel="0" collapsed="false">
      <c r="A6" s="88" t="s">
        <v>2077</v>
      </c>
      <c r="B6" s="88" t="s">
        <v>2070</v>
      </c>
      <c r="C6" s="89" t="s">
        <v>506</v>
      </c>
      <c r="D6" s="90" t="s">
        <v>91</v>
      </c>
      <c r="E6" s="89" t="s">
        <v>503</v>
      </c>
      <c r="F6" s="88" t="s">
        <v>2071</v>
      </c>
      <c r="G6" s="88" t="s">
        <v>4354</v>
      </c>
      <c r="H6" s="88" t="s">
        <v>2072</v>
      </c>
      <c r="I6" s="88" t="s">
        <v>76</v>
      </c>
      <c r="J6" s="98" t="n">
        <v>4.7</v>
      </c>
      <c r="K6" s="88" t="s">
        <v>4179</v>
      </c>
      <c r="L6" s="98" t="n">
        <v>24.83</v>
      </c>
      <c r="M6" s="99" t="n">
        <v>81.1</v>
      </c>
      <c r="N6" s="90" t="s">
        <v>4180</v>
      </c>
      <c r="O6" s="100" t="s">
        <v>963</v>
      </c>
      <c r="P6" s="88"/>
      <c r="Q6" s="101" t="s">
        <v>889</v>
      </c>
      <c r="R6" s="102"/>
      <c r="S6" s="98" t="str">
        <f aca="false">IF(OR(R6="",J6=""),"",ROUND(J6*(1+R6/100),2))</f>
        <v/>
      </c>
      <c r="T6" s="103" t="n">
        <v>20</v>
      </c>
      <c r="U6" s="88" t="s">
        <v>93</v>
      </c>
      <c r="V6" s="104" t="s">
        <v>95</v>
      </c>
    </row>
    <row r="7" customFormat="false" ht="23.85" hidden="false" customHeight="false" outlineLevel="0" collapsed="false">
      <c r="A7" s="20" t="s">
        <v>2080</v>
      </c>
      <c r="B7" s="20" t="s">
        <v>2081</v>
      </c>
      <c r="C7" s="19" t="s">
        <v>507</v>
      </c>
      <c r="D7" s="22" t="s">
        <v>91</v>
      </c>
      <c r="E7" s="19" t="s">
        <v>508</v>
      </c>
      <c r="F7" s="20" t="s">
        <v>1121</v>
      </c>
      <c r="G7" s="20"/>
      <c r="H7" s="20" t="s">
        <v>2082</v>
      </c>
      <c r="I7" s="74" t="s">
        <v>77</v>
      </c>
      <c r="J7" s="94" t="n">
        <v>54.97</v>
      </c>
      <c r="K7" s="74" t="s">
        <v>979</v>
      </c>
      <c r="L7" s="95" t="n">
        <v>78.53</v>
      </c>
      <c r="M7" s="52" t="n">
        <v>30</v>
      </c>
      <c r="N7" s="22" t="s">
        <v>4180</v>
      </c>
      <c r="O7" s="96" t="s">
        <v>983</v>
      </c>
      <c r="P7" s="20"/>
      <c r="Q7" s="19"/>
      <c r="R7" s="92"/>
      <c r="S7" s="95" t="str">
        <f aca="false">IF(OR(R7="",J7=""),"",ROUND(J7*(1+R7/100),2))</f>
        <v/>
      </c>
      <c r="T7" s="97" t="n">
        <v>20</v>
      </c>
      <c r="U7" s="20" t="s">
        <v>114</v>
      </c>
      <c r="V7" s="20"/>
    </row>
    <row r="8" customFormat="false" ht="15" hidden="false" customHeight="false" outlineLevel="0" collapsed="false">
      <c r="A8" s="24" t="s">
        <v>2083</v>
      </c>
      <c r="B8" s="24" t="s">
        <v>2081</v>
      </c>
      <c r="C8" s="23" t="s">
        <v>509</v>
      </c>
      <c r="D8" s="26" t="s">
        <v>91</v>
      </c>
      <c r="E8" s="23" t="s">
        <v>510</v>
      </c>
      <c r="F8" s="24"/>
      <c r="G8" s="24"/>
      <c r="H8" s="24" t="s">
        <v>2084</v>
      </c>
      <c r="I8" s="74" t="s">
        <v>82</v>
      </c>
      <c r="J8" s="94" t="n">
        <v>106.67</v>
      </c>
      <c r="K8" s="74" t="s">
        <v>4182</v>
      </c>
      <c r="L8" s="91" t="n">
        <v>288.79</v>
      </c>
      <c r="M8" s="58" t="n">
        <v>63.1</v>
      </c>
      <c r="N8" s="26" t="s">
        <v>4180</v>
      </c>
      <c r="O8" s="96" t="s">
        <v>1380</v>
      </c>
      <c r="P8" s="24"/>
      <c r="Q8" s="23"/>
      <c r="R8" s="92"/>
      <c r="S8" s="91" t="str">
        <f aca="false">IF(OR(R8="",J8=""),"",ROUND(J8*(1+R8/100),2))</f>
        <v/>
      </c>
      <c r="T8" s="93" t="n">
        <v>20</v>
      </c>
      <c r="U8" s="24" t="s">
        <v>290</v>
      </c>
      <c r="V8" s="61" t="s">
        <v>95</v>
      </c>
    </row>
    <row r="9" customFormat="false" ht="23.85" hidden="false" customHeight="false" outlineLevel="0" collapsed="false">
      <c r="A9" s="88" t="s">
        <v>2088</v>
      </c>
      <c r="B9" s="88" t="s">
        <v>2081</v>
      </c>
      <c r="C9" s="89" t="s">
        <v>511</v>
      </c>
      <c r="D9" s="90" t="s">
        <v>91</v>
      </c>
      <c r="E9" s="89" t="s">
        <v>512</v>
      </c>
      <c r="F9" s="88" t="s">
        <v>2089</v>
      </c>
      <c r="G9" s="88" t="s">
        <v>4358</v>
      </c>
      <c r="H9" s="88" t="s">
        <v>2090</v>
      </c>
      <c r="I9" s="88" t="s">
        <v>76</v>
      </c>
      <c r="J9" s="98" t="n">
        <v>3.93</v>
      </c>
      <c r="K9" s="88" t="s">
        <v>4198</v>
      </c>
      <c r="L9" s="98" t="n">
        <v>71.86</v>
      </c>
      <c r="M9" s="99" t="n">
        <v>94.5</v>
      </c>
      <c r="N9" s="90" t="s">
        <v>4180</v>
      </c>
      <c r="O9" s="100" t="s">
        <v>963</v>
      </c>
      <c r="P9" s="88"/>
      <c r="Q9" s="101" t="s">
        <v>889</v>
      </c>
      <c r="R9" s="102"/>
      <c r="S9" s="98" t="str">
        <f aca="false">IF(OR(R9="",J9=""),"",ROUND(J9*(1+R9/100),2))</f>
        <v/>
      </c>
      <c r="T9" s="103" t="n">
        <v>20</v>
      </c>
      <c r="U9" s="88" t="s">
        <v>93</v>
      </c>
      <c r="V9" s="104" t="s">
        <v>95</v>
      </c>
    </row>
    <row r="10" customFormat="false" ht="15" hidden="false" customHeight="false" outlineLevel="0" collapsed="false">
      <c r="A10" s="88" t="s">
        <v>2095</v>
      </c>
      <c r="B10" s="88" t="s">
        <v>2081</v>
      </c>
      <c r="C10" s="89" t="s">
        <v>513</v>
      </c>
      <c r="D10" s="90" t="s">
        <v>91</v>
      </c>
      <c r="E10" s="89" t="s">
        <v>236</v>
      </c>
      <c r="F10" s="88" t="s">
        <v>1280</v>
      </c>
      <c r="G10" s="88" t="s">
        <v>4250</v>
      </c>
      <c r="H10" s="88" t="s">
        <v>1281</v>
      </c>
      <c r="I10" s="88" t="s">
        <v>76</v>
      </c>
      <c r="J10" s="98" t="n">
        <v>472.58</v>
      </c>
      <c r="K10" s="88" t="s">
        <v>939</v>
      </c>
      <c r="L10" s="98"/>
      <c r="M10" s="99"/>
      <c r="N10" s="90" t="s">
        <v>4180</v>
      </c>
      <c r="O10" s="100" t="s">
        <v>963</v>
      </c>
      <c r="P10" s="88"/>
      <c r="Q10" s="101" t="s">
        <v>889</v>
      </c>
      <c r="R10" s="102"/>
      <c r="S10" s="98" t="str">
        <f aca="false">IF(OR(R10="",J10=""),"",ROUND(J10*(1+R10/100),2))</f>
        <v/>
      </c>
      <c r="T10" s="103" t="n">
        <v>20</v>
      </c>
      <c r="U10" s="88" t="s">
        <v>93</v>
      </c>
      <c r="V10" s="104" t="s">
        <v>95</v>
      </c>
    </row>
    <row r="11" customFormat="false" ht="23.85" hidden="false" customHeight="false" outlineLevel="0" collapsed="false">
      <c r="A11" s="20" t="s">
        <v>2096</v>
      </c>
      <c r="B11" s="20" t="s">
        <v>2081</v>
      </c>
      <c r="C11" s="19" t="s">
        <v>514</v>
      </c>
      <c r="D11" s="22" t="s">
        <v>91</v>
      </c>
      <c r="E11" s="19" t="s">
        <v>515</v>
      </c>
      <c r="F11" s="20" t="s">
        <v>981</v>
      </c>
      <c r="G11" s="20"/>
      <c r="H11" s="20" t="s">
        <v>2097</v>
      </c>
      <c r="I11" s="74" t="s">
        <v>77</v>
      </c>
      <c r="J11" s="94" t="n">
        <v>931.57</v>
      </c>
      <c r="K11" s="74" t="s">
        <v>979</v>
      </c>
      <c r="L11" s="95" t="n">
        <v>1046.71</v>
      </c>
      <c r="M11" s="52" t="n">
        <v>11</v>
      </c>
      <c r="N11" s="22" t="s">
        <v>4180</v>
      </c>
      <c r="O11" s="96" t="s">
        <v>983</v>
      </c>
      <c r="P11" s="20"/>
      <c r="Q11" s="19"/>
      <c r="R11" s="92"/>
      <c r="S11" s="95" t="str">
        <f aca="false">IF(OR(R11="",J11=""),"",ROUND(J11*(1+R11/100),2))</f>
        <v/>
      </c>
      <c r="T11" s="97" t="n">
        <v>20</v>
      </c>
      <c r="U11" s="20" t="s">
        <v>114</v>
      </c>
      <c r="V11" s="20"/>
    </row>
    <row r="12" customFormat="false" ht="23.85" hidden="false" customHeight="false" outlineLevel="0" collapsed="false">
      <c r="A12" s="24" t="s">
        <v>2098</v>
      </c>
      <c r="B12" s="24" t="s">
        <v>2099</v>
      </c>
      <c r="C12" s="23" t="s">
        <v>516</v>
      </c>
      <c r="D12" s="26" t="s">
        <v>91</v>
      </c>
      <c r="E12" s="23" t="s">
        <v>517</v>
      </c>
      <c r="F12" s="24" t="s">
        <v>2100</v>
      </c>
      <c r="G12" s="24"/>
      <c r="H12" s="24" t="s">
        <v>2101</v>
      </c>
      <c r="I12" s="74" t="s">
        <v>82</v>
      </c>
      <c r="J12" s="94" t="n">
        <v>104.44</v>
      </c>
      <c r="K12" s="74" t="s">
        <v>943</v>
      </c>
      <c r="L12" s="91"/>
      <c r="M12" s="58"/>
      <c r="N12" s="26" t="s">
        <v>4180</v>
      </c>
      <c r="O12" s="96" t="s">
        <v>1016</v>
      </c>
      <c r="P12" s="24"/>
      <c r="Q12" s="105" t="s">
        <v>889</v>
      </c>
      <c r="R12" s="92"/>
      <c r="S12" s="91" t="str">
        <f aca="false">IF(OR(R12="",J12=""),"",ROUND(J12*(1+R12/100),2))</f>
        <v/>
      </c>
      <c r="T12" s="93" t="n">
        <v>20</v>
      </c>
      <c r="U12" s="24" t="s">
        <v>290</v>
      </c>
      <c r="V12" s="61" t="s">
        <v>95</v>
      </c>
    </row>
    <row r="13" customFormat="false" ht="22.35" hidden="false" customHeight="false" outlineLevel="0" collapsed="false">
      <c r="A13" s="85" t="s">
        <v>4359</v>
      </c>
      <c r="B13" s="85" t="s">
        <v>2099</v>
      </c>
      <c r="C13" s="86" t="s">
        <v>912</v>
      </c>
      <c r="D13" s="87" t="s">
        <v>91</v>
      </c>
      <c r="E13" s="86"/>
      <c r="F13" s="85"/>
      <c r="G13" s="85"/>
      <c r="H13" s="85"/>
      <c r="I13" s="85" t="s">
        <v>894</v>
      </c>
      <c r="J13" s="107"/>
      <c r="K13" s="85"/>
      <c r="L13" s="107"/>
      <c r="M13" s="108"/>
      <c r="N13" s="87"/>
      <c r="O13" s="109" t="s">
        <v>52</v>
      </c>
      <c r="P13" s="85"/>
      <c r="Q13" s="110" t="s">
        <v>895</v>
      </c>
      <c r="R13" s="111"/>
      <c r="S13" s="107" t="str">
        <f aca="false">IF(OR(R13="",J13=""),"",ROUND(J13*(1+R13/100),2))</f>
        <v/>
      </c>
      <c r="T13" s="112" t="n">
        <v>20</v>
      </c>
      <c r="U13" s="85"/>
      <c r="V13" s="85"/>
    </row>
    <row r="14" customFormat="false" ht="23.85" hidden="false" customHeight="false" outlineLevel="0" collapsed="false">
      <c r="A14" s="24" t="s">
        <v>2102</v>
      </c>
      <c r="B14" s="24" t="s">
        <v>2103</v>
      </c>
      <c r="C14" s="23" t="s">
        <v>518</v>
      </c>
      <c r="D14" s="26" t="s">
        <v>519</v>
      </c>
      <c r="E14" s="23" t="s">
        <v>520</v>
      </c>
      <c r="F14" s="24" t="s">
        <v>2107</v>
      </c>
      <c r="G14" s="24" t="s">
        <v>4360</v>
      </c>
      <c r="H14" s="24" t="s">
        <v>2108</v>
      </c>
      <c r="I14" s="24" t="s">
        <v>76</v>
      </c>
      <c r="J14" s="91" t="n">
        <v>36.23</v>
      </c>
      <c r="K14" s="24" t="s">
        <v>939</v>
      </c>
      <c r="L14" s="91"/>
      <c r="M14" s="58"/>
      <c r="N14" s="26" t="s">
        <v>4180</v>
      </c>
      <c r="O14" s="26" t="s">
        <v>1085</v>
      </c>
      <c r="P14" s="24"/>
      <c r="Q14" s="23"/>
      <c r="R14" s="92"/>
      <c r="S14" s="91" t="str">
        <f aca="false">IF(OR(R14="",J14=""),"",ROUND(J14*(1+R14/100),2))</f>
        <v/>
      </c>
      <c r="T14" s="93" t="n">
        <v>20</v>
      </c>
      <c r="U14" s="24" t="s">
        <v>93</v>
      </c>
      <c r="V14" s="61" t="s">
        <v>95</v>
      </c>
    </row>
    <row r="15" customFormat="false" ht="23.85" hidden="false" customHeight="false" outlineLevel="0" collapsed="false">
      <c r="A15" s="20" t="s">
        <v>2116</v>
      </c>
      <c r="B15" s="20" t="s">
        <v>2103</v>
      </c>
      <c r="C15" s="19" t="s">
        <v>521</v>
      </c>
      <c r="D15" s="22" t="s">
        <v>519</v>
      </c>
      <c r="E15" s="19" t="s">
        <v>522</v>
      </c>
      <c r="F15" s="20" t="s">
        <v>2105</v>
      </c>
      <c r="G15" s="20" t="s">
        <v>4361</v>
      </c>
      <c r="H15" s="20" t="s">
        <v>2123</v>
      </c>
      <c r="I15" s="74" t="s">
        <v>81</v>
      </c>
      <c r="J15" s="94" t="n">
        <v>21.84</v>
      </c>
      <c r="K15" s="74" t="s">
        <v>979</v>
      </c>
      <c r="L15" s="95" t="n">
        <v>22.94</v>
      </c>
      <c r="M15" s="52" t="n">
        <v>4.8</v>
      </c>
      <c r="N15" s="22" t="s">
        <v>4180</v>
      </c>
      <c r="O15" s="96" t="s">
        <v>1007</v>
      </c>
      <c r="P15" s="20" t="s">
        <v>2124</v>
      </c>
      <c r="Q15" s="19"/>
      <c r="R15" s="92"/>
      <c r="S15" s="95" t="str">
        <f aca="false">IF(OR(R15="",J15=""),"",ROUND(J15*(1+R15/100),2))</f>
        <v/>
      </c>
      <c r="T15" s="97" t="n">
        <v>20</v>
      </c>
      <c r="U15" s="20" t="s">
        <v>169</v>
      </c>
      <c r="V15" s="55" t="s">
        <v>95</v>
      </c>
    </row>
    <row r="16" customFormat="false" ht="15" hidden="false" customHeight="false" outlineLevel="0" collapsed="false">
      <c r="A16" s="24" t="s">
        <v>2127</v>
      </c>
      <c r="B16" s="24" t="s">
        <v>2103</v>
      </c>
      <c r="C16" s="23" t="s">
        <v>523</v>
      </c>
      <c r="D16" s="26" t="s">
        <v>91</v>
      </c>
      <c r="E16" s="23" t="s">
        <v>524</v>
      </c>
      <c r="F16" s="24"/>
      <c r="G16" s="24" t="s">
        <v>4362</v>
      </c>
      <c r="H16" s="24" t="s">
        <v>2128</v>
      </c>
      <c r="I16" s="74" t="s">
        <v>78</v>
      </c>
      <c r="J16" s="94" t="n">
        <v>64.36</v>
      </c>
      <c r="K16" s="74" t="s">
        <v>4182</v>
      </c>
      <c r="L16" s="91" t="n">
        <v>488.17</v>
      </c>
      <c r="M16" s="58" t="n">
        <v>86.8</v>
      </c>
      <c r="N16" s="26" t="s">
        <v>4180</v>
      </c>
      <c r="O16" s="96" t="s">
        <v>946</v>
      </c>
      <c r="P16" s="24" t="s">
        <v>949</v>
      </c>
      <c r="Q16" s="23"/>
      <c r="R16" s="92"/>
      <c r="S16" s="91" t="str">
        <f aca="false">IF(OR(R16="",J16=""),"",ROUND(J16*(1+R16/100),2))</f>
        <v/>
      </c>
      <c r="T16" s="93" t="n">
        <v>20</v>
      </c>
      <c r="U16" s="24" t="s">
        <v>93</v>
      </c>
      <c r="V16" s="61" t="s">
        <v>95</v>
      </c>
    </row>
    <row r="17" customFormat="false" ht="22.35" hidden="false" customHeight="false" outlineLevel="0" collapsed="false">
      <c r="A17" s="85" t="s">
        <v>4363</v>
      </c>
      <c r="B17" s="85" t="s">
        <v>4364</v>
      </c>
      <c r="C17" s="86" t="s">
        <v>913</v>
      </c>
      <c r="D17" s="87" t="s">
        <v>91</v>
      </c>
      <c r="E17" s="86"/>
      <c r="F17" s="85"/>
      <c r="G17" s="85"/>
      <c r="H17" s="85"/>
      <c r="I17" s="85" t="s">
        <v>894</v>
      </c>
      <c r="J17" s="107"/>
      <c r="K17" s="85"/>
      <c r="L17" s="107"/>
      <c r="M17" s="108"/>
      <c r="N17" s="87"/>
      <c r="O17" s="109" t="s">
        <v>52</v>
      </c>
      <c r="P17" s="85"/>
      <c r="Q17" s="110" t="s">
        <v>895</v>
      </c>
      <c r="R17" s="111"/>
      <c r="S17" s="107" t="str">
        <f aca="false">IF(OR(R17="",J17=""),"",ROUND(J17*(1+R17/100),2))</f>
        <v/>
      </c>
      <c r="T17" s="112" t="n">
        <v>20</v>
      </c>
      <c r="U17" s="85"/>
      <c r="V17" s="85"/>
    </row>
    <row r="18" customFormat="false" ht="22.35" hidden="false" customHeight="false" outlineLevel="0" collapsed="false">
      <c r="A18" s="85" t="s">
        <v>4365</v>
      </c>
      <c r="B18" s="85" t="s">
        <v>4364</v>
      </c>
      <c r="C18" s="86" t="s">
        <v>914</v>
      </c>
      <c r="D18" s="87" t="s">
        <v>137</v>
      </c>
      <c r="E18" s="86"/>
      <c r="F18" s="85"/>
      <c r="G18" s="85"/>
      <c r="H18" s="85"/>
      <c r="I18" s="85" t="s">
        <v>894</v>
      </c>
      <c r="J18" s="107"/>
      <c r="K18" s="85"/>
      <c r="L18" s="107"/>
      <c r="M18" s="108"/>
      <c r="N18" s="87"/>
      <c r="O18" s="109" t="s">
        <v>52</v>
      </c>
      <c r="P18" s="85"/>
      <c r="Q18" s="110" t="s">
        <v>895</v>
      </c>
      <c r="R18" s="111"/>
      <c r="S18" s="107" t="str">
        <f aca="false">IF(OR(R18="",J18=""),"",ROUND(J18*(1+R18/100),2))</f>
        <v/>
      </c>
      <c r="T18" s="112" t="n">
        <v>20</v>
      </c>
      <c r="U18" s="85"/>
      <c r="V18" s="85"/>
    </row>
  </sheetData>
  <autoFilter ref="A1:V18"/>
  <hyperlinks>
    <hyperlink ref="V2" r:id="rId1" display="Voir la fiche"/>
    <hyperlink ref="V4" r:id="rId2" display="Voir la fiche"/>
    <hyperlink ref="V6" r:id="rId3" display="Voir la fiche"/>
    <hyperlink ref="V8" r:id="rId4" display="Voir la fiche"/>
    <hyperlink ref="V9" r:id="rId5" display="Voir la fiche"/>
    <hyperlink ref="V10" r:id="rId6" display="Voir la fiche"/>
    <hyperlink ref="V12" r:id="rId7" display="Voir la fiche"/>
    <hyperlink ref="V14" r:id="rId8" display="Voir la fiche"/>
    <hyperlink ref="V15" r:id="rId9" display="Voir la fiche"/>
    <hyperlink ref="V16" r:id="rId10"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V2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23.85" hidden="false" customHeight="false" outlineLevel="0" collapsed="false">
      <c r="A2" s="24" t="s">
        <v>2132</v>
      </c>
      <c r="B2" s="24" t="s">
        <v>2133</v>
      </c>
      <c r="C2" s="23" t="s">
        <v>525</v>
      </c>
      <c r="D2" s="26" t="s">
        <v>91</v>
      </c>
      <c r="E2" s="23" t="s">
        <v>526</v>
      </c>
      <c r="F2" s="24"/>
      <c r="G2" s="24"/>
      <c r="H2" s="24" t="s">
        <v>2134</v>
      </c>
      <c r="I2" s="74" t="s">
        <v>79</v>
      </c>
      <c r="J2" s="94" t="n">
        <v>10.36</v>
      </c>
      <c r="K2" s="74" t="s">
        <v>4182</v>
      </c>
      <c r="L2" s="91" t="n">
        <v>13.53</v>
      </c>
      <c r="M2" s="58" t="n">
        <v>23.4</v>
      </c>
      <c r="N2" s="26" t="s">
        <v>4180</v>
      </c>
      <c r="O2" s="96" t="s">
        <v>1387</v>
      </c>
      <c r="P2" s="24" t="s">
        <v>2135</v>
      </c>
      <c r="Q2" s="23"/>
      <c r="R2" s="92"/>
      <c r="S2" s="91" t="str">
        <f aca="false">IF(OR(R2="",J2=""),"",ROUND(J2*(1+R2/100),2))</f>
        <v/>
      </c>
      <c r="T2" s="93" t="n">
        <v>20</v>
      </c>
      <c r="U2" s="24" t="s">
        <v>313</v>
      </c>
      <c r="V2" s="24"/>
    </row>
    <row r="3" customFormat="false" ht="15" hidden="false" customHeight="false" outlineLevel="0" collapsed="false">
      <c r="A3" s="20" t="s">
        <v>2139</v>
      </c>
      <c r="B3" s="20" t="s">
        <v>2133</v>
      </c>
      <c r="C3" s="19" t="s">
        <v>527</v>
      </c>
      <c r="D3" s="22" t="s">
        <v>91</v>
      </c>
      <c r="E3" s="19" t="s">
        <v>528</v>
      </c>
      <c r="F3" s="20" t="s">
        <v>2140</v>
      </c>
      <c r="G3" s="20" t="s">
        <v>4366</v>
      </c>
      <c r="H3" s="20" t="s">
        <v>2141</v>
      </c>
      <c r="I3" s="74" t="s">
        <v>81</v>
      </c>
      <c r="J3" s="94" t="n">
        <v>18.94</v>
      </c>
      <c r="K3" s="74" t="s">
        <v>4191</v>
      </c>
      <c r="L3" s="95" t="n">
        <v>20.54</v>
      </c>
      <c r="M3" s="52" t="n">
        <v>7.8</v>
      </c>
      <c r="N3" s="22" t="s">
        <v>4180</v>
      </c>
      <c r="O3" s="96" t="s">
        <v>1007</v>
      </c>
      <c r="P3" s="20" t="s">
        <v>2142</v>
      </c>
      <c r="Q3" s="19"/>
      <c r="R3" s="92"/>
      <c r="S3" s="95" t="str">
        <f aca="false">IF(OR(R3="",J3=""),"",ROUND(J3*(1+R3/100),2))</f>
        <v/>
      </c>
      <c r="T3" s="97" t="n">
        <v>20</v>
      </c>
      <c r="U3" s="20" t="s">
        <v>169</v>
      </c>
      <c r="V3" s="55" t="s">
        <v>95</v>
      </c>
    </row>
    <row r="4" customFormat="false" ht="15" hidden="false" customHeight="false" outlineLevel="0" collapsed="false">
      <c r="A4" s="24" t="s">
        <v>2148</v>
      </c>
      <c r="B4" s="24" t="s">
        <v>2133</v>
      </c>
      <c r="C4" s="23" t="s">
        <v>529</v>
      </c>
      <c r="D4" s="26" t="s">
        <v>91</v>
      </c>
      <c r="E4" s="23" t="s">
        <v>530</v>
      </c>
      <c r="F4" s="24" t="s">
        <v>2149</v>
      </c>
      <c r="G4" s="24" t="s">
        <v>4367</v>
      </c>
      <c r="H4" s="24" t="s">
        <v>2150</v>
      </c>
      <c r="I4" s="74" t="s">
        <v>81</v>
      </c>
      <c r="J4" s="94" t="n">
        <v>32.08</v>
      </c>
      <c r="K4" s="74" t="s">
        <v>4241</v>
      </c>
      <c r="L4" s="91" t="n">
        <v>31.54</v>
      </c>
      <c r="M4" s="58"/>
      <c r="N4" s="26" t="s">
        <v>4180</v>
      </c>
      <c r="O4" s="96" t="s">
        <v>1007</v>
      </c>
      <c r="P4" s="24" t="s">
        <v>2151</v>
      </c>
      <c r="Q4" s="23"/>
      <c r="R4" s="92"/>
      <c r="S4" s="91" t="str">
        <f aca="false">IF(OR(R4="",J4=""),"",ROUND(J4*(1+R4/100),2))</f>
        <v/>
      </c>
      <c r="T4" s="93" t="n">
        <v>20</v>
      </c>
      <c r="U4" s="24" t="s">
        <v>169</v>
      </c>
      <c r="V4" s="61" t="s">
        <v>95</v>
      </c>
    </row>
    <row r="5" customFormat="false" ht="23.85" hidden="false" customHeight="false" outlineLevel="0" collapsed="false">
      <c r="A5" s="20" t="s">
        <v>2154</v>
      </c>
      <c r="B5" s="20" t="s">
        <v>2133</v>
      </c>
      <c r="C5" s="19" t="s">
        <v>531</v>
      </c>
      <c r="D5" s="22" t="s">
        <v>91</v>
      </c>
      <c r="E5" s="19" t="s">
        <v>532</v>
      </c>
      <c r="F5" s="20"/>
      <c r="G5" s="20"/>
      <c r="H5" s="20" t="s">
        <v>2155</v>
      </c>
      <c r="I5" s="74" t="s">
        <v>79</v>
      </c>
      <c r="J5" s="94" t="n">
        <v>22.59</v>
      </c>
      <c r="K5" s="74" t="s">
        <v>4189</v>
      </c>
      <c r="L5" s="95" t="n">
        <v>39.51</v>
      </c>
      <c r="M5" s="52" t="n">
        <v>42.8</v>
      </c>
      <c r="N5" s="22" t="s">
        <v>4180</v>
      </c>
      <c r="O5" s="96" t="s">
        <v>1387</v>
      </c>
      <c r="P5" s="20" t="s">
        <v>2138</v>
      </c>
      <c r="Q5" s="19"/>
      <c r="R5" s="92"/>
      <c r="S5" s="95" t="str">
        <f aca="false">IF(OR(R5="",J5=""),"",ROUND(J5*(1+R5/100),2))</f>
        <v/>
      </c>
      <c r="T5" s="97" t="n">
        <v>20</v>
      </c>
      <c r="U5" s="20" t="s">
        <v>313</v>
      </c>
      <c r="V5" s="55" t="s">
        <v>95</v>
      </c>
    </row>
    <row r="6" customFormat="false" ht="15" hidden="false" customHeight="false" outlineLevel="0" collapsed="false">
      <c r="A6" s="24" t="s">
        <v>2160</v>
      </c>
      <c r="B6" s="24" t="s">
        <v>2161</v>
      </c>
      <c r="C6" s="23" t="s">
        <v>533</v>
      </c>
      <c r="D6" s="26" t="s">
        <v>91</v>
      </c>
      <c r="E6" s="23" t="s">
        <v>535</v>
      </c>
      <c r="F6" s="24"/>
      <c r="G6" s="24"/>
      <c r="H6" s="24" t="s">
        <v>2162</v>
      </c>
      <c r="I6" s="74" t="s">
        <v>83</v>
      </c>
      <c r="J6" s="94" t="n">
        <v>2.64</v>
      </c>
      <c r="K6" s="74" t="s">
        <v>4368</v>
      </c>
      <c r="L6" s="91" t="n">
        <v>194.96</v>
      </c>
      <c r="M6" s="58" t="n">
        <v>98.6</v>
      </c>
      <c r="N6" s="26" t="s">
        <v>4180</v>
      </c>
      <c r="O6" s="96" t="s">
        <v>2164</v>
      </c>
      <c r="P6" s="24" t="s">
        <v>2163</v>
      </c>
      <c r="Q6" s="23"/>
      <c r="R6" s="92"/>
      <c r="S6" s="91" t="str">
        <f aca="false">IF(OR(R6="",J6=""),"",ROUND(J6*(1+R6/100),2))</f>
        <v/>
      </c>
      <c r="T6" s="93" t="n">
        <v>20</v>
      </c>
      <c r="U6" s="24" t="s">
        <v>534</v>
      </c>
      <c r="V6" s="61" t="s">
        <v>95</v>
      </c>
    </row>
    <row r="7" customFormat="false" ht="23.85" hidden="false" customHeight="false" outlineLevel="0" collapsed="false">
      <c r="A7" s="20" t="s">
        <v>2175</v>
      </c>
      <c r="B7" s="20" t="s">
        <v>2161</v>
      </c>
      <c r="C7" s="19" t="s">
        <v>536</v>
      </c>
      <c r="D7" s="22" t="s">
        <v>91</v>
      </c>
      <c r="E7" s="19" t="s">
        <v>537</v>
      </c>
      <c r="F7" s="20" t="s">
        <v>2140</v>
      </c>
      <c r="G7" s="20" t="s">
        <v>4369</v>
      </c>
      <c r="H7" s="20" t="s">
        <v>2176</v>
      </c>
      <c r="I7" s="74" t="s">
        <v>81</v>
      </c>
      <c r="J7" s="94" t="n">
        <v>2.68</v>
      </c>
      <c r="K7" s="74" t="s">
        <v>4191</v>
      </c>
      <c r="L7" s="95" t="n">
        <v>2.96</v>
      </c>
      <c r="M7" s="52" t="n">
        <v>9.5</v>
      </c>
      <c r="N7" s="22" t="s">
        <v>4180</v>
      </c>
      <c r="O7" s="96" t="s">
        <v>1016</v>
      </c>
      <c r="P7" s="20" t="s">
        <v>2177</v>
      </c>
      <c r="Q7" s="106" t="s">
        <v>889</v>
      </c>
      <c r="R7" s="92"/>
      <c r="S7" s="95" t="str">
        <f aca="false">IF(OR(R7="",J7=""),"",ROUND(J7*(1+R7/100),2))</f>
        <v/>
      </c>
      <c r="T7" s="97" t="n">
        <v>20</v>
      </c>
      <c r="U7" s="20" t="s">
        <v>169</v>
      </c>
      <c r="V7" s="55" t="s">
        <v>95</v>
      </c>
    </row>
    <row r="8" customFormat="false" ht="23.85" hidden="false" customHeight="false" outlineLevel="0" collapsed="false">
      <c r="A8" s="24" t="s">
        <v>2183</v>
      </c>
      <c r="B8" s="24" t="s">
        <v>2161</v>
      </c>
      <c r="C8" s="23" t="s">
        <v>538</v>
      </c>
      <c r="D8" s="26" t="s">
        <v>91</v>
      </c>
      <c r="E8" s="23" t="s">
        <v>539</v>
      </c>
      <c r="F8" s="24"/>
      <c r="G8" s="24"/>
      <c r="H8" s="24" t="s">
        <v>2184</v>
      </c>
      <c r="I8" s="24" t="s">
        <v>80</v>
      </c>
      <c r="J8" s="91" t="n">
        <v>7.38</v>
      </c>
      <c r="K8" s="24" t="s">
        <v>4179</v>
      </c>
      <c r="L8" s="91" t="n">
        <v>33.48</v>
      </c>
      <c r="M8" s="58" t="n">
        <v>78</v>
      </c>
      <c r="N8" s="26" t="s">
        <v>4180</v>
      </c>
      <c r="O8" s="26" t="s">
        <v>942</v>
      </c>
      <c r="P8" s="24" t="s">
        <v>2163</v>
      </c>
      <c r="Q8" s="23"/>
      <c r="R8" s="92"/>
      <c r="S8" s="91" t="str">
        <f aca="false">IF(OR(R8="",J8=""),"",ROUND(J8*(1+R8/100),2))</f>
        <v/>
      </c>
      <c r="T8" s="93" t="n">
        <v>20</v>
      </c>
      <c r="U8" s="24" t="s">
        <v>303</v>
      </c>
      <c r="V8" s="61" t="s">
        <v>95</v>
      </c>
    </row>
    <row r="9" customFormat="false" ht="23.85" hidden="false" customHeight="false" outlineLevel="0" collapsed="false">
      <c r="A9" s="20" t="s">
        <v>2188</v>
      </c>
      <c r="B9" s="20" t="s">
        <v>2161</v>
      </c>
      <c r="C9" s="19" t="s">
        <v>540</v>
      </c>
      <c r="D9" s="22" t="s">
        <v>91</v>
      </c>
      <c r="E9" s="19" t="s">
        <v>541</v>
      </c>
      <c r="F9" s="20" t="s">
        <v>2189</v>
      </c>
      <c r="G9" s="20" t="s">
        <v>4370</v>
      </c>
      <c r="H9" s="20" t="s">
        <v>2190</v>
      </c>
      <c r="I9" s="20" t="s">
        <v>76</v>
      </c>
      <c r="J9" s="95" t="n">
        <v>8.08</v>
      </c>
      <c r="K9" s="20" t="s">
        <v>4198</v>
      </c>
      <c r="L9" s="95" t="n">
        <v>90.59</v>
      </c>
      <c r="M9" s="52" t="n">
        <v>91.1</v>
      </c>
      <c r="N9" s="22" t="s">
        <v>4180</v>
      </c>
      <c r="O9" s="22" t="s">
        <v>942</v>
      </c>
      <c r="P9" s="20" t="s">
        <v>4371</v>
      </c>
      <c r="Q9" s="106" t="s">
        <v>891</v>
      </c>
      <c r="R9" s="92"/>
      <c r="S9" s="95" t="str">
        <f aca="false">IF(OR(R9="",J9=""),"",ROUND(J9*(1+R9/100),2))</f>
        <v/>
      </c>
      <c r="T9" s="97" t="n">
        <v>20</v>
      </c>
      <c r="U9" s="20" t="s">
        <v>93</v>
      </c>
      <c r="V9" s="55" t="s">
        <v>95</v>
      </c>
    </row>
    <row r="10" customFormat="false" ht="15" hidden="false" customHeight="false" outlineLevel="0" collapsed="false">
      <c r="A10" s="24" t="s">
        <v>2195</v>
      </c>
      <c r="B10" s="24" t="s">
        <v>2161</v>
      </c>
      <c r="C10" s="23" t="s">
        <v>542</v>
      </c>
      <c r="D10" s="26" t="s">
        <v>137</v>
      </c>
      <c r="E10" s="23" t="s">
        <v>543</v>
      </c>
      <c r="F10" s="24" t="s">
        <v>2034</v>
      </c>
      <c r="G10" s="24" t="s">
        <v>4372</v>
      </c>
      <c r="H10" s="24" t="s">
        <v>2196</v>
      </c>
      <c r="I10" s="74" t="s">
        <v>81</v>
      </c>
      <c r="J10" s="94" t="n">
        <v>2.22</v>
      </c>
      <c r="K10" s="74" t="s">
        <v>979</v>
      </c>
      <c r="L10" s="91" t="n">
        <v>2.32</v>
      </c>
      <c r="M10" s="58" t="n">
        <v>4.3</v>
      </c>
      <c r="N10" s="26" t="s">
        <v>4180</v>
      </c>
      <c r="O10" s="96" t="s">
        <v>1007</v>
      </c>
      <c r="P10" s="24" t="s">
        <v>2177</v>
      </c>
      <c r="Q10" s="23"/>
      <c r="R10" s="92"/>
      <c r="S10" s="91" t="str">
        <f aca="false">IF(OR(R10="",J10=""),"",ROUND(J10*(1+R10/100),2))</f>
        <v/>
      </c>
      <c r="T10" s="93" t="n">
        <v>20</v>
      </c>
      <c r="U10" s="24" t="s">
        <v>119</v>
      </c>
      <c r="V10" s="61" t="s">
        <v>95</v>
      </c>
    </row>
    <row r="11" customFormat="false" ht="23.85" hidden="false" customHeight="false" outlineLevel="0" collapsed="false">
      <c r="A11" s="20" t="s">
        <v>2200</v>
      </c>
      <c r="B11" s="20" t="s">
        <v>2201</v>
      </c>
      <c r="C11" s="19" t="s">
        <v>544</v>
      </c>
      <c r="D11" s="22" t="s">
        <v>493</v>
      </c>
      <c r="E11" s="19" t="s">
        <v>545</v>
      </c>
      <c r="F11" s="20"/>
      <c r="G11" s="20"/>
      <c r="H11" s="20" t="s">
        <v>2205</v>
      </c>
      <c r="I11" s="74" t="s">
        <v>83</v>
      </c>
      <c r="J11" s="94" t="n">
        <v>5.97</v>
      </c>
      <c r="K11" s="74" t="s">
        <v>4189</v>
      </c>
      <c r="L11" s="95" t="n">
        <v>8.48</v>
      </c>
      <c r="M11" s="52" t="n">
        <v>29.6</v>
      </c>
      <c r="N11" s="22" t="s">
        <v>4180</v>
      </c>
      <c r="O11" s="96" t="s">
        <v>2164</v>
      </c>
      <c r="P11" s="20" t="s">
        <v>4373</v>
      </c>
      <c r="Q11" s="19"/>
      <c r="R11" s="92"/>
      <c r="S11" s="95" t="str">
        <f aca="false">IF(OR(R11="",J11=""),"",ROUND(J11*(1+R11/100),2))</f>
        <v/>
      </c>
      <c r="T11" s="97" t="n">
        <v>20</v>
      </c>
      <c r="U11" s="20" t="s">
        <v>534</v>
      </c>
      <c r="V11" s="55" t="s">
        <v>95</v>
      </c>
    </row>
    <row r="12" customFormat="false" ht="23.85" hidden="false" customHeight="false" outlineLevel="0" collapsed="false">
      <c r="A12" s="24" t="s">
        <v>2214</v>
      </c>
      <c r="B12" s="24" t="s">
        <v>2201</v>
      </c>
      <c r="C12" s="23" t="s">
        <v>546</v>
      </c>
      <c r="D12" s="26" t="s">
        <v>493</v>
      </c>
      <c r="E12" s="23" t="s">
        <v>547</v>
      </c>
      <c r="F12" s="24" t="s">
        <v>2215</v>
      </c>
      <c r="G12" s="24" t="s">
        <v>4374</v>
      </c>
      <c r="H12" s="24" t="s">
        <v>2216</v>
      </c>
      <c r="I12" s="74" t="s">
        <v>81</v>
      </c>
      <c r="J12" s="94" t="n">
        <v>8.73</v>
      </c>
      <c r="K12" s="74" t="s">
        <v>4215</v>
      </c>
      <c r="L12" s="91" t="n">
        <v>11.22</v>
      </c>
      <c r="M12" s="58" t="n">
        <v>22.2</v>
      </c>
      <c r="N12" s="26" t="s">
        <v>4180</v>
      </c>
      <c r="O12" s="96" t="s">
        <v>1007</v>
      </c>
      <c r="P12" s="24"/>
      <c r="Q12" s="23"/>
      <c r="R12" s="92"/>
      <c r="S12" s="91" t="str">
        <f aca="false">IF(OR(R12="",J12=""),"",ROUND(J12*(1+R12/100),2))</f>
        <v/>
      </c>
      <c r="T12" s="93" t="n">
        <v>20</v>
      </c>
      <c r="U12" s="24" t="s">
        <v>169</v>
      </c>
      <c r="V12" s="61" t="s">
        <v>95</v>
      </c>
    </row>
    <row r="13" customFormat="false" ht="23.85" hidden="false" customHeight="false" outlineLevel="0" collapsed="false">
      <c r="A13" s="20" t="s">
        <v>2224</v>
      </c>
      <c r="B13" s="20" t="s">
        <v>2201</v>
      </c>
      <c r="C13" s="19" t="s">
        <v>548</v>
      </c>
      <c r="D13" s="22" t="s">
        <v>493</v>
      </c>
      <c r="E13" s="19" t="s">
        <v>549</v>
      </c>
      <c r="F13" s="20" t="s">
        <v>2225</v>
      </c>
      <c r="G13" s="20" t="s">
        <v>4375</v>
      </c>
      <c r="H13" s="20" t="s">
        <v>2226</v>
      </c>
      <c r="I13" s="74" t="s">
        <v>81</v>
      </c>
      <c r="J13" s="94" t="n">
        <v>3.94</v>
      </c>
      <c r="K13" s="74" t="s">
        <v>4215</v>
      </c>
      <c r="L13" s="95" t="n">
        <v>4.21</v>
      </c>
      <c r="M13" s="52" t="n">
        <v>6.4</v>
      </c>
      <c r="N13" s="22" t="s">
        <v>4180</v>
      </c>
      <c r="O13" s="96" t="s">
        <v>1007</v>
      </c>
      <c r="P13" s="20"/>
      <c r="Q13" s="19"/>
      <c r="R13" s="92"/>
      <c r="S13" s="95" t="str">
        <f aca="false">IF(OR(R13="",J13=""),"",ROUND(J13*(1+R13/100),2))</f>
        <v/>
      </c>
      <c r="T13" s="97" t="n">
        <v>20</v>
      </c>
      <c r="U13" s="20" t="s">
        <v>169</v>
      </c>
      <c r="V13" s="55" t="s">
        <v>95</v>
      </c>
    </row>
    <row r="14" customFormat="false" ht="35.05" hidden="false" customHeight="false" outlineLevel="0" collapsed="false">
      <c r="A14" s="24" t="s">
        <v>2234</v>
      </c>
      <c r="B14" s="24" t="s">
        <v>2201</v>
      </c>
      <c r="C14" s="23" t="s">
        <v>550</v>
      </c>
      <c r="D14" s="26" t="s">
        <v>493</v>
      </c>
      <c r="E14" s="23" t="s">
        <v>551</v>
      </c>
      <c r="F14" s="24" t="s">
        <v>2235</v>
      </c>
      <c r="G14" s="24" t="s">
        <v>4376</v>
      </c>
      <c r="H14" s="24" t="s">
        <v>2236</v>
      </c>
      <c r="I14" s="74" t="s">
        <v>81</v>
      </c>
      <c r="J14" s="94" t="n">
        <v>11.62</v>
      </c>
      <c r="K14" s="74" t="s">
        <v>4241</v>
      </c>
      <c r="L14" s="91" t="n">
        <v>12.84</v>
      </c>
      <c r="M14" s="58" t="n">
        <v>9.5</v>
      </c>
      <c r="N14" s="26" t="s">
        <v>4180</v>
      </c>
      <c r="O14" s="96" t="s">
        <v>1007</v>
      </c>
      <c r="P14" s="24" t="s">
        <v>4377</v>
      </c>
      <c r="Q14" s="23"/>
      <c r="R14" s="92"/>
      <c r="S14" s="91" t="str">
        <f aca="false">IF(OR(R14="",J14=""),"",ROUND(J14*(1+R14/100),2))</f>
        <v/>
      </c>
      <c r="T14" s="93" t="n">
        <v>20</v>
      </c>
      <c r="U14" s="24" t="s">
        <v>169</v>
      </c>
      <c r="V14" s="61" t="s">
        <v>95</v>
      </c>
    </row>
    <row r="15" customFormat="false" ht="15" hidden="false" customHeight="false" outlineLevel="0" collapsed="false">
      <c r="A15" s="88" t="s">
        <v>2241</v>
      </c>
      <c r="B15" s="88" t="s">
        <v>2242</v>
      </c>
      <c r="C15" s="89" t="s">
        <v>552</v>
      </c>
      <c r="D15" s="90" t="s">
        <v>553</v>
      </c>
      <c r="E15" s="89" t="s">
        <v>554</v>
      </c>
      <c r="F15" s="88" t="s">
        <v>2246</v>
      </c>
      <c r="G15" s="88" t="s">
        <v>4378</v>
      </c>
      <c r="H15" s="88" t="s">
        <v>2247</v>
      </c>
      <c r="I15" s="88" t="s">
        <v>76</v>
      </c>
      <c r="J15" s="98" t="n">
        <v>10.82</v>
      </c>
      <c r="K15" s="88" t="s">
        <v>4179</v>
      </c>
      <c r="L15" s="98" t="n">
        <v>12.3</v>
      </c>
      <c r="M15" s="99" t="n">
        <v>12</v>
      </c>
      <c r="N15" s="90" t="s">
        <v>4180</v>
      </c>
      <c r="O15" s="100" t="s">
        <v>963</v>
      </c>
      <c r="P15" s="88"/>
      <c r="Q15" s="101" t="s">
        <v>889</v>
      </c>
      <c r="R15" s="102"/>
      <c r="S15" s="98" t="str">
        <f aca="false">IF(OR(R15="",J15=""),"",ROUND(J15*(1+R15/100),2))</f>
        <v/>
      </c>
      <c r="T15" s="103" t="n">
        <v>20</v>
      </c>
      <c r="U15" s="88" t="s">
        <v>93</v>
      </c>
      <c r="V15" s="104" t="s">
        <v>95</v>
      </c>
    </row>
    <row r="16" customFormat="false" ht="15" hidden="false" customHeight="false" outlineLevel="0" collapsed="false">
      <c r="A16" s="88" t="s">
        <v>2255</v>
      </c>
      <c r="B16" s="88" t="s">
        <v>2242</v>
      </c>
      <c r="C16" s="89" t="s">
        <v>555</v>
      </c>
      <c r="D16" s="90" t="s">
        <v>556</v>
      </c>
      <c r="E16" s="89" t="s">
        <v>557</v>
      </c>
      <c r="F16" s="88" t="s">
        <v>2256</v>
      </c>
      <c r="G16" s="88" t="s">
        <v>4379</v>
      </c>
      <c r="H16" s="88" t="s">
        <v>2257</v>
      </c>
      <c r="I16" s="88" t="s">
        <v>76</v>
      </c>
      <c r="J16" s="98" t="n">
        <v>5.76</v>
      </c>
      <c r="K16" s="88" t="s">
        <v>939</v>
      </c>
      <c r="L16" s="98"/>
      <c r="M16" s="99"/>
      <c r="N16" s="90" t="s">
        <v>4180</v>
      </c>
      <c r="O16" s="100" t="s">
        <v>963</v>
      </c>
      <c r="P16" s="88" t="s">
        <v>4380</v>
      </c>
      <c r="Q16" s="101" t="s">
        <v>889</v>
      </c>
      <c r="R16" s="102"/>
      <c r="S16" s="98" t="str">
        <f aca="false">IF(OR(R16="",J16=""),"",ROUND(J16*(1+R16/100),2))</f>
        <v/>
      </c>
      <c r="T16" s="103" t="n">
        <v>20</v>
      </c>
      <c r="U16" s="88" t="s">
        <v>93</v>
      </c>
      <c r="V16" s="104" t="s">
        <v>95</v>
      </c>
    </row>
    <row r="17" customFormat="false" ht="23.85" hidden="false" customHeight="false" outlineLevel="0" collapsed="false">
      <c r="A17" s="20" t="s">
        <v>2268</v>
      </c>
      <c r="B17" s="20" t="s">
        <v>2242</v>
      </c>
      <c r="C17" s="19" t="s">
        <v>558</v>
      </c>
      <c r="D17" s="22" t="s">
        <v>374</v>
      </c>
      <c r="E17" s="19" t="s">
        <v>559</v>
      </c>
      <c r="F17" s="20" t="s">
        <v>2271</v>
      </c>
      <c r="G17" s="20"/>
      <c r="H17" s="20" t="s">
        <v>2272</v>
      </c>
      <c r="I17" s="74" t="s">
        <v>81</v>
      </c>
      <c r="J17" s="94" t="n">
        <v>6.56</v>
      </c>
      <c r="K17" s="74" t="s">
        <v>4191</v>
      </c>
      <c r="L17" s="95" t="n">
        <v>7.18</v>
      </c>
      <c r="M17" s="52" t="n">
        <v>8.6</v>
      </c>
      <c r="N17" s="22" t="s">
        <v>4180</v>
      </c>
      <c r="O17" s="96" t="s">
        <v>1007</v>
      </c>
      <c r="P17" s="20" t="s">
        <v>4381</v>
      </c>
      <c r="Q17" s="19"/>
      <c r="R17" s="92"/>
      <c r="S17" s="95" t="str">
        <f aca="false">IF(OR(R17="",J17=""),"",ROUND(J17*(1+R17/100),2))</f>
        <v/>
      </c>
      <c r="T17" s="97" t="n">
        <v>20</v>
      </c>
      <c r="U17" s="20" t="s">
        <v>119</v>
      </c>
      <c r="V17" s="55" t="s">
        <v>95</v>
      </c>
    </row>
    <row r="18" customFormat="false" ht="15" hidden="false" customHeight="false" outlineLevel="0" collapsed="false">
      <c r="A18" s="88" t="s">
        <v>2279</v>
      </c>
      <c r="B18" s="88" t="s">
        <v>2242</v>
      </c>
      <c r="C18" s="89" t="s">
        <v>560</v>
      </c>
      <c r="D18" s="90" t="s">
        <v>374</v>
      </c>
      <c r="E18" s="89" t="s">
        <v>561</v>
      </c>
      <c r="F18" s="88" t="s">
        <v>2189</v>
      </c>
      <c r="G18" s="88" t="s">
        <v>4382</v>
      </c>
      <c r="H18" s="88" t="s">
        <v>2280</v>
      </c>
      <c r="I18" s="88" t="s">
        <v>76</v>
      </c>
      <c r="J18" s="98" t="n">
        <v>10.66</v>
      </c>
      <c r="K18" s="88" t="s">
        <v>4233</v>
      </c>
      <c r="L18" s="98" t="n">
        <v>19</v>
      </c>
      <c r="M18" s="99" t="n">
        <v>43.9</v>
      </c>
      <c r="N18" s="90" t="s">
        <v>4180</v>
      </c>
      <c r="O18" s="100" t="s">
        <v>963</v>
      </c>
      <c r="P18" s="88" t="s">
        <v>4383</v>
      </c>
      <c r="Q18" s="101" t="s">
        <v>889</v>
      </c>
      <c r="R18" s="102"/>
      <c r="S18" s="98" t="str">
        <f aca="false">IF(OR(R18="",J18=""),"",ROUND(J18*(1+R18/100),2))</f>
        <v/>
      </c>
      <c r="T18" s="103" t="n">
        <v>20</v>
      </c>
      <c r="U18" s="88" t="s">
        <v>93</v>
      </c>
      <c r="V18" s="104" t="s">
        <v>95</v>
      </c>
    </row>
    <row r="19" customFormat="false" ht="23.85" hidden="false" customHeight="false" outlineLevel="0" collapsed="false">
      <c r="A19" s="20" t="s">
        <v>2290</v>
      </c>
      <c r="B19" s="20" t="s">
        <v>2291</v>
      </c>
      <c r="C19" s="19" t="s">
        <v>562</v>
      </c>
      <c r="D19" s="22" t="s">
        <v>203</v>
      </c>
      <c r="E19" s="19" t="s">
        <v>563</v>
      </c>
      <c r="F19" s="20" t="s">
        <v>2039</v>
      </c>
      <c r="G19" s="20" t="s">
        <v>4384</v>
      </c>
      <c r="H19" s="20" t="s">
        <v>2292</v>
      </c>
      <c r="I19" s="20" t="s">
        <v>76</v>
      </c>
      <c r="J19" s="95" t="n">
        <v>7.97</v>
      </c>
      <c r="K19" s="20" t="s">
        <v>4233</v>
      </c>
      <c r="L19" s="95" t="n">
        <v>13.58</v>
      </c>
      <c r="M19" s="52" t="n">
        <v>41.3</v>
      </c>
      <c r="N19" s="22" t="s">
        <v>4180</v>
      </c>
      <c r="O19" s="22" t="s">
        <v>942</v>
      </c>
      <c r="P19" s="20" t="s">
        <v>4385</v>
      </c>
      <c r="Q19" s="19"/>
      <c r="R19" s="92"/>
      <c r="S19" s="95" t="str">
        <f aca="false">IF(OR(R19="",J19=""),"",ROUND(J19*(1+R19/100),2))</f>
        <v/>
      </c>
      <c r="T19" s="97" t="n">
        <v>20</v>
      </c>
      <c r="U19" s="20" t="s">
        <v>93</v>
      </c>
      <c r="V19" s="55" t="s">
        <v>95</v>
      </c>
    </row>
    <row r="20" customFormat="false" ht="15" hidden="false" customHeight="false" outlineLevel="0" collapsed="false">
      <c r="A20" s="24" t="s">
        <v>2302</v>
      </c>
      <c r="B20" s="24" t="s">
        <v>2291</v>
      </c>
      <c r="C20" s="23" t="s">
        <v>564</v>
      </c>
      <c r="D20" s="26" t="s">
        <v>203</v>
      </c>
      <c r="E20" s="23" t="s">
        <v>565</v>
      </c>
      <c r="F20" s="24" t="s">
        <v>1274</v>
      </c>
      <c r="G20" s="24"/>
      <c r="H20" s="24" t="s">
        <v>2296</v>
      </c>
      <c r="I20" s="74" t="s">
        <v>81</v>
      </c>
      <c r="J20" s="94" t="n">
        <v>9.8</v>
      </c>
      <c r="K20" s="74" t="s">
        <v>4215</v>
      </c>
      <c r="L20" s="91" t="n">
        <v>10.31</v>
      </c>
      <c r="M20" s="58" t="n">
        <v>4.9</v>
      </c>
      <c r="N20" s="26" t="s">
        <v>4180</v>
      </c>
      <c r="O20" s="96" t="s">
        <v>1007</v>
      </c>
      <c r="P20" s="24" t="s">
        <v>4386</v>
      </c>
      <c r="Q20" s="23"/>
      <c r="R20" s="92"/>
      <c r="S20" s="91" t="str">
        <f aca="false">IF(OR(R20="",J20=""),"",ROUND(J20*(1+R20/100),2))</f>
        <v/>
      </c>
      <c r="T20" s="93" t="n">
        <v>20</v>
      </c>
      <c r="U20" s="24" t="s">
        <v>119</v>
      </c>
      <c r="V20" s="61" t="s">
        <v>95</v>
      </c>
    </row>
    <row r="21" customFormat="false" ht="23.85" hidden="false" customHeight="false" outlineLevel="0" collapsed="false">
      <c r="A21" s="20" t="s">
        <v>2311</v>
      </c>
      <c r="B21" s="20" t="s">
        <v>2291</v>
      </c>
      <c r="C21" s="19" t="s">
        <v>566</v>
      </c>
      <c r="D21" s="22" t="s">
        <v>203</v>
      </c>
      <c r="E21" s="19" t="s">
        <v>567</v>
      </c>
      <c r="F21" s="20" t="s">
        <v>2312</v>
      </c>
      <c r="G21" s="20" t="s">
        <v>4387</v>
      </c>
      <c r="H21" s="20" t="s">
        <v>2313</v>
      </c>
      <c r="I21" s="20" t="s">
        <v>76</v>
      </c>
      <c r="J21" s="95" t="n">
        <v>1.55</v>
      </c>
      <c r="K21" s="20" t="s">
        <v>939</v>
      </c>
      <c r="L21" s="95"/>
      <c r="M21" s="52"/>
      <c r="N21" s="22" t="s">
        <v>4180</v>
      </c>
      <c r="O21" s="22" t="s">
        <v>1085</v>
      </c>
      <c r="P21" s="20"/>
      <c r="Q21" s="19"/>
      <c r="R21" s="92"/>
      <c r="S21" s="95" t="str">
        <f aca="false">IF(OR(R21="",J21=""),"",ROUND(J21*(1+R21/100),2))</f>
        <v/>
      </c>
      <c r="T21" s="97" t="n">
        <v>20</v>
      </c>
      <c r="U21" s="20" t="s">
        <v>93</v>
      </c>
      <c r="V21" s="55" t="s">
        <v>95</v>
      </c>
    </row>
    <row r="22" customFormat="false" ht="15" hidden="false" customHeight="false" outlineLevel="0" collapsed="false">
      <c r="A22" s="88" t="s">
        <v>2321</v>
      </c>
      <c r="B22" s="88" t="s">
        <v>2291</v>
      </c>
      <c r="C22" s="89" t="s">
        <v>568</v>
      </c>
      <c r="D22" s="90" t="s">
        <v>203</v>
      </c>
      <c r="E22" s="89" t="s">
        <v>569</v>
      </c>
      <c r="F22" s="88" t="s">
        <v>1702</v>
      </c>
      <c r="G22" s="88" t="s">
        <v>4388</v>
      </c>
      <c r="H22" s="88" t="s">
        <v>2322</v>
      </c>
      <c r="I22" s="88" t="s">
        <v>76</v>
      </c>
      <c r="J22" s="98" t="n">
        <v>18.88</v>
      </c>
      <c r="K22" s="88" t="s">
        <v>4179</v>
      </c>
      <c r="L22" s="98" t="n">
        <v>22.18</v>
      </c>
      <c r="M22" s="99" t="n">
        <v>14.9</v>
      </c>
      <c r="N22" s="90" t="s">
        <v>4180</v>
      </c>
      <c r="O22" s="100" t="s">
        <v>963</v>
      </c>
      <c r="P22" s="88"/>
      <c r="Q22" s="101" t="s">
        <v>889</v>
      </c>
      <c r="R22" s="102"/>
      <c r="S22" s="98" t="str">
        <f aca="false">IF(OR(R22="",J22=""),"",ROUND(J22*(1+R22/100),2))</f>
        <v/>
      </c>
      <c r="T22" s="103" t="n">
        <v>20</v>
      </c>
      <c r="U22" s="88" t="s">
        <v>93</v>
      </c>
      <c r="V22" s="104" t="s">
        <v>95</v>
      </c>
    </row>
    <row r="23" customFormat="false" ht="23.85" hidden="false" customHeight="false" outlineLevel="0" collapsed="false">
      <c r="A23" s="20" t="s">
        <v>2325</v>
      </c>
      <c r="B23" s="20" t="s">
        <v>2326</v>
      </c>
      <c r="C23" s="19" t="s">
        <v>570</v>
      </c>
      <c r="D23" s="22" t="s">
        <v>91</v>
      </c>
      <c r="E23" s="19" t="s">
        <v>571</v>
      </c>
      <c r="F23" s="20" t="s">
        <v>2327</v>
      </c>
      <c r="G23" s="20" t="s">
        <v>4389</v>
      </c>
      <c r="H23" s="20" t="s">
        <v>2328</v>
      </c>
      <c r="I23" s="74" t="s">
        <v>81</v>
      </c>
      <c r="J23" s="94" t="n">
        <v>2.8</v>
      </c>
      <c r="K23" s="74" t="s">
        <v>4191</v>
      </c>
      <c r="L23" s="95" t="n">
        <v>3.08</v>
      </c>
      <c r="M23" s="52" t="n">
        <v>9.1</v>
      </c>
      <c r="N23" s="22" t="s">
        <v>4180</v>
      </c>
      <c r="O23" s="96" t="s">
        <v>1007</v>
      </c>
      <c r="P23" s="20" t="s">
        <v>2329</v>
      </c>
      <c r="Q23" s="19"/>
      <c r="R23" s="92"/>
      <c r="S23" s="95" t="str">
        <f aca="false">IF(OR(R23="",J23=""),"",ROUND(J23*(1+R23/100),2))</f>
        <v/>
      </c>
      <c r="T23" s="97" t="n">
        <v>20</v>
      </c>
      <c r="U23" s="20" t="s">
        <v>119</v>
      </c>
      <c r="V23" s="55" t="s">
        <v>95</v>
      </c>
    </row>
    <row r="24" customFormat="false" ht="15" hidden="false" customHeight="false" outlineLevel="0" collapsed="false">
      <c r="A24" s="24" t="s">
        <v>2334</v>
      </c>
      <c r="B24" s="24" t="s">
        <v>2326</v>
      </c>
      <c r="C24" s="23" t="s">
        <v>572</v>
      </c>
      <c r="D24" s="26" t="s">
        <v>137</v>
      </c>
      <c r="E24" s="23" t="s">
        <v>573</v>
      </c>
      <c r="F24" s="24" t="s">
        <v>2335</v>
      </c>
      <c r="G24" s="24" t="s">
        <v>4390</v>
      </c>
      <c r="H24" s="24" t="s">
        <v>2336</v>
      </c>
      <c r="I24" s="74" t="s">
        <v>81</v>
      </c>
      <c r="J24" s="94" t="n">
        <v>1.39</v>
      </c>
      <c r="K24" s="74" t="s">
        <v>979</v>
      </c>
      <c r="L24" s="91" t="n">
        <v>1.55</v>
      </c>
      <c r="M24" s="58" t="n">
        <v>10.3</v>
      </c>
      <c r="N24" s="26" t="s">
        <v>4180</v>
      </c>
      <c r="O24" s="96" t="s">
        <v>1007</v>
      </c>
      <c r="P24" s="24"/>
      <c r="Q24" s="23"/>
      <c r="R24" s="92"/>
      <c r="S24" s="91" t="str">
        <f aca="false">IF(OR(R24="",J24=""),"",ROUND(J24*(1+R24/100),2))</f>
        <v/>
      </c>
      <c r="T24" s="93" t="n">
        <v>20</v>
      </c>
      <c r="U24" s="24" t="s">
        <v>169</v>
      </c>
      <c r="V24" s="61" t="s">
        <v>95</v>
      </c>
    </row>
  </sheetData>
  <autoFilter ref="A1:V24"/>
  <hyperlinks>
    <hyperlink ref="V3" r:id="rId1" display="Voir la fiche"/>
    <hyperlink ref="V4" r:id="rId2" display="Voir la fiche"/>
    <hyperlink ref="V5" r:id="rId3" display="Voir la fiche"/>
    <hyperlink ref="V6" r:id="rId4" display="Voir la fiche"/>
    <hyperlink ref="V7" r:id="rId5" display="Voir la fiche"/>
    <hyperlink ref="V8" r:id="rId6" display="Voir la fiche"/>
    <hyperlink ref="V9" r:id="rId7" display="Voir la fiche"/>
    <hyperlink ref="V10" r:id="rId8" display="Voir la fiche"/>
    <hyperlink ref="V11" r:id="rId9" display="Voir la fiche"/>
    <hyperlink ref="V12" r:id="rId10" display="Voir la fiche"/>
    <hyperlink ref="V13" r:id="rId11" display="Voir la fiche"/>
    <hyperlink ref="V14" r:id="rId12" display="Voir la fiche"/>
    <hyperlink ref="V15" r:id="rId13" display="Voir la fiche"/>
    <hyperlink ref="V16" r:id="rId14" display="Voir la fiche"/>
    <hyperlink ref="V17" r:id="rId15" display="Voir la fiche"/>
    <hyperlink ref="V18" r:id="rId16" display="Voir la fiche"/>
    <hyperlink ref="V19" r:id="rId17" display="Voir la fiche"/>
    <hyperlink ref="V20" r:id="rId18" display="Voir la fiche"/>
    <hyperlink ref="V21" r:id="rId19" display="Voir la fiche"/>
    <hyperlink ref="V22" r:id="rId20" display="Voir la fiche"/>
    <hyperlink ref="V23" r:id="rId21" display="Voir la fiche"/>
    <hyperlink ref="V24" r:id="rId22"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2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true"/>
  </sheetPr>
  <dimension ref="A1:V2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23.85" hidden="false" customHeight="false" outlineLevel="0" collapsed="false">
      <c r="A2" s="24" t="s">
        <v>2339</v>
      </c>
      <c r="B2" s="24" t="s">
        <v>2340</v>
      </c>
      <c r="C2" s="23" t="s">
        <v>574</v>
      </c>
      <c r="D2" s="26" t="s">
        <v>344</v>
      </c>
      <c r="E2" s="23" t="s">
        <v>575</v>
      </c>
      <c r="F2" s="24" t="s">
        <v>2246</v>
      </c>
      <c r="G2" s="24" t="s">
        <v>4391</v>
      </c>
      <c r="H2" s="24" t="s">
        <v>2345</v>
      </c>
      <c r="I2" s="24" t="s">
        <v>76</v>
      </c>
      <c r="J2" s="91" t="n">
        <v>108.26</v>
      </c>
      <c r="K2" s="24" t="s">
        <v>939</v>
      </c>
      <c r="L2" s="91"/>
      <c r="M2" s="58"/>
      <c r="N2" s="26" t="s">
        <v>4180</v>
      </c>
      <c r="O2" s="26" t="s">
        <v>1085</v>
      </c>
      <c r="P2" s="24"/>
      <c r="Q2" s="23"/>
      <c r="R2" s="92"/>
      <c r="S2" s="91" t="str">
        <f aca="false">IF(OR(R2="",J2=""),"",ROUND(J2*(1+R2/100),2))</f>
        <v/>
      </c>
      <c r="T2" s="93" t="n">
        <v>20</v>
      </c>
      <c r="U2" s="24" t="s">
        <v>93</v>
      </c>
      <c r="V2" s="61" t="s">
        <v>95</v>
      </c>
    </row>
    <row r="3" customFormat="false" ht="23.85" hidden="false" customHeight="false" outlineLevel="0" collapsed="false">
      <c r="A3" s="20" t="s">
        <v>2348</v>
      </c>
      <c r="B3" s="20" t="s">
        <v>2340</v>
      </c>
      <c r="C3" s="19" t="s">
        <v>576</v>
      </c>
      <c r="D3" s="22" t="s">
        <v>344</v>
      </c>
      <c r="E3" s="19" t="s">
        <v>575</v>
      </c>
      <c r="F3" s="20" t="s">
        <v>2246</v>
      </c>
      <c r="G3" s="20" t="s">
        <v>4391</v>
      </c>
      <c r="H3" s="20" t="s">
        <v>2345</v>
      </c>
      <c r="I3" s="20" t="s">
        <v>76</v>
      </c>
      <c r="J3" s="95" t="n">
        <v>108.26</v>
      </c>
      <c r="K3" s="20" t="s">
        <v>939</v>
      </c>
      <c r="L3" s="95"/>
      <c r="M3" s="52"/>
      <c r="N3" s="22" t="s">
        <v>4180</v>
      </c>
      <c r="O3" s="22" t="s">
        <v>942</v>
      </c>
      <c r="P3" s="20"/>
      <c r="Q3" s="19"/>
      <c r="R3" s="92"/>
      <c r="S3" s="95" t="str">
        <f aca="false">IF(OR(R3="",J3=""),"",ROUND(J3*(1+R3/100),2))</f>
        <v/>
      </c>
      <c r="T3" s="97" t="n">
        <v>20</v>
      </c>
      <c r="U3" s="20" t="s">
        <v>93</v>
      </c>
      <c r="V3" s="55" t="s">
        <v>95</v>
      </c>
    </row>
    <row r="4" customFormat="false" ht="23.85" hidden="false" customHeight="false" outlineLevel="0" collapsed="false">
      <c r="A4" s="24" t="s">
        <v>2359</v>
      </c>
      <c r="B4" s="24" t="s">
        <v>2340</v>
      </c>
      <c r="C4" s="23" t="s">
        <v>577</v>
      </c>
      <c r="D4" s="26" t="s">
        <v>344</v>
      </c>
      <c r="E4" s="23" t="s">
        <v>578</v>
      </c>
      <c r="F4" s="24" t="s">
        <v>2246</v>
      </c>
      <c r="G4" s="24" t="s">
        <v>4392</v>
      </c>
      <c r="H4" s="24" t="s">
        <v>2364</v>
      </c>
      <c r="I4" s="24" t="s">
        <v>76</v>
      </c>
      <c r="J4" s="91" t="n">
        <v>17.26</v>
      </c>
      <c r="K4" s="24" t="s">
        <v>939</v>
      </c>
      <c r="L4" s="91"/>
      <c r="M4" s="58"/>
      <c r="N4" s="26" t="s">
        <v>4180</v>
      </c>
      <c r="O4" s="26" t="s">
        <v>942</v>
      </c>
      <c r="P4" s="24"/>
      <c r="Q4" s="23"/>
      <c r="R4" s="92"/>
      <c r="S4" s="91" t="str">
        <f aca="false">IF(OR(R4="",J4=""),"",ROUND(J4*(1+R4/100),2))</f>
        <v/>
      </c>
      <c r="T4" s="93" t="n">
        <v>20</v>
      </c>
      <c r="U4" s="24" t="s">
        <v>93</v>
      </c>
      <c r="V4" s="61" t="s">
        <v>95</v>
      </c>
    </row>
    <row r="5" customFormat="false" ht="23.85" hidden="false" customHeight="false" outlineLevel="0" collapsed="false">
      <c r="A5" s="88" t="s">
        <v>2369</v>
      </c>
      <c r="B5" s="88" t="s">
        <v>2340</v>
      </c>
      <c r="C5" s="89" t="s">
        <v>579</v>
      </c>
      <c r="D5" s="90" t="s">
        <v>344</v>
      </c>
      <c r="E5" s="89" t="s">
        <v>580</v>
      </c>
      <c r="F5" s="88" t="s">
        <v>2246</v>
      </c>
      <c r="G5" s="88" t="s">
        <v>4393</v>
      </c>
      <c r="H5" s="88" t="s">
        <v>2370</v>
      </c>
      <c r="I5" s="88" t="s">
        <v>76</v>
      </c>
      <c r="J5" s="98" t="n">
        <v>34.23</v>
      </c>
      <c r="K5" s="88" t="s">
        <v>939</v>
      </c>
      <c r="L5" s="98"/>
      <c r="M5" s="99"/>
      <c r="N5" s="90" t="s">
        <v>4180</v>
      </c>
      <c r="O5" s="100" t="s">
        <v>963</v>
      </c>
      <c r="P5" s="88" t="s">
        <v>2371</v>
      </c>
      <c r="Q5" s="101" t="s">
        <v>889</v>
      </c>
      <c r="R5" s="102"/>
      <c r="S5" s="98" t="str">
        <f aca="false">IF(OR(R5="",J5=""),"",ROUND(J5*(1+R5/100),2))</f>
        <v/>
      </c>
      <c r="T5" s="103" t="n">
        <v>20</v>
      </c>
      <c r="U5" s="88" t="s">
        <v>93</v>
      </c>
      <c r="V5" s="104" t="s">
        <v>95</v>
      </c>
    </row>
    <row r="6" customFormat="false" ht="15" hidden="false" customHeight="false" outlineLevel="0" collapsed="false">
      <c r="A6" s="88" t="s">
        <v>2375</v>
      </c>
      <c r="B6" s="88" t="s">
        <v>2340</v>
      </c>
      <c r="C6" s="89" t="s">
        <v>581</v>
      </c>
      <c r="D6" s="90" t="s">
        <v>344</v>
      </c>
      <c r="E6" s="89" t="s">
        <v>582</v>
      </c>
      <c r="F6" s="88" t="s">
        <v>2067</v>
      </c>
      <c r="G6" s="88" t="s">
        <v>4394</v>
      </c>
      <c r="H6" s="88" t="s">
        <v>2383</v>
      </c>
      <c r="I6" s="88" t="s">
        <v>76</v>
      </c>
      <c r="J6" s="98" t="n">
        <v>12.94</v>
      </c>
      <c r="K6" s="88" t="s">
        <v>939</v>
      </c>
      <c r="L6" s="98"/>
      <c r="M6" s="99"/>
      <c r="N6" s="90" t="s">
        <v>4180</v>
      </c>
      <c r="O6" s="100" t="s">
        <v>963</v>
      </c>
      <c r="P6" s="88"/>
      <c r="Q6" s="101" t="s">
        <v>889</v>
      </c>
      <c r="R6" s="102"/>
      <c r="S6" s="98" t="str">
        <f aca="false">IF(OR(R6="",J6=""),"",ROUND(J6*(1+R6/100),2))</f>
        <v/>
      </c>
      <c r="T6" s="103" t="n">
        <v>20</v>
      </c>
      <c r="U6" s="88" t="s">
        <v>93</v>
      </c>
      <c r="V6" s="104" t="s">
        <v>95</v>
      </c>
    </row>
    <row r="7" customFormat="false" ht="23.85" hidden="false" customHeight="false" outlineLevel="0" collapsed="false">
      <c r="A7" s="20" t="s">
        <v>2384</v>
      </c>
      <c r="B7" s="20" t="s">
        <v>2340</v>
      </c>
      <c r="C7" s="19" t="s">
        <v>583</v>
      </c>
      <c r="D7" s="22" t="s">
        <v>344</v>
      </c>
      <c r="E7" s="19" t="s">
        <v>584</v>
      </c>
      <c r="F7" s="20" t="s">
        <v>2387</v>
      </c>
      <c r="G7" s="20" t="s">
        <v>4395</v>
      </c>
      <c r="H7" s="20" t="s">
        <v>2388</v>
      </c>
      <c r="I7" s="74" t="s">
        <v>81</v>
      </c>
      <c r="J7" s="94" t="n">
        <v>86.14</v>
      </c>
      <c r="K7" s="74" t="s">
        <v>979</v>
      </c>
      <c r="L7" s="95" t="n">
        <v>90.68</v>
      </c>
      <c r="M7" s="52" t="n">
        <v>5</v>
      </c>
      <c r="N7" s="22" t="s">
        <v>4180</v>
      </c>
      <c r="O7" s="96" t="s">
        <v>1007</v>
      </c>
      <c r="P7" s="20" t="s">
        <v>2389</v>
      </c>
      <c r="Q7" s="19"/>
      <c r="R7" s="92"/>
      <c r="S7" s="95" t="str">
        <f aca="false">IF(OR(R7="",J7=""),"",ROUND(J7*(1+R7/100),2))</f>
        <v/>
      </c>
      <c r="T7" s="97" t="n">
        <v>20</v>
      </c>
      <c r="U7" s="20" t="s">
        <v>119</v>
      </c>
      <c r="V7" s="55" t="s">
        <v>95</v>
      </c>
    </row>
    <row r="8" customFormat="false" ht="23.85" hidden="false" customHeight="false" outlineLevel="0" collapsed="false">
      <c r="A8" s="24" t="s">
        <v>2390</v>
      </c>
      <c r="B8" s="24" t="s">
        <v>2340</v>
      </c>
      <c r="C8" s="23" t="s">
        <v>585</v>
      </c>
      <c r="D8" s="26" t="s">
        <v>344</v>
      </c>
      <c r="E8" s="23" t="s">
        <v>586</v>
      </c>
      <c r="F8" s="24"/>
      <c r="G8" s="24"/>
      <c r="H8" s="24" t="s">
        <v>2391</v>
      </c>
      <c r="I8" s="74" t="s">
        <v>79</v>
      </c>
      <c r="J8" s="94" t="n">
        <v>27.07</v>
      </c>
      <c r="K8" s="74" t="s">
        <v>943</v>
      </c>
      <c r="L8" s="91"/>
      <c r="M8" s="58"/>
      <c r="N8" s="26" t="s">
        <v>4180</v>
      </c>
      <c r="O8" s="96" t="s">
        <v>1016</v>
      </c>
      <c r="P8" s="24" t="s">
        <v>2392</v>
      </c>
      <c r="Q8" s="105" t="s">
        <v>889</v>
      </c>
      <c r="R8" s="92"/>
      <c r="S8" s="91" t="str">
        <f aca="false">IF(OR(R8="",J8=""),"",ROUND(J8*(1+R8/100),2))</f>
        <v/>
      </c>
      <c r="T8" s="93" t="n">
        <v>20</v>
      </c>
      <c r="U8" s="24" t="s">
        <v>313</v>
      </c>
      <c r="V8" s="61" t="s">
        <v>95</v>
      </c>
    </row>
    <row r="9" customFormat="false" ht="15" hidden="false" customHeight="false" outlineLevel="0" collapsed="false">
      <c r="A9" s="88" t="s">
        <v>2395</v>
      </c>
      <c r="B9" s="88" t="s">
        <v>2340</v>
      </c>
      <c r="C9" s="89" t="s">
        <v>587</v>
      </c>
      <c r="D9" s="90" t="s">
        <v>344</v>
      </c>
      <c r="E9" s="89" t="s">
        <v>588</v>
      </c>
      <c r="F9" s="88"/>
      <c r="G9" s="88"/>
      <c r="H9" s="88" t="s">
        <v>2396</v>
      </c>
      <c r="I9" s="88" t="s">
        <v>80</v>
      </c>
      <c r="J9" s="98" t="n">
        <v>79.41</v>
      </c>
      <c r="K9" s="88" t="s">
        <v>939</v>
      </c>
      <c r="L9" s="98"/>
      <c r="M9" s="99"/>
      <c r="N9" s="90" t="s">
        <v>4180</v>
      </c>
      <c r="O9" s="100" t="s">
        <v>963</v>
      </c>
      <c r="P9" s="88" t="s">
        <v>2397</v>
      </c>
      <c r="Q9" s="101" t="s">
        <v>889</v>
      </c>
      <c r="R9" s="102"/>
      <c r="S9" s="98" t="str">
        <f aca="false">IF(OR(R9="",J9=""),"",ROUND(J9*(1+R9/100),2))</f>
        <v/>
      </c>
      <c r="T9" s="103" t="n">
        <v>20</v>
      </c>
      <c r="U9" s="88" t="s">
        <v>303</v>
      </c>
      <c r="V9" s="104" t="s">
        <v>95</v>
      </c>
    </row>
    <row r="10" customFormat="false" ht="23.85" hidden="false" customHeight="false" outlineLevel="0" collapsed="false">
      <c r="A10" s="24" t="s">
        <v>2398</v>
      </c>
      <c r="B10" s="24" t="s">
        <v>2340</v>
      </c>
      <c r="C10" s="23" t="s">
        <v>589</v>
      </c>
      <c r="D10" s="26" t="s">
        <v>344</v>
      </c>
      <c r="E10" s="23" t="s">
        <v>590</v>
      </c>
      <c r="F10" s="24"/>
      <c r="G10" s="24"/>
      <c r="H10" s="24" t="s">
        <v>2399</v>
      </c>
      <c r="I10" s="74" t="s">
        <v>79</v>
      </c>
      <c r="J10" s="94" t="n">
        <v>26.4</v>
      </c>
      <c r="K10" s="74" t="s">
        <v>943</v>
      </c>
      <c r="L10" s="91"/>
      <c r="M10" s="58"/>
      <c r="N10" s="26" t="s">
        <v>4180</v>
      </c>
      <c r="O10" s="96" t="s">
        <v>1016</v>
      </c>
      <c r="P10" s="24" t="s">
        <v>2392</v>
      </c>
      <c r="Q10" s="105" t="s">
        <v>889</v>
      </c>
      <c r="R10" s="92"/>
      <c r="S10" s="91" t="str">
        <f aca="false">IF(OR(R10="",J10=""),"",ROUND(J10*(1+R10/100),2))</f>
        <v/>
      </c>
      <c r="T10" s="93" t="n">
        <v>20</v>
      </c>
      <c r="U10" s="24" t="s">
        <v>313</v>
      </c>
      <c r="V10" s="24"/>
    </row>
    <row r="11" customFormat="false" ht="23.85" hidden="false" customHeight="false" outlineLevel="0" collapsed="false">
      <c r="A11" s="20" t="s">
        <v>2402</v>
      </c>
      <c r="B11" s="20" t="s">
        <v>2403</v>
      </c>
      <c r="C11" s="19" t="s">
        <v>591</v>
      </c>
      <c r="D11" s="22" t="s">
        <v>91</v>
      </c>
      <c r="E11" s="19" t="s">
        <v>592</v>
      </c>
      <c r="F11" s="20"/>
      <c r="G11" s="20"/>
      <c r="H11" s="20" t="s">
        <v>2404</v>
      </c>
      <c r="I11" s="20" t="s">
        <v>80</v>
      </c>
      <c r="J11" s="95" t="n">
        <v>5.67</v>
      </c>
      <c r="K11" s="20" t="s">
        <v>4198</v>
      </c>
      <c r="L11" s="95" t="n">
        <v>14.2</v>
      </c>
      <c r="M11" s="52" t="n">
        <v>60.1</v>
      </c>
      <c r="N11" s="22" t="s">
        <v>4180</v>
      </c>
      <c r="O11" s="22" t="s">
        <v>942</v>
      </c>
      <c r="P11" s="20"/>
      <c r="Q11" s="19"/>
      <c r="R11" s="92"/>
      <c r="S11" s="95" t="str">
        <f aca="false">IF(OR(R11="",J11=""),"",ROUND(J11*(1+R11/100),2))</f>
        <v/>
      </c>
      <c r="T11" s="97" t="n">
        <v>20</v>
      </c>
      <c r="U11" s="20" t="s">
        <v>303</v>
      </c>
      <c r="V11" s="55" t="s">
        <v>95</v>
      </c>
    </row>
    <row r="12" customFormat="false" ht="23.85" hidden="false" customHeight="false" outlineLevel="0" collapsed="false">
      <c r="A12" s="88" t="s">
        <v>2408</v>
      </c>
      <c r="B12" s="88" t="s">
        <v>2403</v>
      </c>
      <c r="C12" s="89" t="s">
        <v>593</v>
      </c>
      <c r="D12" s="90" t="s">
        <v>91</v>
      </c>
      <c r="E12" s="89" t="s">
        <v>594</v>
      </c>
      <c r="F12" s="88"/>
      <c r="G12" s="88"/>
      <c r="H12" s="88" t="s">
        <v>2409</v>
      </c>
      <c r="I12" s="88" t="s">
        <v>80</v>
      </c>
      <c r="J12" s="98" t="n">
        <v>2.59</v>
      </c>
      <c r="K12" s="88" t="s">
        <v>939</v>
      </c>
      <c r="L12" s="98"/>
      <c r="M12" s="99"/>
      <c r="N12" s="90" t="s">
        <v>4180</v>
      </c>
      <c r="O12" s="100" t="s">
        <v>963</v>
      </c>
      <c r="P12" s="88"/>
      <c r="Q12" s="101" t="s">
        <v>889</v>
      </c>
      <c r="R12" s="102"/>
      <c r="S12" s="98" t="str">
        <f aca="false">IF(OR(R12="",J12=""),"",ROUND(J12*(1+R12/100),2))</f>
        <v/>
      </c>
      <c r="T12" s="103" t="n">
        <v>20</v>
      </c>
      <c r="U12" s="88" t="s">
        <v>303</v>
      </c>
      <c r="V12" s="104" t="s">
        <v>95</v>
      </c>
    </row>
    <row r="13" customFormat="false" ht="15" hidden="false" customHeight="false" outlineLevel="0" collapsed="false">
      <c r="A13" s="20" t="s">
        <v>2410</v>
      </c>
      <c r="B13" s="20" t="s">
        <v>2403</v>
      </c>
      <c r="C13" s="19" t="s">
        <v>595</v>
      </c>
      <c r="D13" s="22" t="s">
        <v>91</v>
      </c>
      <c r="E13" s="19" t="s">
        <v>596</v>
      </c>
      <c r="F13" s="20" t="s">
        <v>2407</v>
      </c>
      <c r="G13" s="20" t="s">
        <v>4396</v>
      </c>
      <c r="H13" s="20" t="s">
        <v>2411</v>
      </c>
      <c r="I13" s="74" t="s">
        <v>81</v>
      </c>
      <c r="J13" s="94" t="n">
        <v>13.6</v>
      </c>
      <c r="K13" s="74" t="s">
        <v>4241</v>
      </c>
      <c r="L13" s="95" t="n">
        <v>14.3</v>
      </c>
      <c r="M13" s="52" t="n">
        <v>4.9</v>
      </c>
      <c r="N13" s="22" t="s">
        <v>4180</v>
      </c>
      <c r="O13" s="96" t="s">
        <v>1016</v>
      </c>
      <c r="P13" s="20"/>
      <c r="Q13" s="106" t="s">
        <v>889</v>
      </c>
      <c r="R13" s="92"/>
      <c r="S13" s="95" t="str">
        <f aca="false">IF(OR(R13="",J13=""),"",ROUND(J13*(1+R13/100),2))</f>
        <v/>
      </c>
      <c r="T13" s="97" t="n">
        <v>20</v>
      </c>
      <c r="U13" s="20" t="s">
        <v>119</v>
      </c>
      <c r="V13" s="55" t="s">
        <v>95</v>
      </c>
    </row>
    <row r="14" customFormat="false" ht="23.85" hidden="false" customHeight="false" outlineLevel="0" collapsed="false">
      <c r="A14" s="24" t="s">
        <v>2414</v>
      </c>
      <c r="B14" s="24" t="s">
        <v>2403</v>
      </c>
      <c r="C14" s="23" t="s">
        <v>597</v>
      </c>
      <c r="D14" s="26" t="s">
        <v>91</v>
      </c>
      <c r="E14" s="23" t="s">
        <v>598</v>
      </c>
      <c r="F14" s="24"/>
      <c r="G14" s="24"/>
      <c r="H14" s="24" t="s">
        <v>2415</v>
      </c>
      <c r="I14" s="24" t="s">
        <v>80</v>
      </c>
      <c r="J14" s="91" t="n">
        <v>2.52</v>
      </c>
      <c r="K14" s="24" t="s">
        <v>4198</v>
      </c>
      <c r="L14" s="91" t="n">
        <v>5.72</v>
      </c>
      <c r="M14" s="58" t="n">
        <v>55.9</v>
      </c>
      <c r="N14" s="26" t="s">
        <v>4180</v>
      </c>
      <c r="O14" s="26" t="s">
        <v>942</v>
      </c>
      <c r="P14" s="24"/>
      <c r="Q14" s="23"/>
      <c r="R14" s="92"/>
      <c r="S14" s="91" t="str">
        <f aca="false">IF(OR(R14="",J14=""),"",ROUND(J14*(1+R14/100),2))</f>
        <v/>
      </c>
      <c r="T14" s="93" t="n">
        <v>20</v>
      </c>
      <c r="U14" s="24" t="s">
        <v>303</v>
      </c>
      <c r="V14" s="61" t="s">
        <v>95</v>
      </c>
    </row>
    <row r="15" customFormat="false" ht="23.85" hidden="false" customHeight="false" outlineLevel="0" collapsed="false">
      <c r="A15" s="20" t="s">
        <v>2421</v>
      </c>
      <c r="B15" s="20" t="s">
        <v>2403</v>
      </c>
      <c r="C15" s="19" t="s">
        <v>599</v>
      </c>
      <c r="D15" s="22" t="s">
        <v>91</v>
      </c>
      <c r="E15" s="19" t="s">
        <v>600</v>
      </c>
      <c r="F15" s="20"/>
      <c r="G15" s="20"/>
      <c r="H15" s="20" t="s">
        <v>2422</v>
      </c>
      <c r="I15" s="20" t="s">
        <v>80</v>
      </c>
      <c r="J15" s="95" t="n">
        <v>2.05</v>
      </c>
      <c r="K15" s="20" t="s">
        <v>4198</v>
      </c>
      <c r="L15" s="95" t="n">
        <v>2.9</v>
      </c>
      <c r="M15" s="52" t="n">
        <v>29.3</v>
      </c>
      <c r="N15" s="22" t="s">
        <v>4180</v>
      </c>
      <c r="O15" s="22" t="s">
        <v>942</v>
      </c>
      <c r="P15" s="20"/>
      <c r="Q15" s="19"/>
      <c r="R15" s="92"/>
      <c r="S15" s="95" t="str">
        <f aca="false">IF(OR(R15="",J15=""),"",ROUND(J15*(1+R15/100),2))</f>
        <v/>
      </c>
      <c r="T15" s="97" t="n">
        <v>20</v>
      </c>
      <c r="U15" s="20" t="s">
        <v>303</v>
      </c>
      <c r="V15" s="55" t="s">
        <v>95</v>
      </c>
    </row>
    <row r="16" customFormat="false" ht="23.85" hidden="false" customHeight="false" outlineLevel="0" collapsed="false">
      <c r="A16" s="24" t="s">
        <v>2428</v>
      </c>
      <c r="B16" s="24" t="s">
        <v>2403</v>
      </c>
      <c r="C16" s="23" t="s">
        <v>601</v>
      </c>
      <c r="D16" s="26" t="s">
        <v>91</v>
      </c>
      <c r="E16" s="23" t="s">
        <v>602</v>
      </c>
      <c r="F16" s="24"/>
      <c r="G16" s="24"/>
      <c r="H16" s="24" t="s">
        <v>2429</v>
      </c>
      <c r="I16" s="24" t="s">
        <v>80</v>
      </c>
      <c r="J16" s="91" t="n">
        <v>6.02</v>
      </c>
      <c r="K16" s="24" t="s">
        <v>4233</v>
      </c>
      <c r="L16" s="91" t="n">
        <v>29.1</v>
      </c>
      <c r="M16" s="58" t="n">
        <v>79.3</v>
      </c>
      <c r="N16" s="26" t="s">
        <v>4180</v>
      </c>
      <c r="O16" s="26" t="s">
        <v>942</v>
      </c>
      <c r="P16" s="24"/>
      <c r="Q16" s="23"/>
      <c r="R16" s="92"/>
      <c r="S16" s="91" t="str">
        <f aca="false">IF(OR(R16="",J16=""),"",ROUND(J16*(1+R16/100),2))</f>
        <v/>
      </c>
      <c r="T16" s="93" t="n">
        <v>20</v>
      </c>
      <c r="U16" s="24" t="s">
        <v>303</v>
      </c>
      <c r="V16" s="61" t="s">
        <v>95</v>
      </c>
    </row>
    <row r="17" customFormat="false" ht="15" hidden="false" customHeight="false" outlineLevel="0" collapsed="false">
      <c r="A17" s="20" t="s">
        <v>2436</v>
      </c>
      <c r="B17" s="20" t="s">
        <v>2437</v>
      </c>
      <c r="C17" s="19" t="s">
        <v>603</v>
      </c>
      <c r="D17" s="22" t="s">
        <v>374</v>
      </c>
      <c r="E17" s="19" t="s">
        <v>604</v>
      </c>
      <c r="F17" s="20" t="s">
        <v>2438</v>
      </c>
      <c r="G17" s="20" t="s">
        <v>4397</v>
      </c>
      <c r="H17" s="20" t="s">
        <v>2439</v>
      </c>
      <c r="I17" s="20" t="s">
        <v>76</v>
      </c>
      <c r="J17" s="95" t="n">
        <v>2.23</v>
      </c>
      <c r="K17" s="20" t="s">
        <v>939</v>
      </c>
      <c r="L17" s="95"/>
      <c r="M17" s="52"/>
      <c r="N17" s="22" t="s">
        <v>4180</v>
      </c>
      <c r="O17" s="22" t="s">
        <v>942</v>
      </c>
      <c r="P17" s="20"/>
      <c r="Q17" s="19"/>
      <c r="R17" s="92"/>
      <c r="S17" s="95" t="str">
        <f aca="false">IF(OR(R17="",J17=""),"",ROUND(J17*(1+R17/100),2))</f>
        <v/>
      </c>
      <c r="T17" s="97" t="n">
        <v>20</v>
      </c>
      <c r="U17" s="20" t="s">
        <v>93</v>
      </c>
      <c r="V17" s="55" t="s">
        <v>95</v>
      </c>
    </row>
    <row r="18" customFormat="false" ht="23.85" hidden="false" customHeight="false" outlineLevel="0" collapsed="false">
      <c r="A18" s="24" t="s">
        <v>2446</v>
      </c>
      <c r="B18" s="24" t="s">
        <v>2437</v>
      </c>
      <c r="C18" s="23" t="s">
        <v>605</v>
      </c>
      <c r="D18" s="26" t="s">
        <v>374</v>
      </c>
      <c r="E18" s="23" t="s">
        <v>606</v>
      </c>
      <c r="F18" s="24" t="s">
        <v>2271</v>
      </c>
      <c r="G18" s="24" t="s">
        <v>4398</v>
      </c>
      <c r="H18" s="24" t="s">
        <v>2449</v>
      </c>
      <c r="I18" s="74" t="s">
        <v>81</v>
      </c>
      <c r="J18" s="94" t="n">
        <v>13.34</v>
      </c>
      <c r="K18" s="74" t="s">
        <v>4191</v>
      </c>
      <c r="L18" s="91" t="n">
        <v>14.83</v>
      </c>
      <c r="M18" s="58" t="n">
        <v>10</v>
      </c>
      <c r="N18" s="26" t="s">
        <v>4180</v>
      </c>
      <c r="O18" s="96" t="s">
        <v>1016</v>
      </c>
      <c r="P18" s="24"/>
      <c r="Q18" s="105" t="s">
        <v>889</v>
      </c>
      <c r="R18" s="92"/>
      <c r="S18" s="91" t="str">
        <f aca="false">IF(OR(R18="",J18=""),"",ROUND(J18*(1+R18/100),2))</f>
        <v/>
      </c>
      <c r="T18" s="93" t="n">
        <v>20</v>
      </c>
      <c r="U18" s="24" t="s">
        <v>169</v>
      </c>
      <c r="V18" s="61" t="s">
        <v>95</v>
      </c>
    </row>
    <row r="19" customFormat="false" ht="23.85" hidden="false" customHeight="false" outlineLevel="0" collapsed="false">
      <c r="A19" s="20" t="s">
        <v>2454</v>
      </c>
      <c r="B19" s="20" t="s">
        <v>2437</v>
      </c>
      <c r="C19" s="19" t="s">
        <v>607</v>
      </c>
      <c r="D19" s="22" t="s">
        <v>91</v>
      </c>
      <c r="E19" s="19" t="s">
        <v>608</v>
      </c>
      <c r="F19" s="20" t="s">
        <v>2455</v>
      </c>
      <c r="G19" s="20" t="s">
        <v>4399</v>
      </c>
      <c r="H19" s="20" t="s">
        <v>2456</v>
      </c>
      <c r="I19" s="20" t="s">
        <v>76</v>
      </c>
      <c r="J19" s="95" t="n">
        <v>12.2</v>
      </c>
      <c r="K19" s="20" t="s">
        <v>4198</v>
      </c>
      <c r="L19" s="95" t="n">
        <v>24.34</v>
      </c>
      <c r="M19" s="52" t="n">
        <v>49.9</v>
      </c>
      <c r="N19" s="22" t="s">
        <v>4180</v>
      </c>
      <c r="O19" s="22" t="s">
        <v>942</v>
      </c>
      <c r="P19" s="20"/>
      <c r="Q19" s="19"/>
      <c r="R19" s="92"/>
      <c r="S19" s="95" t="str">
        <f aca="false">IF(OR(R19="",J19=""),"",ROUND(J19*(1+R19/100),2))</f>
        <v/>
      </c>
      <c r="T19" s="97" t="n">
        <v>20</v>
      </c>
      <c r="U19" s="20" t="s">
        <v>93</v>
      </c>
      <c r="V19" s="55" t="s">
        <v>95</v>
      </c>
    </row>
    <row r="20" customFormat="false" ht="23.85" hidden="false" customHeight="false" outlineLevel="0" collapsed="false">
      <c r="A20" s="24" t="s">
        <v>2462</v>
      </c>
      <c r="B20" s="24" t="s">
        <v>2437</v>
      </c>
      <c r="C20" s="23" t="s">
        <v>609</v>
      </c>
      <c r="D20" s="26" t="s">
        <v>91</v>
      </c>
      <c r="E20" s="23" t="s">
        <v>610</v>
      </c>
      <c r="F20" s="24"/>
      <c r="G20" s="24"/>
      <c r="H20" s="24" t="s">
        <v>2463</v>
      </c>
      <c r="I20" s="24" t="s">
        <v>80</v>
      </c>
      <c r="J20" s="91" t="n">
        <v>4.83</v>
      </c>
      <c r="K20" s="24" t="s">
        <v>4198</v>
      </c>
      <c r="L20" s="91" t="n">
        <v>10.2</v>
      </c>
      <c r="M20" s="58" t="n">
        <v>52.6</v>
      </c>
      <c r="N20" s="26" t="s">
        <v>4180</v>
      </c>
      <c r="O20" s="26" t="s">
        <v>1085</v>
      </c>
      <c r="P20" s="24" t="s">
        <v>4400</v>
      </c>
      <c r="Q20" s="105" t="s">
        <v>891</v>
      </c>
      <c r="R20" s="92"/>
      <c r="S20" s="91" t="str">
        <f aca="false">IF(OR(R20="",J20=""),"",ROUND(J20*(1+R20/100),2))</f>
        <v/>
      </c>
      <c r="T20" s="93" t="n">
        <v>20</v>
      </c>
      <c r="U20" s="24" t="s">
        <v>303</v>
      </c>
      <c r="V20" s="61" t="s">
        <v>95</v>
      </c>
    </row>
    <row r="21" customFormat="false" ht="23.85" hidden="false" customHeight="false" outlineLevel="0" collapsed="false">
      <c r="A21" s="88" t="s">
        <v>2468</v>
      </c>
      <c r="B21" s="88" t="s">
        <v>2437</v>
      </c>
      <c r="C21" s="89" t="s">
        <v>611</v>
      </c>
      <c r="D21" s="90" t="s">
        <v>91</v>
      </c>
      <c r="E21" s="89" t="s">
        <v>612</v>
      </c>
      <c r="F21" s="88"/>
      <c r="G21" s="88"/>
      <c r="H21" s="88" t="s">
        <v>2469</v>
      </c>
      <c r="I21" s="88" t="s">
        <v>80</v>
      </c>
      <c r="J21" s="98" t="n">
        <v>5.86</v>
      </c>
      <c r="K21" s="88" t="s">
        <v>4233</v>
      </c>
      <c r="L21" s="98" t="n">
        <v>10.19</v>
      </c>
      <c r="M21" s="99" t="n">
        <v>42.5</v>
      </c>
      <c r="N21" s="90" t="s">
        <v>4180</v>
      </c>
      <c r="O21" s="100" t="s">
        <v>963</v>
      </c>
      <c r="P21" s="88"/>
      <c r="Q21" s="101" t="s">
        <v>889</v>
      </c>
      <c r="R21" s="102"/>
      <c r="S21" s="98" t="str">
        <f aca="false">IF(OR(R21="",J21=""),"",ROUND(J21*(1+R21/100),2))</f>
        <v/>
      </c>
      <c r="T21" s="103" t="n">
        <v>20</v>
      </c>
      <c r="U21" s="88" t="s">
        <v>303</v>
      </c>
      <c r="V21" s="104" t="s">
        <v>95</v>
      </c>
    </row>
    <row r="22" customFormat="false" ht="23.85" hidden="false" customHeight="false" outlineLevel="0" collapsed="false">
      <c r="A22" s="24" t="s">
        <v>2477</v>
      </c>
      <c r="B22" s="24" t="s">
        <v>2478</v>
      </c>
      <c r="C22" s="23" t="s">
        <v>613</v>
      </c>
      <c r="D22" s="26" t="s">
        <v>493</v>
      </c>
      <c r="E22" s="23" t="s">
        <v>614</v>
      </c>
      <c r="F22" s="24"/>
      <c r="G22" s="24"/>
      <c r="H22" s="24" t="s">
        <v>2479</v>
      </c>
      <c r="I22" s="74" t="s">
        <v>79</v>
      </c>
      <c r="J22" s="94" t="n">
        <v>1.52</v>
      </c>
      <c r="K22" s="74" t="s">
        <v>943</v>
      </c>
      <c r="L22" s="91"/>
      <c r="M22" s="58"/>
      <c r="N22" s="26" t="s">
        <v>4180</v>
      </c>
      <c r="O22" s="96" t="s">
        <v>1387</v>
      </c>
      <c r="P22" s="24" t="s">
        <v>2480</v>
      </c>
      <c r="Q22" s="23"/>
      <c r="R22" s="92"/>
      <c r="S22" s="91" t="str">
        <f aca="false">IF(OR(R22="",J22=""),"",ROUND(J22*(1+R22/100),2))</f>
        <v/>
      </c>
      <c r="T22" s="93" t="n">
        <v>20</v>
      </c>
      <c r="U22" s="24" t="s">
        <v>313</v>
      </c>
      <c r="V22" s="24"/>
    </row>
    <row r="23" customFormat="false" ht="15" hidden="false" customHeight="false" outlineLevel="0" collapsed="false">
      <c r="A23" s="20" t="s">
        <v>2486</v>
      </c>
      <c r="B23" s="20" t="s">
        <v>2478</v>
      </c>
      <c r="C23" s="19" t="s">
        <v>615</v>
      </c>
      <c r="D23" s="22" t="s">
        <v>556</v>
      </c>
      <c r="E23" s="19" t="s">
        <v>616</v>
      </c>
      <c r="F23" s="20"/>
      <c r="G23" s="20"/>
      <c r="H23" s="20" t="s">
        <v>2489</v>
      </c>
      <c r="I23" s="74" t="s">
        <v>79</v>
      </c>
      <c r="J23" s="94" t="n">
        <v>44.98</v>
      </c>
      <c r="K23" s="74" t="s">
        <v>943</v>
      </c>
      <c r="L23" s="95"/>
      <c r="M23" s="52"/>
      <c r="N23" s="22" t="s">
        <v>4180</v>
      </c>
      <c r="O23" s="96" t="s">
        <v>1387</v>
      </c>
      <c r="P23" s="20" t="s">
        <v>2490</v>
      </c>
      <c r="Q23" s="19"/>
      <c r="R23" s="92"/>
      <c r="S23" s="95" t="str">
        <f aca="false">IF(OR(R23="",J23=""),"",ROUND(J23*(1+R23/100),2))</f>
        <v/>
      </c>
      <c r="T23" s="97" t="n">
        <v>20</v>
      </c>
      <c r="U23" s="20" t="s">
        <v>313</v>
      </c>
      <c r="V23" s="55" t="s">
        <v>95</v>
      </c>
    </row>
    <row r="24" customFormat="false" ht="15" hidden="false" customHeight="false" outlineLevel="0" collapsed="false">
      <c r="A24" s="88" t="s">
        <v>2494</v>
      </c>
      <c r="B24" s="88" t="s">
        <v>2478</v>
      </c>
      <c r="C24" s="89" t="s">
        <v>617</v>
      </c>
      <c r="D24" s="90" t="s">
        <v>374</v>
      </c>
      <c r="E24" s="89" t="s">
        <v>618</v>
      </c>
      <c r="F24" s="88" t="s">
        <v>2495</v>
      </c>
      <c r="G24" s="88" t="s">
        <v>4401</v>
      </c>
      <c r="H24" s="88" t="s">
        <v>2496</v>
      </c>
      <c r="I24" s="88" t="s">
        <v>76</v>
      </c>
      <c r="J24" s="98" t="n">
        <v>6.34</v>
      </c>
      <c r="K24" s="88" t="s">
        <v>939</v>
      </c>
      <c r="L24" s="98"/>
      <c r="M24" s="99"/>
      <c r="N24" s="90" t="s">
        <v>4180</v>
      </c>
      <c r="O24" s="100" t="s">
        <v>963</v>
      </c>
      <c r="P24" s="88"/>
      <c r="Q24" s="101" t="s">
        <v>889</v>
      </c>
      <c r="R24" s="102"/>
      <c r="S24" s="98" t="str">
        <f aca="false">IF(OR(R24="",J24=""),"",ROUND(J24*(1+R24/100),2))</f>
        <v/>
      </c>
      <c r="T24" s="103" t="n">
        <v>20</v>
      </c>
      <c r="U24" s="88" t="s">
        <v>93</v>
      </c>
      <c r="V24" s="104" t="s">
        <v>95</v>
      </c>
    </row>
  </sheetData>
  <autoFilter ref="A1:V24"/>
  <hyperlinks>
    <hyperlink ref="V2" r:id="rId1" display="Voir la fiche"/>
    <hyperlink ref="V3" r:id="rId2" display="Voir la fiche"/>
    <hyperlink ref="V4" r:id="rId3" display="Voir la fiche"/>
    <hyperlink ref="V5" r:id="rId4" display="Voir la fiche"/>
    <hyperlink ref="V6" r:id="rId5" display="Voir la fiche"/>
    <hyperlink ref="V7" r:id="rId6" display="Voir la fiche"/>
    <hyperlink ref="V8" r:id="rId7" display="Voir la fiche"/>
    <hyperlink ref="V9" r:id="rId8" display="Voir la fiche"/>
    <hyperlink ref="V11" r:id="rId9" display="Voir la fiche"/>
    <hyperlink ref="V12" r:id="rId10" display="Voir la fiche"/>
    <hyperlink ref="V13" r:id="rId11" display="Voir la fiche"/>
    <hyperlink ref="V14" r:id="rId12" display="Voir la fiche"/>
    <hyperlink ref="V15" r:id="rId13" display="Voir la fiche"/>
    <hyperlink ref="V16" r:id="rId14" display="Voir la fiche"/>
    <hyperlink ref="V17" r:id="rId15" display="Voir la fiche"/>
    <hyperlink ref="V18" r:id="rId16" display="Voir la fiche"/>
    <hyperlink ref="V19" r:id="rId17" display="Voir la fiche"/>
    <hyperlink ref="V20" r:id="rId18" display="Voir la fiche"/>
    <hyperlink ref="V21" r:id="rId19" display="Voir la fiche"/>
    <hyperlink ref="V23" r:id="rId20" display="Voir la fiche"/>
    <hyperlink ref="V24" r:id="rId21"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2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0522D"/>
    <pageSetUpPr fitToPage="true"/>
  </sheetPr>
  <dimension ref="A1:V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23.85" hidden="false" customHeight="false" outlineLevel="0" collapsed="false">
      <c r="A2" s="24" t="s">
        <v>2503</v>
      </c>
      <c r="B2" s="24" t="s">
        <v>2504</v>
      </c>
      <c r="C2" s="23" t="s">
        <v>619</v>
      </c>
      <c r="D2" s="26" t="s">
        <v>493</v>
      </c>
      <c r="E2" s="23" t="s">
        <v>620</v>
      </c>
      <c r="F2" s="24" t="s">
        <v>2505</v>
      </c>
      <c r="G2" s="24"/>
      <c r="H2" s="24" t="s">
        <v>2506</v>
      </c>
      <c r="I2" s="74" t="s">
        <v>81</v>
      </c>
      <c r="J2" s="94" t="n">
        <v>19.07</v>
      </c>
      <c r="K2" s="74" t="s">
        <v>4241</v>
      </c>
      <c r="L2" s="91" t="n">
        <v>23.2</v>
      </c>
      <c r="M2" s="58" t="n">
        <v>17.8</v>
      </c>
      <c r="N2" s="26" t="s">
        <v>4180</v>
      </c>
      <c r="O2" s="96" t="s">
        <v>1007</v>
      </c>
      <c r="P2" s="24"/>
      <c r="Q2" s="23"/>
      <c r="R2" s="92"/>
      <c r="S2" s="91" t="str">
        <f aca="false">IF(OR(R2="",J2=""),"",ROUND(J2*(1+R2/100),2))</f>
        <v/>
      </c>
      <c r="T2" s="93" t="n">
        <v>20</v>
      </c>
      <c r="U2" s="24" t="s">
        <v>169</v>
      </c>
      <c r="V2" s="61" t="s">
        <v>95</v>
      </c>
    </row>
    <row r="3" customFormat="false" ht="15" hidden="false" customHeight="false" outlineLevel="0" collapsed="false">
      <c r="A3" s="88" t="s">
        <v>2509</v>
      </c>
      <c r="B3" s="88" t="s">
        <v>2504</v>
      </c>
      <c r="C3" s="89" t="s">
        <v>621</v>
      </c>
      <c r="D3" s="90" t="s">
        <v>493</v>
      </c>
      <c r="E3" s="89" t="s">
        <v>622</v>
      </c>
      <c r="F3" s="88"/>
      <c r="G3" s="88"/>
      <c r="H3" s="88" t="s">
        <v>2513</v>
      </c>
      <c r="I3" s="88" t="s">
        <v>80</v>
      </c>
      <c r="J3" s="98" t="n">
        <v>24.13</v>
      </c>
      <c r="K3" s="88" t="s">
        <v>939</v>
      </c>
      <c r="L3" s="98"/>
      <c r="M3" s="99"/>
      <c r="N3" s="90" t="s">
        <v>4180</v>
      </c>
      <c r="O3" s="100" t="s">
        <v>963</v>
      </c>
      <c r="P3" s="88"/>
      <c r="Q3" s="101" t="s">
        <v>889</v>
      </c>
      <c r="R3" s="102"/>
      <c r="S3" s="98" t="str">
        <f aca="false">IF(OR(R3="",J3=""),"",ROUND(J3*(1+R3/100),2))</f>
        <v/>
      </c>
      <c r="T3" s="103" t="n">
        <v>20</v>
      </c>
      <c r="U3" s="88" t="s">
        <v>303</v>
      </c>
      <c r="V3" s="104" t="s">
        <v>95</v>
      </c>
    </row>
    <row r="4" customFormat="false" ht="23.85" hidden="false" customHeight="false" outlineLevel="0" collapsed="false">
      <c r="A4" s="88" t="s">
        <v>2514</v>
      </c>
      <c r="B4" s="88" t="s">
        <v>2504</v>
      </c>
      <c r="C4" s="89" t="s">
        <v>623</v>
      </c>
      <c r="D4" s="90" t="s">
        <v>137</v>
      </c>
      <c r="E4" s="89" t="s">
        <v>624</v>
      </c>
      <c r="F4" s="88"/>
      <c r="G4" s="88"/>
      <c r="H4" s="88" t="s">
        <v>2519</v>
      </c>
      <c r="I4" s="88" t="s">
        <v>80</v>
      </c>
      <c r="J4" s="98" t="n">
        <v>8.1</v>
      </c>
      <c r="K4" s="88" t="s">
        <v>939</v>
      </c>
      <c r="L4" s="98"/>
      <c r="M4" s="99"/>
      <c r="N4" s="90" t="s">
        <v>4180</v>
      </c>
      <c r="O4" s="100" t="s">
        <v>963</v>
      </c>
      <c r="P4" s="88"/>
      <c r="Q4" s="101" t="s">
        <v>889</v>
      </c>
      <c r="R4" s="102"/>
      <c r="S4" s="98" t="str">
        <f aca="false">IF(OR(R4="",J4=""),"",ROUND(J4*(1+R4/100),2))</f>
        <v/>
      </c>
      <c r="T4" s="103" t="n">
        <v>20</v>
      </c>
      <c r="U4" s="88" t="s">
        <v>303</v>
      </c>
      <c r="V4" s="104" t="s">
        <v>95</v>
      </c>
    </row>
    <row r="5" customFormat="false" ht="15" hidden="false" customHeight="false" outlineLevel="0" collapsed="false">
      <c r="A5" s="20" t="s">
        <v>2520</v>
      </c>
      <c r="B5" s="20" t="s">
        <v>2504</v>
      </c>
      <c r="C5" s="19" t="s">
        <v>625</v>
      </c>
      <c r="D5" s="22" t="s">
        <v>553</v>
      </c>
      <c r="E5" s="19" t="s">
        <v>626</v>
      </c>
      <c r="F5" s="20"/>
      <c r="G5" s="20"/>
      <c r="H5" s="20" t="s">
        <v>2524</v>
      </c>
      <c r="I5" s="74" t="s">
        <v>79</v>
      </c>
      <c r="J5" s="94" t="n">
        <v>15.3</v>
      </c>
      <c r="K5" s="74" t="s">
        <v>4182</v>
      </c>
      <c r="L5" s="95" t="n">
        <v>64.25</v>
      </c>
      <c r="M5" s="52" t="n">
        <v>76.2</v>
      </c>
      <c r="N5" s="22" t="s">
        <v>4180</v>
      </c>
      <c r="O5" s="96" t="s">
        <v>1016</v>
      </c>
      <c r="P5" s="20" t="s">
        <v>4402</v>
      </c>
      <c r="Q5" s="106" t="s">
        <v>889</v>
      </c>
      <c r="R5" s="92"/>
      <c r="S5" s="95" t="str">
        <f aca="false">IF(OR(R5="",J5=""),"",ROUND(J5*(1+R5/100),2))</f>
        <v/>
      </c>
      <c r="T5" s="97" t="n">
        <v>20</v>
      </c>
      <c r="U5" s="20" t="s">
        <v>313</v>
      </c>
      <c r="V5" s="55" t="s">
        <v>95</v>
      </c>
    </row>
    <row r="6" customFormat="false" ht="15" hidden="false" customHeight="false" outlineLevel="0" collapsed="false">
      <c r="A6" s="24" t="s">
        <v>2531</v>
      </c>
      <c r="B6" s="24" t="s">
        <v>2504</v>
      </c>
      <c r="C6" s="23" t="s">
        <v>627</v>
      </c>
      <c r="D6" s="26" t="s">
        <v>553</v>
      </c>
      <c r="E6" s="23" t="s">
        <v>628</v>
      </c>
      <c r="F6" s="24" t="s">
        <v>2256</v>
      </c>
      <c r="G6" s="24" t="s">
        <v>4403</v>
      </c>
      <c r="H6" s="24" t="s">
        <v>2535</v>
      </c>
      <c r="I6" s="24" t="s">
        <v>76</v>
      </c>
      <c r="J6" s="91" t="n">
        <v>13.54</v>
      </c>
      <c r="K6" s="24" t="s">
        <v>939</v>
      </c>
      <c r="L6" s="91"/>
      <c r="M6" s="58"/>
      <c r="N6" s="26" t="s">
        <v>4180</v>
      </c>
      <c r="O6" s="26" t="s">
        <v>942</v>
      </c>
      <c r="P6" s="24" t="s">
        <v>4404</v>
      </c>
      <c r="Q6" s="23"/>
      <c r="R6" s="92"/>
      <c r="S6" s="91" t="str">
        <f aca="false">IF(OR(R6="",J6=""),"",ROUND(J6*(1+R6/100),2))</f>
        <v/>
      </c>
      <c r="T6" s="93" t="n">
        <v>20</v>
      </c>
      <c r="U6" s="24" t="s">
        <v>93</v>
      </c>
      <c r="V6" s="61" t="s">
        <v>95</v>
      </c>
    </row>
    <row r="7" customFormat="false" ht="15" hidden="false" customHeight="false" outlineLevel="0" collapsed="false">
      <c r="A7" s="88" t="s">
        <v>2538</v>
      </c>
      <c r="B7" s="88" t="s">
        <v>2504</v>
      </c>
      <c r="C7" s="89" t="s">
        <v>629</v>
      </c>
      <c r="D7" s="90" t="s">
        <v>188</v>
      </c>
      <c r="E7" s="89" t="s">
        <v>630</v>
      </c>
      <c r="F7" s="88" t="s">
        <v>2533</v>
      </c>
      <c r="G7" s="88" t="s">
        <v>4405</v>
      </c>
      <c r="H7" s="88" t="s">
        <v>2539</v>
      </c>
      <c r="I7" s="88" t="s">
        <v>76</v>
      </c>
      <c r="J7" s="98" t="n">
        <v>3.24</v>
      </c>
      <c r="K7" s="88" t="s">
        <v>939</v>
      </c>
      <c r="L7" s="98"/>
      <c r="M7" s="99"/>
      <c r="N7" s="90" t="s">
        <v>4180</v>
      </c>
      <c r="O7" s="100" t="s">
        <v>963</v>
      </c>
      <c r="P7" s="88" t="s">
        <v>2540</v>
      </c>
      <c r="Q7" s="101" t="s">
        <v>889</v>
      </c>
      <c r="R7" s="102"/>
      <c r="S7" s="98" t="str">
        <f aca="false">IF(OR(R7="",J7=""),"",ROUND(J7*(1+R7/100),2))</f>
        <v/>
      </c>
      <c r="T7" s="103" t="n">
        <v>20</v>
      </c>
      <c r="U7" s="88" t="s">
        <v>93</v>
      </c>
      <c r="V7" s="104" t="s">
        <v>95</v>
      </c>
    </row>
    <row r="8" customFormat="false" ht="23.85" hidden="false" customHeight="false" outlineLevel="0" collapsed="false">
      <c r="A8" s="24" t="s">
        <v>2546</v>
      </c>
      <c r="B8" s="24" t="s">
        <v>2504</v>
      </c>
      <c r="C8" s="23" t="s">
        <v>631</v>
      </c>
      <c r="D8" s="26" t="s">
        <v>493</v>
      </c>
      <c r="E8" s="23" t="s">
        <v>632</v>
      </c>
      <c r="F8" s="24"/>
      <c r="G8" s="24"/>
      <c r="H8" s="24" t="s">
        <v>2547</v>
      </c>
      <c r="I8" s="24" t="s">
        <v>80</v>
      </c>
      <c r="J8" s="91" t="n">
        <v>16.56</v>
      </c>
      <c r="K8" s="24" t="s">
        <v>939</v>
      </c>
      <c r="L8" s="91"/>
      <c r="M8" s="58"/>
      <c r="N8" s="26" t="s">
        <v>4180</v>
      </c>
      <c r="O8" s="26" t="s">
        <v>942</v>
      </c>
      <c r="P8" s="24"/>
      <c r="Q8" s="23"/>
      <c r="R8" s="92"/>
      <c r="S8" s="91" t="str">
        <f aca="false">IF(OR(R8="",J8=""),"",ROUND(J8*(1+R8/100),2))</f>
        <v/>
      </c>
      <c r="T8" s="93" t="n">
        <v>20</v>
      </c>
      <c r="U8" s="24" t="s">
        <v>303</v>
      </c>
      <c r="V8" s="61" t="s">
        <v>95</v>
      </c>
    </row>
    <row r="9" customFormat="false" ht="23.85" hidden="false" customHeight="false" outlineLevel="0" collapsed="false">
      <c r="A9" s="20" t="s">
        <v>2553</v>
      </c>
      <c r="B9" s="20" t="s">
        <v>2504</v>
      </c>
      <c r="C9" s="19" t="s">
        <v>633</v>
      </c>
      <c r="D9" s="22" t="s">
        <v>634</v>
      </c>
      <c r="E9" s="19" t="s">
        <v>635</v>
      </c>
      <c r="F9" s="20"/>
      <c r="G9" s="20"/>
      <c r="H9" s="20" t="s">
        <v>2554</v>
      </c>
      <c r="I9" s="20" t="s">
        <v>80</v>
      </c>
      <c r="J9" s="95" t="n">
        <v>148.73</v>
      </c>
      <c r="K9" s="20" t="s">
        <v>939</v>
      </c>
      <c r="L9" s="95"/>
      <c r="M9" s="52"/>
      <c r="N9" s="22" t="s">
        <v>4180</v>
      </c>
      <c r="O9" s="22" t="s">
        <v>1085</v>
      </c>
      <c r="P9" s="20" t="s">
        <v>2555</v>
      </c>
      <c r="Q9" s="19"/>
      <c r="R9" s="92"/>
      <c r="S9" s="95" t="str">
        <f aca="false">IF(OR(R9="",J9=""),"",ROUND(J9*(1+R9/100),2))</f>
        <v/>
      </c>
      <c r="T9" s="97" t="n">
        <v>20</v>
      </c>
      <c r="U9" s="20" t="s">
        <v>303</v>
      </c>
      <c r="V9" s="55" t="s">
        <v>95</v>
      </c>
    </row>
    <row r="10" customFormat="false" ht="15" hidden="false" customHeight="false" outlineLevel="0" collapsed="false">
      <c r="A10" s="24" t="s">
        <v>2558</v>
      </c>
      <c r="B10" s="24" t="s">
        <v>2559</v>
      </c>
      <c r="C10" s="23" t="s">
        <v>636</v>
      </c>
      <c r="D10" s="26" t="s">
        <v>493</v>
      </c>
      <c r="E10" s="23" t="s">
        <v>637</v>
      </c>
      <c r="F10" s="24" t="s">
        <v>2560</v>
      </c>
      <c r="G10" s="24" t="s">
        <v>4406</v>
      </c>
      <c r="H10" s="24" t="s">
        <v>2561</v>
      </c>
      <c r="I10" s="24" t="s">
        <v>76</v>
      </c>
      <c r="J10" s="91" t="n">
        <v>7.69</v>
      </c>
      <c r="K10" s="24" t="s">
        <v>4179</v>
      </c>
      <c r="L10" s="91" t="n">
        <v>19.72</v>
      </c>
      <c r="M10" s="58" t="n">
        <v>61</v>
      </c>
      <c r="N10" s="26" t="s">
        <v>4180</v>
      </c>
      <c r="O10" s="26" t="s">
        <v>942</v>
      </c>
      <c r="P10" s="24"/>
      <c r="Q10" s="23"/>
      <c r="R10" s="92"/>
      <c r="S10" s="91" t="str">
        <f aca="false">IF(OR(R10="",J10=""),"",ROUND(J10*(1+R10/100),2))</f>
        <v/>
      </c>
      <c r="T10" s="93" t="n">
        <v>20</v>
      </c>
      <c r="U10" s="24" t="s">
        <v>93</v>
      </c>
      <c r="V10" s="61" t="s">
        <v>95</v>
      </c>
    </row>
    <row r="11" customFormat="false" ht="23.85" hidden="false" customHeight="false" outlineLevel="0" collapsed="false">
      <c r="A11" s="20" t="s">
        <v>2569</v>
      </c>
      <c r="B11" s="20" t="s">
        <v>2559</v>
      </c>
      <c r="C11" s="19" t="s">
        <v>638</v>
      </c>
      <c r="D11" s="22" t="s">
        <v>493</v>
      </c>
      <c r="E11" s="19" t="s">
        <v>639</v>
      </c>
      <c r="F11" s="20" t="s">
        <v>2377</v>
      </c>
      <c r="G11" s="20" t="s">
        <v>4407</v>
      </c>
      <c r="H11" s="20" t="s">
        <v>2570</v>
      </c>
      <c r="I11" s="74" t="s">
        <v>81</v>
      </c>
      <c r="J11" s="94" t="n">
        <v>9.05</v>
      </c>
      <c r="K11" s="74" t="s">
        <v>979</v>
      </c>
      <c r="L11" s="95" t="n">
        <v>9.96</v>
      </c>
      <c r="M11" s="52" t="n">
        <v>9.1</v>
      </c>
      <c r="N11" s="22" t="s">
        <v>4180</v>
      </c>
      <c r="O11" s="96" t="s">
        <v>1007</v>
      </c>
      <c r="P11" s="20" t="s">
        <v>4408</v>
      </c>
      <c r="Q11" s="19"/>
      <c r="R11" s="92"/>
      <c r="S11" s="95" t="str">
        <f aca="false">IF(OR(R11="",J11=""),"",ROUND(J11*(1+R11/100),2))</f>
        <v/>
      </c>
      <c r="T11" s="97" t="n">
        <v>20</v>
      </c>
      <c r="U11" s="20" t="s">
        <v>169</v>
      </c>
      <c r="V11" s="55" t="s">
        <v>95</v>
      </c>
    </row>
    <row r="12" customFormat="false" ht="22.35" hidden="false" customHeight="false" outlineLevel="0" collapsed="false">
      <c r="A12" s="85" t="s">
        <v>4409</v>
      </c>
      <c r="B12" s="85" t="s">
        <v>2559</v>
      </c>
      <c r="C12" s="86" t="s">
        <v>915</v>
      </c>
      <c r="D12" s="87" t="s">
        <v>493</v>
      </c>
      <c r="E12" s="86"/>
      <c r="F12" s="85"/>
      <c r="G12" s="85"/>
      <c r="H12" s="85"/>
      <c r="I12" s="85" t="s">
        <v>894</v>
      </c>
      <c r="J12" s="107"/>
      <c r="K12" s="85"/>
      <c r="L12" s="107"/>
      <c r="M12" s="108"/>
      <c r="N12" s="87"/>
      <c r="O12" s="109" t="s">
        <v>52</v>
      </c>
      <c r="P12" s="85"/>
      <c r="Q12" s="110" t="s">
        <v>895</v>
      </c>
      <c r="R12" s="111"/>
      <c r="S12" s="107" t="str">
        <f aca="false">IF(OR(R12="",J12=""),"",ROUND(J12*(1+R12/100),2))</f>
        <v/>
      </c>
      <c r="T12" s="112" t="n">
        <v>20</v>
      </c>
      <c r="U12" s="85"/>
      <c r="V12" s="85"/>
    </row>
    <row r="13" customFormat="false" ht="22.35" hidden="false" customHeight="false" outlineLevel="0" collapsed="false">
      <c r="A13" s="85" t="s">
        <v>4410</v>
      </c>
      <c r="B13" s="85" t="s">
        <v>2559</v>
      </c>
      <c r="C13" s="86" t="s">
        <v>916</v>
      </c>
      <c r="D13" s="87" t="s">
        <v>493</v>
      </c>
      <c r="E13" s="86"/>
      <c r="F13" s="85"/>
      <c r="G13" s="85"/>
      <c r="H13" s="85"/>
      <c r="I13" s="85" t="s">
        <v>894</v>
      </c>
      <c r="J13" s="107"/>
      <c r="K13" s="85"/>
      <c r="L13" s="107"/>
      <c r="M13" s="108"/>
      <c r="N13" s="87"/>
      <c r="O13" s="109" t="s">
        <v>52</v>
      </c>
      <c r="P13" s="85"/>
      <c r="Q13" s="110" t="s">
        <v>895</v>
      </c>
      <c r="R13" s="111"/>
      <c r="S13" s="107" t="str">
        <f aca="false">IF(OR(R13="",J13=""),"",ROUND(J13*(1+R13/100),2))</f>
        <v/>
      </c>
      <c r="T13" s="112" t="n">
        <v>20</v>
      </c>
      <c r="U13" s="85"/>
      <c r="V13" s="85"/>
    </row>
    <row r="14" customFormat="false" ht="22.35" hidden="false" customHeight="false" outlineLevel="0" collapsed="false">
      <c r="A14" s="85" t="s">
        <v>4411</v>
      </c>
      <c r="B14" s="85" t="s">
        <v>2559</v>
      </c>
      <c r="C14" s="86" t="s">
        <v>917</v>
      </c>
      <c r="D14" s="87" t="s">
        <v>556</v>
      </c>
      <c r="E14" s="86"/>
      <c r="F14" s="85"/>
      <c r="G14" s="85"/>
      <c r="H14" s="85"/>
      <c r="I14" s="85" t="s">
        <v>894</v>
      </c>
      <c r="J14" s="107"/>
      <c r="K14" s="85"/>
      <c r="L14" s="107"/>
      <c r="M14" s="108"/>
      <c r="N14" s="87"/>
      <c r="O14" s="109" t="s">
        <v>52</v>
      </c>
      <c r="P14" s="85"/>
      <c r="Q14" s="110" t="s">
        <v>895</v>
      </c>
      <c r="R14" s="111"/>
      <c r="S14" s="107" t="str">
        <f aca="false">IF(OR(R14="",J14=""),"",ROUND(J14*(1+R14/100),2))</f>
        <v/>
      </c>
      <c r="T14" s="112" t="n">
        <v>20</v>
      </c>
      <c r="U14" s="85"/>
      <c r="V14" s="85"/>
    </row>
    <row r="15" customFormat="false" ht="23.85" hidden="false" customHeight="false" outlineLevel="0" collapsed="false">
      <c r="A15" s="88" t="s">
        <v>2577</v>
      </c>
      <c r="B15" s="88" t="s">
        <v>2559</v>
      </c>
      <c r="C15" s="89" t="s">
        <v>640</v>
      </c>
      <c r="D15" s="90" t="s">
        <v>137</v>
      </c>
      <c r="E15" s="89" t="s">
        <v>641</v>
      </c>
      <c r="F15" s="88" t="s">
        <v>1293</v>
      </c>
      <c r="G15" s="88" t="s">
        <v>4412</v>
      </c>
      <c r="H15" s="88" t="s">
        <v>2580</v>
      </c>
      <c r="I15" s="88" t="s">
        <v>76</v>
      </c>
      <c r="J15" s="98" t="n">
        <v>4.38</v>
      </c>
      <c r="K15" s="88" t="s">
        <v>4179</v>
      </c>
      <c r="L15" s="98" t="n">
        <v>4.99</v>
      </c>
      <c r="M15" s="99" t="n">
        <v>12.2</v>
      </c>
      <c r="N15" s="90" t="s">
        <v>4180</v>
      </c>
      <c r="O15" s="100" t="s">
        <v>963</v>
      </c>
      <c r="P15" s="88"/>
      <c r="Q15" s="101" t="s">
        <v>889</v>
      </c>
      <c r="R15" s="102"/>
      <c r="S15" s="98" t="str">
        <f aca="false">IF(OR(R15="",J15=""),"",ROUND(J15*(1+R15/100),2))</f>
        <v/>
      </c>
      <c r="T15" s="103" t="n">
        <v>20</v>
      </c>
      <c r="U15" s="88" t="s">
        <v>93</v>
      </c>
      <c r="V15" s="104" t="s">
        <v>95</v>
      </c>
    </row>
    <row r="16" customFormat="false" ht="23.85" hidden="false" customHeight="false" outlineLevel="0" collapsed="false">
      <c r="A16" s="24" t="s">
        <v>2585</v>
      </c>
      <c r="B16" s="24" t="s">
        <v>2559</v>
      </c>
      <c r="C16" s="23" t="s">
        <v>642</v>
      </c>
      <c r="D16" s="26" t="s">
        <v>91</v>
      </c>
      <c r="E16" s="23" t="s">
        <v>643</v>
      </c>
      <c r="F16" s="24" t="s">
        <v>2036</v>
      </c>
      <c r="G16" s="24" t="s">
        <v>4413</v>
      </c>
      <c r="H16" s="24" t="s">
        <v>2586</v>
      </c>
      <c r="I16" s="74" t="s">
        <v>81</v>
      </c>
      <c r="J16" s="94" t="n">
        <v>8.32</v>
      </c>
      <c r="K16" s="74" t="s">
        <v>4215</v>
      </c>
      <c r="L16" s="91" t="n">
        <v>20.45</v>
      </c>
      <c r="M16" s="58" t="n">
        <v>59.3</v>
      </c>
      <c r="N16" s="26" t="s">
        <v>4180</v>
      </c>
      <c r="O16" s="96" t="s">
        <v>1007</v>
      </c>
      <c r="P16" s="24"/>
      <c r="Q16" s="23"/>
      <c r="R16" s="92"/>
      <c r="S16" s="91" t="str">
        <f aca="false">IF(OR(R16="",J16=""),"",ROUND(J16*(1+R16/100),2))</f>
        <v/>
      </c>
      <c r="T16" s="93" t="n">
        <v>20</v>
      </c>
      <c r="U16" s="24" t="s">
        <v>169</v>
      </c>
      <c r="V16" s="61" t="s">
        <v>95</v>
      </c>
    </row>
    <row r="17" customFormat="false" ht="23.85" hidden="false" customHeight="false" outlineLevel="0" collapsed="false">
      <c r="A17" s="20" t="s">
        <v>2593</v>
      </c>
      <c r="B17" s="20" t="s">
        <v>2594</v>
      </c>
      <c r="C17" s="19" t="s">
        <v>644</v>
      </c>
      <c r="D17" s="22" t="s">
        <v>553</v>
      </c>
      <c r="E17" s="19" t="s">
        <v>645</v>
      </c>
      <c r="F17" s="20"/>
      <c r="G17" s="20"/>
      <c r="H17" s="20" t="s">
        <v>2597</v>
      </c>
      <c r="I17" s="74" t="s">
        <v>79</v>
      </c>
      <c r="J17" s="94" t="n">
        <v>15.75</v>
      </c>
      <c r="K17" s="74" t="s">
        <v>943</v>
      </c>
      <c r="L17" s="95"/>
      <c r="M17" s="52"/>
      <c r="N17" s="22" t="s">
        <v>4180</v>
      </c>
      <c r="O17" s="96" t="s">
        <v>1387</v>
      </c>
      <c r="P17" s="20" t="s">
        <v>4402</v>
      </c>
      <c r="Q17" s="19"/>
      <c r="R17" s="92"/>
      <c r="S17" s="95" t="str">
        <f aca="false">IF(OR(R17="",J17=""),"",ROUND(J17*(1+R17/100),2))</f>
        <v/>
      </c>
      <c r="T17" s="97" t="n">
        <v>20</v>
      </c>
      <c r="U17" s="20" t="s">
        <v>313</v>
      </c>
      <c r="V17" s="55" t="s">
        <v>95</v>
      </c>
    </row>
    <row r="18" customFormat="false" ht="23.85" hidden="false" customHeight="false" outlineLevel="0" collapsed="false">
      <c r="A18" s="88" t="s">
        <v>2600</v>
      </c>
      <c r="B18" s="88" t="s">
        <v>2594</v>
      </c>
      <c r="C18" s="89" t="s">
        <v>646</v>
      </c>
      <c r="D18" s="90" t="s">
        <v>647</v>
      </c>
      <c r="E18" s="89" t="s">
        <v>648</v>
      </c>
      <c r="F18" s="88" t="s">
        <v>2604</v>
      </c>
      <c r="G18" s="88" t="s">
        <v>4414</v>
      </c>
      <c r="H18" s="88" t="s">
        <v>2605</v>
      </c>
      <c r="I18" s="88" t="s">
        <v>76</v>
      </c>
      <c r="J18" s="98" t="n">
        <v>23.05</v>
      </c>
      <c r="K18" s="88" t="s">
        <v>939</v>
      </c>
      <c r="L18" s="98"/>
      <c r="M18" s="99"/>
      <c r="N18" s="90" t="s">
        <v>4180</v>
      </c>
      <c r="O18" s="100" t="s">
        <v>963</v>
      </c>
      <c r="P18" s="88"/>
      <c r="Q18" s="101" t="s">
        <v>889</v>
      </c>
      <c r="R18" s="102"/>
      <c r="S18" s="98" t="str">
        <f aca="false">IF(OR(R18="",J18=""),"",ROUND(J18*(1+R18/100),2))</f>
        <v/>
      </c>
      <c r="T18" s="103" t="n">
        <v>20</v>
      </c>
      <c r="U18" s="88" t="s">
        <v>93</v>
      </c>
      <c r="V18" s="104" t="s">
        <v>95</v>
      </c>
    </row>
  </sheetData>
  <autoFilter ref="A1:V18"/>
  <hyperlinks>
    <hyperlink ref="V2" r:id="rId1" display="Voir la fiche"/>
    <hyperlink ref="V3" r:id="rId2" display="Voir la fiche"/>
    <hyperlink ref="V4" r:id="rId3" display="Voir la fiche"/>
    <hyperlink ref="V5" r:id="rId4" display="Voir la fiche"/>
    <hyperlink ref="V6" r:id="rId5" display="Voir la fiche"/>
    <hyperlink ref="V7" r:id="rId6" display="Voir la fiche"/>
    <hyperlink ref="V8" r:id="rId7" display="Voir la fiche"/>
    <hyperlink ref="V9" r:id="rId8" display="Voir la fiche"/>
    <hyperlink ref="V10" r:id="rId9" display="Voir la fiche"/>
    <hyperlink ref="V11" r:id="rId10" display="Voir la fiche"/>
    <hyperlink ref="V15" r:id="rId11" display="Voir la fiche"/>
    <hyperlink ref="V16" r:id="rId12" display="Voir la fiche"/>
    <hyperlink ref="V17" r:id="rId13" display="Voir la fiche"/>
    <hyperlink ref="V18" r:id="rId14"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76F4C"/>
    <pageSetUpPr fitToPage="true"/>
  </sheetPr>
  <dimension ref="A1:V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23.85" hidden="false" customHeight="false" outlineLevel="0" collapsed="false">
      <c r="A2" s="24" t="s">
        <v>2610</v>
      </c>
      <c r="B2" s="24" t="s">
        <v>2611</v>
      </c>
      <c r="C2" s="23" t="s">
        <v>649</v>
      </c>
      <c r="D2" s="26" t="s">
        <v>91</v>
      </c>
      <c r="E2" s="23" t="s">
        <v>650</v>
      </c>
      <c r="F2" s="24" t="s">
        <v>2612</v>
      </c>
      <c r="G2" s="24"/>
      <c r="H2" s="24" t="s">
        <v>2613</v>
      </c>
      <c r="I2" s="74" t="s">
        <v>81</v>
      </c>
      <c r="J2" s="94" t="n">
        <v>56.03</v>
      </c>
      <c r="K2" s="74" t="s">
        <v>4215</v>
      </c>
      <c r="L2" s="91" t="n">
        <v>55.6</v>
      </c>
      <c r="M2" s="58"/>
      <c r="N2" s="26" t="s">
        <v>4180</v>
      </c>
      <c r="O2" s="96" t="s">
        <v>1007</v>
      </c>
      <c r="P2" s="24"/>
      <c r="Q2" s="23"/>
      <c r="R2" s="92"/>
      <c r="S2" s="91" t="str">
        <f aca="false">IF(OR(R2="",J2=""),"",ROUND(J2*(1+R2/100),2))</f>
        <v/>
      </c>
      <c r="T2" s="93" t="n">
        <v>20</v>
      </c>
      <c r="U2" s="24" t="s">
        <v>119</v>
      </c>
      <c r="V2" s="61" t="s">
        <v>95</v>
      </c>
    </row>
    <row r="3" customFormat="false" ht="35.05" hidden="false" customHeight="false" outlineLevel="0" collapsed="false">
      <c r="A3" s="20" t="s">
        <v>2620</v>
      </c>
      <c r="B3" s="20" t="s">
        <v>2611</v>
      </c>
      <c r="C3" s="19" t="s">
        <v>651</v>
      </c>
      <c r="D3" s="22" t="s">
        <v>91</v>
      </c>
      <c r="E3" s="19" t="s">
        <v>652</v>
      </c>
      <c r="F3" s="20" t="s">
        <v>1987</v>
      </c>
      <c r="G3" s="20" t="s">
        <v>4415</v>
      </c>
      <c r="H3" s="20" t="s">
        <v>2621</v>
      </c>
      <c r="I3" s="74" t="s">
        <v>81</v>
      </c>
      <c r="J3" s="94" t="n">
        <v>98.43</v>
      </c>
      <c r="K3" s="74" t="s">
        <v>4191</v>
      </c>
      <c r="L3" s="95" t="n">
        <v>108.89</v>
      </c>
      <c r="M3" s="52" t="n">
        <v>9.6</v>
      </c>
      <c r="N3" s="22" t="s">
        <v>4180</v>
      </c>
      <c r="O3" s="96" t="s">
        <v>1016</v>
      </c>
      <c r="P3" s="20"/>
      <c r="Q3" s="106" t="s">
        <v>889</v>
      </c>
      <c r="R3" s="92"/>
      <c r="S3" s="95" t="str">
        <f aca="false">IF(OR(R3="",J3=""),"",ROUND(J3*(1+R3/100),2))</f>
        <v/>
      </c>
      <c r="T3" s="97" t="n">
        <v>20</v>
      </c>
      <c r="U3" s="20" t="s">
        <v>169</v>
      </c>
      <c r="V3" s="55" t="s">
        <v>95</v>
      </c>
    </row>
    <row r="4" customFormat="false" ht="35.05" hidden="false" customHeight="false" outlineLevel="0" collapsed="false">
      <c r="A4" s="24" t="s">
        <v>2626</v>
      </c>
      <c r="B4" s="24" t="s">
        <v>2611</v>
      </c>
      <c r="C4" s="23" t="s">
        <v>653</v>
      </c>
      <c r="D4" s="26" t="s">
        <v>91</v>
      </c>
      <c r="E4" s="23" t="s">
        <v>654</v>
      </c>
      <c r="F4" s="24" t="s">
        <v>2627</v>
      </c>
      <c r="G4" s="24" t="s">
        <v>4416</v>
      </c>
      <c r="H4" s="24" t="s">
        <v>2628</v>
      </c>
      <c r="I4" s="74" t="s">
        <v>81</v>
      </c>
      <c r="J4" s="94" t="n">
        <v>186.2</v>
      </c>
      <c r="K4" s="74" t="s">
        <v>4241</v>
      </c>
      <c r="L4" s="91" t="n">
        <v>202.39</v>
      </c>
      <c r="M4" s="58" t="n">
        <v>8</v>
      </c>
      <c r="N4" s="26" t="s">
        <v>4180</v>
      </c>
      <c r="O4" s="96" t="s">
        <v>1007</v>
      </c>
      <c r="P4" s="24"/>
      <c r="Q4" s="23"/>
      <c r="R4" s="92"/>
      <c r="S4" s="91" t="str">
        <f aca="false">IF(OR(R4="",J4=""),"",ROUND(J4*(1+R4/100),2))</f>
        <v/>
      </c>
      <c r="T4" s="93" t="n">
        <v>20</v>
      </c>
      <c r="U4" s="24" t="s">
        <v>169</v>
      </c>
      <c r="V4" s="61" t="s">
        <v>95</v>
      </c>
    </row>
    <row r="5" customFormat="false" ht="23.85" hidden="false" customHeight="false" outlineLevel="0" collapsed="false">
      <c r="A5" s="88" t="s">
        <v>2631</v>
      </c>
      <c r="B5" s="88" t="s">
        <v>2611</v>
      </c>
      <c r="C5" s="89" t="s">
        <v>655</v>
      </c>
      <c r="D5" s="90" t="s">
        <v>91</v>
      </c>
      <c r="E5" s="89" t="s">
        <v>656</v>
      </c>
      <c r="F5" s="88" t="s">
        <v>2632</v>
      </c>
      <c r="G5" s="88" t="s">
        <v>4417</v>
      </c>
      <c r="H5" s="88" t="s">
        <v>2633</v>
      </c>
      <c r="I5" s="88" t="s">
        <v>76</v>
      </c>
      <c r="J5" s="98" t="n">
        <v>2.21</v>
      </c>
      <c r="K5" s="88" t="s">
        <v>4233</v>
      </c>
      <c r="L5" s="98" t="n">
        <v>553.31</v>
      </c>
      <c r="M5" s="99" t="n">
        <v>99.6</v>
      </c>
      <c r="N5" s="90" t="s">
        <v>4180</v>
      </c>
      <c r="O5" s="100" t="s">
        <v>963</v>
      </c>
      <c r="P5" s="88"/>
      <c r="Q5" s="101" t="s">
        <v>889</v>
      </c>
      <c r="R5" s="102"/>
      <c r="S5" s="98" t="str">
        <f aca="false">IF(OR(R5="",J5=""),"",ROUND(J5*(1+R5/100),2))</f>
        <v/>
      </c>
      <c r="T5" s="103" t="n">
        <v>20</v>
      </c>
      <c r="U5" s="88" t="s">
        <v>93</v>
      </c>
      <c r="V5" s="104" t="s">
        <v>95</v>
      </c>
    </row>
    <row r="6" customFormat="false" ht="23.85" hidden="false" customHeight="false" outlineLevel="0" collapsed="false">
      <c r="A6" s="88" t="s">
        <v>2640</v>
      </c>
      <c r="B6" s="88" t="s">
        <v>2641</v>
      </c>
      <c r="C6" s="89" t="s">
        <v>657</v>
      </c>
      <c r="D6" s="90" t="s">
        <v>137</v>
      </c>
      <c r="E6" s="89" t="s">
        <v>658</v>
      </c>
      <c r="F6" s="88"/>
      <c r="G6" s="88"/>
      <c r="H6" s="88" t="s">
        <v>2642</v>
      </c>
      <c r="I6" s="88" t="s">
        <v>80</v>
      </c>
      <c r="J6" s="98" t="n">
        <v>1.46</v>
      </c>
      <c r="K6" s="88" t="s">
        <v>939</v>
      </c>
      <c r="L6" s="98"/>
      <c r="M6" s="99"/>
      <c r="N6" s="90" t="s">
        <v>4180</v>
      </c>
      <c r="O6" s="100" t="s">
        <v>963</v>
      </c>
      <c r="P6" s="88"/>
      <c r="Q6" s="101" t="s">
        <v>889</v>
      </c>
      <c r="R6" s="102"/>
      <c r="S6" s="98" t="str">
        <f aca="false">IF(OR(R6="",J6=""),"",ROUND(J6*(1+R6/100),2))</f>
        <v/>
      </c>
      <c r="T6" s="103" t="n">
        <v>20</v>
      </c>
      <c r="U6" s="88" t="s">
        <v>303</v>
      </c>
      <c r="V6" s="104" t="s">
        <v>95</v>
      </c>
    </row>
    <row r="7" customFormat="false" ht="23.85" hidden="false" customHeight="false" outlineLevel="0" collapsed="false">
      <c r="A7" s="20" t="s">
        <v>2643</v>
      </c>
      <c r="B7" s="20" t="s">
        <v>2641</v>
      </c>
      <c r="C7" s="19" t="s">
        <v>659</v>
      </c>
      <c r="D7" s="22" t="s">
        <v>493</v>
      </c>
      <c r="E7" s="19" t="s">
        <v>660</v>
      </c>
      <c r="F7" s="20"/>
      <c r="G7" s="20"/>
      <c r="H7" s="20" t="s">
        <v>2644</v>
      </c>
      <c r="I7" s="20" t="s">
        <v>80</v>
      </c>
      <c r="J7" s="95" t="n">
        <v>14.1</v>
      </c>
      <c r="K7" s="20" t="s">
        <v>939</v>
      </c>
      <c r="L7" s="95"/>
      <c r="M7" s="52"/>
      <c r="N7" s="22" t="s">
        <v>4180</v>
      </c>
      <c r="O7" s="22" t="s">
        <v>942</v>
      </c>
      <c r="P7" s="20"/>
      <c r="Q7" s="19"/>
      <c r="R7" s="92"/>
      <c r="S7" s="95" t="str">
        <f aca="false">IF(OR(R7="",J7=""),"",ROUND(J7*(1+R7/100),2))</f>
        <v/>
      </c>
      <c r="T7" s="97" t="n">
        <v>20</v>
      </c>
      <c r="U7" s="20" t="s">
        <v>303</v>
      </c>
      <c r="V7" s="55" t="s">
        <v>95</v>
      </c>
    </row>
    <row r="8" customFormat="false" ht="23.85" hidden="false" customHeight="false" outlineLevel="0" collapsed="false">
      <c r="A8" s="24" t="s">
        <v>2645</v>
      </c>
      <c r="B8" s="24" t="s">
        <v>2641</v>
      </c>
      <c r="C8" s="23" t="s">
        <v>661</v>
      </c>
      <c r="D8" s="26" t="s">
        <v>493</v>
      </c>
      <c r="E8" s="23" t="s">
        <v>662</v>
      </c>
      <c r="F8" s="24" t="s">
        <v>2646</v>
      </c>
      <c r="G8" s="24" t="s">
        <v>4418</v>
      </c>
      <c r="H8" s="24" t="s">
        <v>2647</v>
      </c>
      <c r="I8" s="74" t="s">
        <v>81</v>
      </c>
      <c r="J8" s="94" t="n">
        <v>9.89</v>
      </c>
      <c r="K8" s="74" t="s">
        <v>4241</v>
      </c>
      <c r="L8" s="91" t="n">
        <v>9.84</v>
      </c>
      <c r="M8" s="58"/>
      <c r="N8" s="26" t="s">
        <v>4180</v>
      </c>
      <c r="O8" s="96" t="s">
        <v>1007</v>
      </c>
      <c r="P8" s="24"/>
      <c r="Q8" s="23"/>
      <c r="R8" s="92"/>
      <c r="S8" s="91" t="str">
        <f aca="false">IF(OR(R8="",J8=""),"",ROUND(J8*(1+R8/100),2))</f>
        <v/>
      </c>
      <c r="T8" s="93" t="n">
        <v>20</v>
      </c>
      <c r="U8" s="24" t="s">
        <v>169</v>
      </c>
      <c r="V8" s="61" t="s">
        <v>95</v>
      </c>
    </row>
    <row r="9" customFormat="false" ht="15" hidden="false" customHeight="false" outlineLevel="0" collapsed="false">
      <c r="A9" s="20" t="s">
        <v>2652</v>
      </c>
      <c r="B9" s="20" t="s">
        <v>2641</v>
      </c>
      <c r="C9" s="19" t="s">
        <v>663</v>
      </c>
      <c r="D9" s="22" t="s">
        <v>493</v>
      </c>
      <c r="E9" s="19" t="s">
        <v>664</v>
      </c>
      <c r="F9" s="20"/>
      <c r="G9" s="20"/>
      <c r="H9" s="20" t="s">
        <v>2653</v>
      </c>
      <c r="I9" s="74" t="s">
        <v>79</v>
      </c>
      <c r="J9" s="94" t="n">
        <v>34.4</v>
      </c>
      <c r="K9" s="74" t="s">
        <v>943</v>
      </c>
      <c r="L9" s="95"/>
      <c r="M9" s="52"/>
      <c r="N9" s="22" t="s">
        <v>4180</v>
      </c>
      <c r="O9" s="96" t="s">
        <v>1016</v>
      </c>
      <c r="P9" s="20"/>
      <c r="Q9" s="106" t="s">
        <v>889</v>
      </c>
      <c r="R9" s="92"/>
      <c r="S9" s="95" t="str">
        <f aca="false">IF(OR(R9="",J9=""),"",ROUND(J9*(1+R9/100),2))</f>
        <v/>
      </c>
      <c r="T9" s="97" t="n">
        <v>20</v>
      </c>
      <c r="U9" s="20" t="s">
        <v>313</v>
      </c>
      <c r="V9" s="20"/>
    </row>
    <row r="10" customFormat="false" ht="23.85" hidden="false" customHeight="false" outlineLevel="0" collapsed="false">
      <c r="A10" s="24" t="s">
        <v>2654</v>
      </c>
      <c r="B10" s="24" t="s">
        <v>2641</v>
      </c>
      <c r="C10" s="23" t="s">
        <v>665</v>
      </c>
      <c r="D10" s="26" t="s">
        <v>137</v>
      </c>
      <c r="E10" s="23" t="s">
        <v>666</v>
      </c>
      <c r="F10" s="24"/>
      <c r="G10" s="24"/>
      <c r="H10" s="24" t="s">
        <v>2655</v>
      </c>
      <c r="I10" s="24" t="s">
        <v>80</v>
      </c>
      <c r="J10" s="91" t="n">
        <v>2.25</v>
      </c>
      <c r="K10" s="24" t="s">
        <v>4179</v>
      </c>
      <c r="L10" s="91" t="n">
        <v>4.41</v>
      </c>
      <c r="M10" s="58" t="n">
        <v>49</v>
      </c>
      <c r="N10" s="26" t="s">
        <v>4180</v>
      </c>
      <c r="O10" s="26" t="s">
        <v>942</v>
      </c>
      <c r="P10" s="24"/>
      <c r="Q10" s="23"/>
      <c r="R10" s="92"/>
      <c r="S10" s="91" t="str">
        <f aca="false">IF(OR(R10="",J10=""),"",ROUND(J10*(1+R10/100),2))</f>
        <v/>
      </c>
      <c r="T10" s="93" t="n">
        <v>20</v>
      </c>
      <c r="U10" s="24" t="s">
        <v>303</v>
      </c>
      <c r="V10" s="61" t="s">
        <v>95</v>
      </c>
    </row>
    <row r="11" customFormat="false" ht="23.85" hidden="false" customHeight="false" outlineLevel="0" collapsed="false">
      <c r="A11" s="88" t="s">
        <v>2661</v>
      </c>
      <c r="B11" s="88" t="s">
        <v>2641</v>
      </c>
      <c r="C11" s="89" t="s">
        <v>667</v>
      </c>
      <c r="D11" s="90" t="s">
        <v>137</v>
      </c>
      <c r="E11" s="89" t="s">
        <v>668</v>
      </c>
      <c r="F11" s="88"/>
      <c r="G11" s="88"/>
      <c r="H11" s="88" t="s">
        <v>2662</v>
      </c>
      <c r="I11" s="88" t="s">
        <v>80</v>
      </c>
      <c r="J11" s="98" t="n">
        <v>3.76</v>
      </c>
      <c r="K11" s="88" t="s">
        <v>4179</v>
      </c>
      <c r="L11" s="98" t="n">
        <v>54.95</v>
      </c>
      <c r="M11" s="99" t="n">
        <v>93.2</v>
      </c>
      <c r="N11" s="90" t="s">
        <v>4180</v>
      </c>
      <c r="O11" s="100" t="s">
        <v>963</v>
      </c>
      <c r="P11" s="88"/>
      <c r="Q11" s="101" t="s">
        <v>889</v>
      </c>
      <c r="R11" s="102"/>
      <c r="S11" s="98" t="str">
        <f aca="false">IF(OR(R11="",J11=""),"",ROUND(J11*(1+R11/100),2))</f>
        <v/>
      </c>
      <c r="T11" s="103" t="n">
        <v>20</v>
      </c>
      <c r="U11" s="88" t="s">
        <v>303</v>
      </c>
      <c r="V11" s="104" t="s">
        <v>95</v>
      </c>
    </row>
    <row r="12" customFormat="false" ht="23.85" hidden="false" customHeight="false" outlineLevel="0" collapsed="false">
      <c r="A12" s="24" t="s">
        <v>2672</v>
      </c>
      <c r="B12" s="24" t="s">
        <v>2673</v>
      </c>
      <c r="C12" s="23" t="s">
        <v>669</v>
      </c>
      <c r="D12" s="26" t="s">
        <v>91</v>
      </c>
      <c r="E12" s="23" t="s">
        <v>670</v>
      </c>
      <c r="F12" s="24"/>
      <c r="G12" s="24"/>
      <c r="H12" s="24" t="s">
        <v>2674</v>
      </c>
      <c r="I12" s="74" t="s">
        <v>79</v>
      </c>
      <c r="J12" s="94" t="n">
        <v>2.15</v>
      </c>
      <c r="K12" s="74" t="s">
        <v>4182</v>
      </c>
      <c r="L12" s="91" t="n">
        <v>110.18</v>
      </c>
      <c r="M12" s="58" t="n">
        <v>98</v>
      </c>
      <c r="N12" s="26" t="s">
        <v>4180</v>
      </c>
      <c r="O12" s="96" t="s">
        <v>1387</v>
      </c>
      <c r="P12" s="24" t="s">
        <v>2675</v>
      </c>
      <c r="Q12" s="23"/>
      <c r="R12" s="92"/>
      <c r="S12" s="91" t="str">
        <f aca="false">IF(OR(R12="",J12=""),"",ROUND(J12*(1+R12/100),2))</f>
        <v/>
      </c>
      <c r="T12" s="93" t="n">
        <v>20</v>
      </c>
      <c r="U12" s="24" t="s">
        <v>313</v>
      </c>
      <c r="V12" s="61" t="s">
        <v>95</v>
      </c>
    </row>
    <row r="13" customFormat="false" ht="23.85" hidden="false" customHeight="false" outlineLevel="0" collapsed="false">
      <c r="A13" s="88" t="s">
        <v>2679</v>
      </c>
      <c r="B13" s="88" t="s">
        <v>2673</v>
      </c>
      <c r="C13" s="89" t="s">
        <v>671</v>
      </c>
      <c r="D13" s="90" t="s">
        <v>672</v>
      </c>
      <c r="E13" s="89" t="s">
        <v>673</v>
      </c>
      <c r="F13" s="88" t="s">
        <v>2680</v>
      </c>
      <c r="G13" s="88" t="s">
        <v>4419</v>
      </c>
      <c r="H13" s="88" t="s">
        <v>2681</v>
      </c>
      <c r="I13" s="88" t="s">
        <v>76</v>
      </c>
      <c r="J13" s="98" t="n">
        <v>3.14</v>
      </c>
      <c r="K13" s="88" t="s">
        <v>4179</v>
      </c>
      <c r="L13" s="98" t="n">
        <v>30.05</v>
      </c>
      <c r="M13" s="99" t="n">
        <v>89.6</v>
      </c>
      <c r="N13" s="90" t="s">
        <v>4180</v>
      </c>
      <c r="O13" s="100" t="s">
        <v>963</v>
      </c>
      <c r="P13" s="88"/>
      <c r="Q13" s="101" t="s">
        <v>889</v>
      </c>
      <c r="R13" s="102"/>
      <c r="S13" s="98" t="str">
        <f aca="false">IF(OR(R13="",J13=""),"",ROUND(J13*(1+R13/100),2))</f>
        <v/>
      </c>
      <c r="T13" s="103" t="n">
        <v>20</v>
      </c>
      <c r="U13" s="88" t="s">
        <v>93</v>
      </c>
      <c r="V13" s="104" t="s">
        <v>95</v>
      </c>
    </row>
    <row r="14" customFormat="false" ht="15" hidden="false" customHeight="false" outlineLevel="0" collapsed="false">
      <c r="A14" s="88" t="s">
        <v>2684</v>
      </c>
      <c r="B14" s="88" t="s">
        <v>2673</v>
      </c>
      <c r="C14" s="89" t="s">
        <v>674</v>
      </c>
      <c r="D14" s="90" t="s">
        <v>91</v>
      </c>
      <c r="E14" s="89" t="s">
        <v>675</v>
      </c>
      <c r="F14" s="88" t="s">
        <v>2685</v>
      </c>
      <c r="G14" s="88" t="s">
        <v>4420</v>
      </c>
      <c r="H14" s="88" t="s">
        <v>2686</v>
      </c>
      <c r="I14" s="88" t="s">
        <v>76</v>
      </c>
      <c r="J14" s="98" t="n">
        <v>27.57</v>
      </c>
      <c r="K14" s="88" t="s">
        <v>939</v>
      </c>
      <c r="L14" s="98"/>
      <c r="M14" s="99"/>
      <c r="N14" s="90" t="s">
        <v>4180</v>
      </c>
      <c r="O14" s="100" t="s">
        <v>963</v>
      </c>
      <c r="P14" s="88"/>
      <c r="Q14" s="101" t="s">
        <v>889</v>
      </c>
      <c r="R14" s="102"/>
      <c r="S14" s="98" t="str">
        <f aca="false">IF(OR(R14="",J14=""),"",ROUND(J14*(1+R14/100),2))</f>
        <v/>
      </c>
      <c r="T14" s="103" t="n">
        <v>20</v>
      </c>
      <c r="U14" s="88" t="s">
        <v>93</v>
      </c>
      <c r="V14" s="104" t="s">
        <v>95</v>
      </c>
    </row>
    <row r="15" customFormat="false" ht="23.85" hidden="false" customHeight="false" outlineLevel="0" collapsed="false">
      <c r="A15" s="20" t="s">
        <v>2687</v>
      </c>
      <c r="B15" s="20" t="s">
        <v>2673</v>
      </c>
      <c r="C15" s="19" t="s">
        <v>676</v>
      </c>
      <c r="D15" s="22" t="s">
        <v>91</v>
      </c>
      <c r="E15" s="19" t="s">
        <v>677</v>
      </c>
      <c r="F15" s="20" t="s">
        <v>1293</v>
      </c>
      <c r="G15" s="20" t="s">
        <v>4421</v>
      </c>
      <c r="H15" s="20" t="s">
        <v>2688</v>
      </c>
      <c r="I15" s="20" t="s">
        <v>76</v>
      </c>
      <c r="J15" s="95" t="n">
        <v>3.36</v>
      </c>
      <c r="K15" s="20" t="s">
        <v>4198</v>
      </c>
      <c r="L15" s="95" t="n">
        <v>43.47</v>
      </c>
      <c r="M15" s="52" t="n">
        <v>92.3</v>
      </c>
      <c r="N15" s="22" t="s">
        <v>4180</v>
      </c>
      <c r="O15" s="22" t="s">
        <v>942</v>
      </c>
      <c r="P15" s="20"/>
      <c r="Q15" s="19"/>
      <c r="R15" s="92"/>
      <c r="S15" s="95" t="str">
        <f aca="false">IF(OR(R15="",J15=""),"",ROUND(J15*(1+R15/100),2))</f>
        <v/>
      </c>
      <c r="T15" s="97" t="n">
        <v>20</v>
      </c>
      <c r="U15" s="20" t="s">
        <v>93</v>
      </c>
      <c r="V15" s="55" t="s">
        <v>95</v>
      </c>
    </row>
    <row r="16" customFormat="false" ht="15" hidden="false" customHeight="false" outlineLevel="0" collapsed="false">
      <c r="A16" s="24" t="s">
        <v>2691</v>
      </c>
      <c r="B16" s="24" t="s">
        <v>2692</v>
      </c>
      <c r="C16" s="23" t="s">
        <v>678</v>
      </c>
      <c r="D16" s="26" t="s">
        <v>493</v>
      </c>
      <c r="E16" s="23" t="s">
        <v>679</v>
      </c>
      <c r="F16" s="24" t="s">
        <v>2693</v>
      </c>
      <c r="G16" s="24"/>
      <c r="H16" s="24" t="s">
        <v>2694</v>
      </c>
      <c r="I16" s="74" t="s">
        <v>83</v>
      </c>
      <c r="J16" s="94" t="n">
        <v>58.71</v>
      </c>
      <c r="K16" s="74" t="s">
        <v>943</v>
      </c>
      <c r="L16" s="91"/>
      <c r="M16" s="58"/>
      <c r="N16" s="26" t="s">
        <v>4180</v>
      </c>
      <c r="O16" s="96" t="s">
        <v>2164</v>
      </c>
      <c r="P16" s="24"/>
      <c r="Q16" s="23"/>
      <c r="R16" s="92"/>
      <c r="S16" s="91" t="str">
        <f aca="false">IF(OR(R16="",J16=""),"",ROUND(J16*(1+R16/100),2))</f>
        <v/>
      </c>
      <c r="T16" s="93" t="n">
        <v>20</v>
      </c>
      <c r="U16" s="24" t="s">
        <v>534</v>
      </c>
      <c r="V16" s="61" t="s">
        <v>95</v>
      </c>
    </row>
    <row r="17" customFormat="false" ht="23.85" hidden="false" customHeight="false" outlineLevel="0" collapsed="false">
      <c r="A17" s="20" t="s">
        <v>2697</v>
      </c>
      <c r="B17" s="20" t="s">
        <v>2692</v>
      </c>
      <c r="C17" s="19" t="s">
        <v>680</v>
      </c>
      <c r="D17" s="22" t="s">
        <v>519</v>
      </c>
      <c r="E17" s="19" t="s">
        <v>681</v>
      </c>
      <c r="F17" s="20"/>
      <c r="G17" s="20"/>
      <c r="H17" s="20" t="s">
        <v>2698</v>
      </c>
      <c r="I17" s="20" t="s">
        <v>80</v>
      </c>
      <c r="J17" s="95" t="n">
        <v>6.97</v>
      </c>
      <c r="K17" s="20" t="s">
        <v>939</v>
      </c>
      <c r="L17" s="95"/>
      <c r="M17" s="52"/>
      <c r="N17" s="22" t="s">
        <v>4180</v>
      </c>
      <c r="O17" s="22" t="s">
        <v>942</v>
      </c>
      <c r="P17" s="20" t="s">
        <v>2124</v>
      </c>
      <c r="Q17" s="19"/>
      <c r="R17" s="92"/>
      <c r="S17" s="95" t="str">
        <f aca="false">IF(OR(R17="",J17=""),"",ROUND(J17*(1+R17/100),2))</f>
        <v/>
      </c>
      <c r="T17" s="97" t="n">
        <v>20</v>
      </c>
      <c r="U17" s="20" t="s">
        <v>303</v>
      </c>
      <c r="V17" s="55" t="s">
        <v>95</v>
      </c>
    </row>
  </sheetData>
  <autoFilter ref="A1:V17"/>
  <hyperlinks>
    <hyperlink ref="V2" r:id="rId1" display="Voir la fiche"/>
    <hyperlink ref="V3" r:id="rId2" display="Voir la fiche"/>
    <hyperlink ref="V4" r:id="rId3" display="Voir la fiche"/>
    <hyperlink ref="V5" r:id="rId4" display="Voir la fiche"/>
    <hyperlink ref="V6" r:id="rId5" display="Voir la fiche"/>
    <hyperlink ref="V7" r:id="rId6" display="Voir la fiche"/>
    <hyperlink ref="V8" r:id="rId7" display="Voir la fiche"/>
    <hyperlink ref="V10" r:id="rId8" display="Voir la fiche"/>
    <hyperlink ref="V11" r:id="rId9" display="Voir la fiche"/>
    <hyperlink ref="V12" r:id="rId10" display="Voir la fiche"/>
    <hyperlink ref="V13" r:id="rId11" display="Voir la fiche"/>
    <hyperlink ref="V14" r:id="rId12" display="Voir la fiche"/>
    <hyperlink ref="V15" r:id="rId13" display="Voir la fiche"/>
    <hyperlink ref="V16" r:id="rId14" display="Voir la fiche"/>
    <hyperlink ref="V17" r:id="rId15"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6"/>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true"/>
  </sheetPr>
  <dimension ref="A1:V2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15" hidden="false" customHeight="false" outlineLevel="0" collapsed="false">
      <c r="A2" s="88" t="s">
        <v>2702</v>
      </c>
      <c r="B2" s="88" t="s">
        <v>2703</v>
      </c>
      <c r="C2" s="89" t="s">
        <v>682</v>
      </c>
      <c r="D2" s="90" t="s">
        <v>553</v>
      </c>
      <c r="E2" s="89" t="s">
        <v>683</v>
      </c>
      <c r="F2" s="88" t="s">
        <v>2256</v>
      </c>
      <c r="G2" s="88" t="s">
        <v>4422</v>
      </c>
      <c r="H2" s="88" t="s">
        <v>2704</v>
      </c>
      <c r="I2" s="88" t="s">
        <v>76</v>
      </c>
      <c r="J2" s="98" t="n">
        <v>6.1</v>
      </c>
      <c r="K2" s="88" t="s">
        <v>4179</v>
      </c>
      <c r="L2" s="98" t="n">
        <v>19.3</v>
      </c>
      <c r="M2" s="99" t="n">
        <v>68.4</v>
      </c>
      <c r="N2" s="90" t="s">
        <v>4180</v>
      </c>
      <c r="O2" s="100" t="s">
        <v>963</v>
      </c>
      <c r="P2" s="88" t="s">
        <v>4423</v>
      </c>
      <c r="Q2" s="101" t="s">
        <v>889</v>
      </c>
      <c r="R2" s="102"/>
      <c r="S2" s="98" t="str">
        <f aca="false">IF(OR(R2="",J2=""),"",ROUND(J2*(1+R2/100),2))</f>
        <v/>
      </c>
      <c r="T2" s="103" t="n">
        <v>20</v>
      </c>
      <c r="U2" s="88" t="s">
        <v>93</v>
      </c>
      <c r="V2" s="104" t="s">
        <v>95</v>
      </c>
    </row>
    <row r="3" customFormat="false" ht="23.85" hidden="false" customHeight="false" outlineLevel="0" collapsed="false">
      <c r="A3" s="20" t="s">
        <v>2712</v>
      </c>
      <c r="B3" s="20" t="s">
        <v>2703</v>
      </c>
      <c r="C3" s="19" t="s">
        <v>684</v>
      </c>
      <c r="D3" s="22" t="s">
        <v>553</v>
      </c>
      <c r="E3" s="19" t="s">
        <v>685</v>
      </c>
      <c r="F3" s="20"/>
      <c r="G3" s="20"/>
      <c r="H3" s="20" t="s">
        <v>2713</v>
      </c>
      <c r="I3" s="20" t="s">
        <v>80</v>
      </c>
      <c r="J3" s="95" t="n">
        <v>8.57</v>
      </c>
      <c r="K3" s="20" t="s">
        <v>939</v>
      </c>
      <c r="L3" s="95"/>
      <c r="M3" s="52"/>
      <c r="N3" s="22" t="s">
        <v>4180</v>
      </c>
      <c r="O3" s="22" t="s">
        <v>942</v>
      </c>
      <c r="P3" s="20" t="s">
        <v>2714</v>
      </c>
      <c r="Q3" s="19"/>
      <c r="R3" s="92"/>
      <c r="S3" s="95" t="str">
        <f aca="false">IF(OR(R3="",J3=""),"",ROUND(J3*(1+R3/100),2))</f>
        <v/>
      </c>
      <c r="T3" s="97" t="n">
        <v>20</v>
      </c>
      <c r="U3" s="20" t="s">
        <v>303</v>
      </c>
      <c r="V3" s="55" t="s">
        <v>95</v>
      </c>
    </row>
    <row r="4" customFormat="false" ht="15" hidden="false" customHeight="false" outlineLevel="0" collapsed="false">
      <c r="A4" s="24" t="s">
        <v>2715</v>
      </c>
      <c r="B4" s="24" t="s">
        <v>2703</v>
      </c>
      <c r="C4" s="23" t="s">
        <v>686</v>
      </c>
      <c r="D4" s="26" t="s">
        <v>553</v>
      </c>
      <c r="E4" s="23" t="s">
        <v>687</v>
      </c>
      <c r="F4" s="24" t="s">
        <v>2271</v>
      </c>
      <c r="G4" s="24"/>
      <c r="H4" s="24" t="s">
        <v>2718</v>
      </c>
      <c r="I4" s="74" t="s">
        <v>81</v>
      </c>
      <c r="J4" s="94" t="n">
        <v>12.05</v>
      </c>
      <c r="K4" s="74" t="s">
        <v>979</v>
      </c>
      <c r="L4" s="91" t="n">
        <v>13.29</v>
      </c>
      <c r="M4" s="58" t="n">
        <v>9.3</v>
      </c>
      <c r="N4" s="26" t="s">
        <v>4180</v>
      </c>
      <c r="O4" s="96" t="s">
        <v>1007</v>
      </c>
      <c r="P4" s="24" t="s">
        <v>2714</v>
      </c>
      <c r="Q4" s="23"/>
      <c r="R4" s="92"/>
      <c r="S4" s="91" t="str">
        <f aca="false">IF(OR(R4="",J4=""),"",ROUND(J4*(1+R4/100),2))</f>
        <v/>
      </c>
      <c r="T4" s="93" t="n">
        <v>20</v>
      </c>
      <c r="U4" s="24" t="s">
        <v>119</v>
      </c>
      <c r="V4" s="61" t="s">
        <v>95</v>
      </c>
    </row>
    <row r="5" customFormat="false" ht="15" hidden="false" customHeight="false" outlineLevel="0" collapsed="false">
      <c r="A5" s="20" t="s">
        <v>2719</v>
      </c>
      <c r="B5" s="20" t="s">
        <v>2703</v>
      </c>
      <c r="C5" s="19" t="s">
        <v>688</v>
      </c>
      <c r="D5" s="22" t="s">
        <v>553</v>
      </c>
      <c r="E5" s="19" t="s">
        <v>683</v>
      </c>
      <c r="F5" s="20" t="s">
        <v>2256</v>
      </c>
      <c r="G5" s="20" t="s">
        <v>4422</v>
      </c>
      <c r="H5" s="20" t="s">
        <v>2704</v>
      </c>
      <c r="I5" s="20" t="s">
        <v>76</v>
      </c>
      <c r="J5" s="95" t="n">
        <v>6.1</v>
      </c>
      <c r="K5" s="20" t="s">
        <v>4179</v>
      </c>
      <c r="L5" s="95" t="n">
        <v>10.05</v>
      </c>
      <c r="M5" s="52" t="n">
        <v>39.3</v>
      </c>
      <c r="N5" s="22" t="s">
        <v>4180</v>
      </c>
      <c r="O5" s="22" t="s">
        <v>942</v>
      </c>
      <c r="P5" s="20" t="s">
        <v>4423</v>
      </c>
      <c r="Q5" s="19"/>
      <c r="R5" s="92"/>
      <c r="S5" s="95" t="str">
        <f aca="false">IF(OR(R5="",J5=""),"",ROUND(J5*(1+R5/100),2))</f>
        <v/>
      </c>
      <c r="T5" s="97" t="n">
        <v>20</v>
      </c>
      <c r="U5" s="20" t="s">
        <v>93</v>
      </c>
      <c r="V5" s="55" t="s">
        <v>95</v>
      </c>
    </row>
    <row r="6" customFormat="false" ht="22.35" hidden="false" customHeight="false" outlineLevel="0" collapsed="false">
      <c r="A6" s="85" t="s">
        <v>4424</v>
      </c>
      <c r="B6" s="85" t="s">
        <v>2703</v>
      </c>
      <c r="C6" s="86" t="s">
        <v>918</v>
      </c>
      <c r="D6" s="87" t="s">
        <v>553</v>
      </c>
      <c r="E6" s="86"/>
      <c r="F6" s="85"/>
      <c r="G6" s="85"/>
      <c r="H6" s="85"/>
      <c r="I6" s="85" t="s">
        <v>894</v>
      </c>
      <c r="J6" s="107"/>
      <c r="K6" s="85"/>
      <c r="L6" s="107"/>
      <c r="M6" s="108"/>
      <c r="N6" s="87"/>
      <c r="O6" s="109" t="s">
        <v>52</v>
      </c>
      <c r="P6" s="85"/>
      <c r="Q6" s="110" t="s">
        <v>895</v>
      </c>
      <c r="R6" s="111"/>
      <c r="S6" s="107" t="str">
        <f aca="false">IF(OR(R6="",J6=""),"",ROUND(J6*(1+R6/100),2))</f>
        <v/>
      </c>
      <c r="T6" s="112" t="n">
        <v>20</v>
      </c>
      <c r="U6" s="85"/>
      <c r="V6" s="85"/>
    </row>
    <row r="7" customFormat="false" ht="15" hidden="false" customHeight="false" outlineLevel="0" collapsed="false">
      <c r="A7" s="20" t="s">
        <v>2727</v>
      </c>
      <c r="B7" s="20" t="s">
        <v>2728</v>
      </c>
      <c r="C7" s="19" t="s">
        <v>689</v>
      </c>
      <c r="D7" s="22" t="s">
        <v>553</v>
      </c>
      <c r="E7" s="19" t="s">
        <v>690</v>
      </c>
      <c r="F7" s="20"/>
      <c r="G7" s="20"/>
      <c r="H7" s="20" t="s">
        <v>2729</v>
      </c>
      <c r="I7" s="74" t="s">
        <v>79</v>
      </c>
      <c r="J7" s="94" t="n">
        <v>2.44</v>
      </c>
      <c r="K7" s="74" t="s">
        <v>943</v>
      </c>
      <c r="L7" s="95"/>
      <c r="M7" s="52"/>
      <c r="N7" s="22" t="s">
        <v>4180</v>
      </c>
      <c r="O7" s="96" t="s">
        <v>1387</v>
      </c>
      <c r="P7" s="20" t="s">
        <v>4402</v>
      </c>
      <c r="Q7" s="19"/>
      <c r="R7" s="92"/>
      <c r="S7" s="95" t="str">
        <f aca="false">IF(OR(R7="",J7=""),"",ROUND(J7*(1+R7/100),2))</f>
        <v/>
      </c>
      <c r="T7" s="97" t="n">
        <v>20</v>
      </c>
      <c r="U7" s="20" t="s">
        <v>313</v>
      </c>
      <c r="V7" s="55" t="s">
        <v>95</v>
      </c>
    </row>
    <row r="8" customFormat="false" ht="15" hidden="false" customHeight="false" outlineLevel="0" collapsed="false">
      <c r="A8" s="24" t="s">
        <v>2735</v>
      </c>
      <c r="B8" s="24" t="s">
        <v>2728</v>
      </c>
      <c r="C8" s="23" t="s">
        <v>691</v>
      </c>
      <c r="D8" s="26" t="s">
        <v>553</v>
      </c>
      <c r="E8" s="23" t="s">
        <v>692</v>
      </c>
      <c r="F8" s="24"/>
      <c r="G8" s="24"/>
      <c r="H8" s="24" t="s">
        <v>2736</v>
      </c>
      <c r="I8" s="74" t="s">
        <v>79</v>
      </c>
      <c r="J8" s="94" t="n">
        <v>4.08</v>
      </c>
      <c r="K8" s="74" t="s">
        <v>943</v>
      </c>
      <c r="L8" s="91"/>
      <c r="M8" s="58"/>
      <c r="N8" s="26" t="s">
        <v>4180</v>
      </c>
      <c r="O8" s="96" t="s">
        <v>1387</v>
      </c>
      <c r="P8" s="24" t="s">
        <v>4425</v>
      </c>
      <c r="Q8" s="23"/>
      <c r="R8" s="92"/>
      <c r="S8" s="91" t="str">
        <f aca="false">IF(OR(R8="",J8=""),"",ROUND(J8*(1+R8/100),2))</f>
        <v/>
      </c>
      <c r="T8" s="93" t="n">
        <v>20</v>
      </c>
      <c r="U8" s="24" t="s">
        <v>313</v>
      </c>
      <c r="V8" s="61" t="s">
        <v>95</v>
      </c>
    </row>
    <row r="9" customFormat="false" ht="15" hidden="false" customHeight="false" outlineLevel="0" collapsed="false">
      <c r="A9" s="88" t="s">
        <v>2737</v>
      </c>
      <c r="B9" s="88" t="s">
        <v>2738</v>
      </c>
      <c r="C9" s="89" t="s">
        <v>693</v>
      </c>
      <c r="D9" s="90" t="s">
        <v>91</v>
      </c>
      <c r="E9" s="89" t="s">
        <v>694</v>
      </c>
      <c r="F9" s="88"/>
      <c r="G9" s="88"/>
      <c r="H9" s="88" t="s">
        <v>2739</v>
      </c>
      <c r="I9" s="88" t="s">
        <v>80</v>
      </c>
      <c r="J9" s="98" t="n">
        <v>3.97</v>
      </c>
      <c r="K9" s="88" t="s">
        <v>939</v>
      </c>
      <c r="L9" s="98"/>
      <c r="M9" s="99"/>
      <c r="N9" s="90" t="s">
        <v>4180</v>
      </c>
      <c r="O9" s="100" t="s">
        <v>963</v>
      </c>
      <c r="P9" s="88"/>
      <c r="Q9" s="101" t="s">
        <v>889</v>
      </c>
      <c r="R9" s="102"/>
      <c r="S9" s="98" t="str">
        <f aca="false">IF(OR(R9="",J9=""),"",ROUND(J9*(1+R9/100),2))</f>
        <v/>
      </c>
      <c r="T9" s="103" t="n">
        <v>20</v>
      </c>
      <c r="U9" s="88" t="s">
        <v>303</v>
      </c>
      <c r="V9" s="104" t="s">
        <v>95</v>
      </c>
    </row>
    <row r="10" customFormat="false" ht="23.85" hidden="false" customHeight="false" outlineLevel="0" collapsed="false">
      <c r="A10" s="24" t="s">
        <v>2740</v>
      </c>
      <c r="B10" s="24" t="s">
        <v>2738</v>
      </c>
      <c r="C10" s="23" t="s">
        <v>695</v>
      </c>
      <c r="D10" s="26" t="s">
        <v>91</v>
      </c>
      <c r="E10" s="23" t="s">
        <v>696</v>
      </c>
      <c r="F10" s="24"/>
      <c r="G10" s="24"/>
      <c r="H10" s="24" t="s">
        <v>2741</v>
      </c>
      <c r="I10" s="24" t="s">
        <v>80</v>
      </c>
      <c r="J10" s="91" t="n">
        <v>1.86</v>
      </c>
      <c r="K10" s="24" t="s">
        <v>4179</v>
      </c>
      <c r="L10" s="91" t="n">
        <v>174.08</v>
      </c>
      <c r="M10" s="58" t="n">
        <v>98.9</v>
      </c>
      <c r="N10" s="26" t="s">
        <v>4180</v>
      </c>
      <c r="O10" s="26" t="s">
        <v>942</v>
      </c>
      <c r="P10" s="24"/>
      <c r="Q10" s="23"/>
      <c r="R10" s="92"/>
      <c r="S10" s="91" t="str">
        <f aca="false">IF(OR(R10="",J10=""),"",ROUND(J10*(1+R10/100),2))</f>
        <v/>
      </c>
      <c r="T10" s="93" t="n">
        <v>20</v>
      </c>
      <c r="U10" s="24" t="s">
        <v>303</v>
      </c>
      <c r="V10" s="61" t="s">
        <v>95</v>
      </c>
    </row>
    <row r="11" customFormat="false" ht="15" hidden="false" customHeight="false" outlineLevel="0" collapsed="false">
      <c r="A11" s="88" t="s">
        <v>2745</v>
      </c>
      <c r="B11" s="88" t="s">
        <v>2738</v>
      </c>
      <c r="C11" s="89" t="s">
        <v>697</v>
      </c>
      <c r="D11" s="90" t="s">
        <v>91</v>
      </c>
      <c r="E11" s="89" t="s">
        <v>698</v>
      </c>
      <c r="F11" s="88" t="s">
        <v>2746</v>
      </c>
      <c r="G11" s="88" t="s">
        <v>4426</v>
      </c>
      <c r="H11" s="88" t="s">
        <v>2747</v>
      </c>
      <c r="I11" s="88" t="s">
        <v>76</v>
      </c>
      <c r="J11" s="98" t="n">
        <v>15.76</v>
      </c>
      <c r="K11" s="88" t="s">
        <v>4179</v>
      </c>
      <c r="L11" s="98" t="n">
        <v>23.96</v>
      </c>
      <c r="M11" s="99" t="n">
        <v>34.2</v>
      </c>
      <c r="N11" s="90" t="s">
        <v>4180</v>
      </c>
      <c r="O11" s="100" t="s">
        <v>1052</v>
      </c>
      <c r="P11" s="88"/>
      <c r="Q11" s="101" t="s">
        <v>889</v>
      </c>
      <c r="R11" s="102"/>
      <c r="S11" s="98" t="str">
        <f aca="false">IF(OR(R11="",J11=""),"",ROUND(J11*(1+R11/100),2))</f>
        <v/>
      </c>
      <c r="T11" s="103" t="n">
        <v>20</v>
      </c>
      <c r="U11" s="88" t="s">
        <v>93</v>
      </c>
      <c r="V11" s="104" t="s">
        <v>95</v>
      </c>
    </row>
    <row r="12" customFormat="false" ht="23.85" hidden="false" customHeight="false" outlineLevel="0" collapsed="false">
      <c r="A12" s="24" t="s">
        <v>2750</v>
      </c>
      <c r="B12" s="24" t="s">
        <v>2751</v>
      </c>
      <c r="C12" s="23" t="s">
        <v>699</v>
      </c>
      <c r="D12" s="26" t="s">
        <v>493</v>
      </c>
      <c r="E12" s="23" t="s">
        <v>700</v>
      </c>
      <c r="F12" s="24"/>
      <c r="G12" s="24"/>
      <c r="H12" s="24" t="s">
        <v>2755</v>
      </c>
      <c r="I12" s="24" t="s">
        <v>80</v>
      </c>
      <c r="J12" s="91" t="n">
        <v>14.32</v>
      </c>
      <c r="K12" s="24" t="s">
        <v>939</v>
      </c>
      <c r="L12" s="91"/>
      <c r="M12" s="58"/>
      <c r="N12" s="26" t="s">
        <v>4180</v>
      </c>
      <c r="O12" s="26" t="s">
        <v>942</v>
      </c>
      <c r="P12" s="24"/>
      <c r="Q12" s="23"/>
      <c r="R12" s="92"/>
      <c r="S12" s="91" t="str">
        <f aca="false">IF(OR(R12="",J12=""),"",ROUND(J12*(1+R12/100),2))</f>
        <v/>
      </c>
      <c r="T12" s="93" t="n">
        <v>20</v>
      </c>
      <c r="U12" s="24" t="s">
        <v>303</v>
      </c>
      <c r="V12" s="61" t="s">
        <v>95</v>
      </c>
    </row>
    <row r="13" customFormat="false" ht="23.85" hidden="false" customHeight="false" outlineLevel="0" collapsed="false">
      <c r="A13" s="20" t="s">
        <v>2758</v>
      </c>
      <c r="B13" s="20" t="s">
        <v>2751</v>
      </c>
      <c r="C13" s="19" t="s">
        <v>701</v>
      </c>
      <c r="D13" s="22" t="s">
        <v>137</v>
      </c>
      <c r="E13" s="19" t="s">
        <v>702</v>
      </c>
      <c r="F13" s="20"/>
      <c r="G13" s="20"/>
      <c r="H13" s="20" t="s">
        <v>2761</v>
      </c>
      <c r="I13" s="20" t="s">
        <v>80</v>
      </c>
      <c r="J13" s="95" t="n">
        <v>2.9</v>
      </c>
      <c r="K13" s="20" t="s">
        <v>4179</v>
      </c>
      <c r="L13" s="95" t="n">
        <v>16.7</v>
      </c>
      <c r="M13" s="52" t="n">
        <v>82.6</v>
      </c>
      <c r="N13" s="22" t="s">
        <v>4180</v>
      </c>
      <c r="O13" s="22" t="s">
        <v>942</v>
      </c>
      <c r="P13" s="20"/>
      <c r="Q13" s="19"/>
      <c r="R13" s="92"/>
      <c r="S13" s="95" t="str">
        <f aca="false">IF(OR(R13="",J13=""),"",ROUND(J13*(1+R13/100),2))</f>
        <v/>
      </c>
      <c r="T13" s="97" t="n">
        <v>20</v>
      </c>
      <c r="U13" s="20" t="s">
        <v>303</v>
      </c>
      <c r="V13" s="55" t="s">
        <v>95</v>
      </c>
    </row>
    <row r="14" customFormat="false" ht="23.85" hidden="false" customHeight="false" outlineLevel="0" collapsed="false">
      <c r="A14" s="24" t="s">
        <v>2767</v>
      </c>
      <c r="B14" s="24" t="s">
        <v>2751</v>
      </c>
      <c r="C14" s="23" t="s">
        <v>703</v>
      </c>
      <c r="D14" s="26" t="s">
        <v>137</v>
      </c>
      <c r="E14" s="23" t="s">
        <v>704</v>
      </c>
      <c r="F14" s="24"/>
      <c r="G14" s="24"/>
      <c r="H14" s="24" t="s">
        <v>2768</v>
      </c>
      <c r="I14" s="74" t="s">
        <v>79</v>
      </c>
      <c r="J14" s="94" t="n">
        <v>3.08</v>
      </c>
      <c r="K14" s="74" t="s">
        <v>943</v>
      </c>
      <c r="L14" s="91"/>
      <c r="M14" s="58"/>
      <c r="N14" s="26" t="s">
        <v>4180</v>
      </c>
      <c r="O14" s="96" t="s">
        <v>1016</v>
      </c>
      <c r="P14" s="24" t="s">
        <v>2769</v>
      </c>
      <c r="Q14" s="105" t="s">
        <v>889</v>
      </c>
      <c r="R14" s="92"/>
      <c r="S14" s="91" t="str">
        <f aca="false">IF(OR(R14="",J14=""),"",ROUND(J14*(1+R14/100),2))</f>
        <v/>
      </c>
      <c r="T14" s="93" t="n">
        <v>20</v>
      </c>
      <c r="U14" s="24" t="s">
        <v>313</v>
      </c>
      <c r="V14" s="24"/>
    </row>
    <row r="15" customFormat="false" ht="23.85" hidden="false" customHeight="false" outlineLevel="0" collapsed="false">
      <c r="A15" s="20" t="s">
        <v>2770</v>
      </c>
      <c r="B15" s="20" t="s">
        <v>2771</v>
      </c>
      <c r="C15" s="19" t="s">
        <v>705</v>
      </c>
      <c r="D15" s="22" t="s">
        <v>493</v>
      </c>
      <c r="E15" s="19" t="s">
        <v>706</v>
      </c>
      <c r="F15" s="20" t="s">
        <v>1293</v>
      </c>
      <c r="G15" s="20" t="s">
        <v>4427</v>
      </c>
      <c r="H15" s="20" t="s">
        <v>2772</v>
      </c>
      <c r="I15" s="20" t="s">
        <v>76</v>
      </c>
      <c r="J15" s="95" t="n">
        <v>0.51</v>
      </c>
      <c r="K15" s="20" t="s">
        <v>939</v>
      </c>
      <c r="L15" s="95"/>
      <c r="M15" s="52"/>
      <c r="N15" s="22" t="s">
        <v>4180</v>
      </c>
      <c r="O15" s="22" t="s">
        <v>942</v>
      </c>
      <c r="P15" s="20" t="s">
        <v>2773</v>
      </c>
      <c r="Q15" s="19"/>
      <c r="R15" s="92"/>
      <c r="S15" s="95" t="str">
        <f aca="false">IF(OR(R15="",J15=""),"",ROUND(J15*(1+R15/100),2))</f>
        <v/>
      </c>
      <c r="T15" s="97" t="n">
        <v>20</v>
      </c>
      <c r="U15" s="20" t="s">
        <v>93</v>
      </c>
      <c r="V15" s="55" t="s">
        <v>95</v>
      </c>
    </row>
    <row r="16" customFormat="false" ht="23.85" hidden="false" customHeight="false" outlineLevel="0" collapsed="false">
      <c r="A16" s="24" t="s">
        <v>2774</v>
      </c>
      <c r="B16" s="24" t="s">
        <v>2771</v>
      </c>
      <c r="C16" s="23" t="s">
        <v>707</v>
      </c>
      <c r="D16" s="26" t="s">
        <v>708</v>
      </c>
      <c r="E16" s="23" t="s">
        <v>709</v>
      </c>
      <c r="F16" s="24"/>
      <c r="G16" s="24"/>
      <c r="H16" s="24" t="s">
        <v>2775</v>
      </c>
      <c r="I16" s="74" t="s">
        <v>79</v>
      </c>
      <c r="J16" s="94" t="n">
        <v>0.74</v>
      </c>
      <c r="K16" s="74" t="s">
        <v>943</v>
      </c>
      <c r="L16" s="91"/>
      <c r="M16" s="58"/>
      <c r="N16" s="26" t="s">
        <v>4180</v>
      </c>
      <c r="O16" s="96" t="s">
        <v>1016</v>
      </c>
      <c r="P16" s="24" t="s">
        <v>2714</v>
      </c>
      <c r="Q16" s="105" t="s">
        <v>889</v>
      </c>
      <c r="R16" s="92"/>
      <c r="S16" s="91" t="str">
        <f aca="false">IF(OR(R16="",J16=""),"",ROUND(J16*(1+R16/100),2))</f>
        <v/>
      </c>
      <c r="T16" s="93" t="n">
        <v>20</v>
      </c>
      <c r="U16" s="24" t="s">
        <v>313</v>
      </c>
      <c r="V16" s="61" t="s">
        <v>95</v>
      </c>
    </row>
    <row r="17" customFormat="false" ht="23.85" hidden="false" customHeight="false" outlineLevel="0" collapsed="false">
      <c r="A17" s="20" t="s">
        <v>2778</v>
      </c>
      <c r="B17" s="20" t="s">
        <v>2771</v>
      </c>
      <c r="C17" s="19" t="s">
        <v>710</v>
      </c>
      <c r="D17" s="22" t="s">
        <v>493</v>
      </c>
      <c r="E17" s="19" t="s">
        <v>711</v>
      </c>
      <c r="F17" s="20"/>
      <c r="G17" s="20"/>
      <c r="H17" s="20" t="s">
        <v>2781</v>
      </c>
      <c r="I17" s="20" t="s">
        <v>80</v>
      </c>
      <c r="J17" s="95" t="n">
        <v>7.68</v>
      </c>
      <c r="K17" s="20" t="s">
        <v>939</v>
      </c>
      <c r="L17" s="95"/>
      <c r="M17" s="52"/>
      <c r="N17" s="22" t="s">
        <v>4180</v>
      </c>
      <c r="O17" s="22" t="s">
        <v>942</v>
      </c>
      <c r="P17" s="20" t="s">
        <v>4428</v>
      </c>
      <c r="Q17" s="19"/>
      <c r="R17" s="92"/>
      <c r="S17" s="95" t="str">
        <f aca="false">IF(OR(R17="",J17=""),"",ROUND(J17*(1+R17/100),2))</f>
        <v/>
      </c>
      <c r="T17" s="97" t="n">
        <v>20</v>
      </c>
      <c r="U17" s="20" t="s">
        <v>303</v>
      </c>
      <c r="V17" s="55" t="s">
        <v>95</v>
      </c>
    </row>
    <row r="18" customFormat="false" ht="23.85" hidden="false" customHeight="false" outlineLevel="0" collapsed="false">
      <c r="A18" s="88" t="s">
        <v>2784</v>
      </c>
      <c r="B18" s="88" t="s">
        <v>2785</v>
      </c>
      <c r="C18" s="89" t="s">
        <v>712</v>
      </c>
      <c r="D18" s="90" t="s">
        <v>91</v>
      </c>
      <c r="E18" s="89" t="s">
        <v>713</v>
      </c>
      <c r="F18" s="88"/>
      <c r="G18" s="88"/>
      <c r="H18" s="88" t="s">
        <v>2786</v>
      </c>
      <c r="I18" s="88" t="s">
        <v>80</v>
      </c>
      <c r="J18" s="98" t="n">
        <v>0.77</v>
      </c>
      <c r="K18" s="88" t="s">
        <v>4233</v>
      </c>
      <c r="L18" s="98" t="n">
        <v>9.18</v>
      </c>
      <c r="M18" s="99" t="n">
        <v>91.6</v>
      </c>
      <c r="N18" s="90" t="s">
        <v>4180</v>
      </c>
      <c r="O18" s="100" t="s">
        <v>963</v>
      </c>
      <c r="P18" s="88"/>
      <c r="Q18" s="101" t="s">
        <v>889</v>
      </c>
      <c r="R18" s="102"/>
      <c r="S18" s="98" t="str">
        <f aca="false">IF(OR(R18="",J18=""),"",ROUND(J18*(1+R18/100),2))</f>
        <v/>
      </c>
      <c r="T18" s="103" t="n">
        <v>20</v>
      </c>
      <c r="U18" s="88" t="s">
        <v>303</v>
      </c>
      <c r="V18" s="104" t="s">
        <v>95</v>
      </c>
    </row>
    <row r="19" customFormat="false" ht="23.85" hidden="false" customHeight="false" outlineLevel="0" collapsed="false">
      <c r="A19" s="20" t="s">
        <v>2794</v>
      </c>
      <c r="B19" s="20" t="s">
        <v>2785</v>
      </c>
      <c r="C19" s="19" t="s">
        <v>714</v>
      </c>
      <c r="D19" s="22" t="s">
        <v>91</v>
      </c>
      <c r="E19" s="19" t="s">
        <v>715</v>
      </c>
      <c r="F19" s="20" t="s">
        <v>2271</v>
      </c>
      <c r="G19" s="20"/>
      <c r="H19" s="20" t="s">
        <v>2795</v>
      </c>
      <c r="I19" s="74" t="s">
        <v>81</v>
      </c>
      <c r="J19" s="94" t="n">
        <v>7.24</v>
      </c>
      <c r="K19" s="74" t="s">
        <v>4215</v>
      </c>
      <c r="L19" s="95" t="n">
        <v>8.05</v>
      </c>
      <c r="M19" s="52" t="n">
        <v>10.1</v>
      </c>
      <c r="N19" s="22" t="s">
        <v>4180</v>
      </c>
      <c r="O19" s="96" t="s">
        <v>1007</v>
      </c>
      <c r="P19" s="20"/>
      <c r="Q19" s="19"/>
      <c r="R19" s="92"/>
      <c r="S19" s="95" t="str">
        <f aca="false">IF(OR(R19="",J19=""),"",ROUND(J19*(1+R19/100),2))</f>
        <v/>
      </c>
      <c r="T19" s="97" t="n">
        <v>20</v>
      </c>
      <c r="U19" s="20" t="s">
        <v>119</v>
      </c>
      <c r="V19" s="55" t="s">
        <v>95</v>
      </c>
    </row>
    <row r="20" customFormat="false" ht="23.85" hidden="false" customHeight="false" outlineLevel="0" collapsed="false">
      <c r="A20" s="24" t="s">
        <v>2802</v>
      </c>
      <c r="B20" s="24" t="s">
        <v>2803</v>
      </c>
      <c r="C20" s="23" t="s">
        <v>716</v>
      </c>
      <c r="D20" s="26" t="s">
        <v>519</v>
      </c>
      <c r="E20" s="23" t="s">
        <v>717</v>
      </c>
      <c r="F20" s="24" t="s">
        <v>2039</v>
      </c>
      <c r="G20" s="24" t="s">
        <v>4429</v>
      </c>
      <c r="H20" s="24" t="s">
        <v>2804</v>
      </c>
      <c r="I20" s="24" t="s">
        <v>76</v>
      </c>
      <c r="J20" s="91" t="n">
        <v>6.5</v>
      </c>
      <c r="K20" s="24" t="s">
        <v>939</v>
      </c>
      <c r="L20" s="91"/>
      <c r="M20" s="58"/>
      <c r="N20" s="26" t="s">
        <v>4180</v>
      </c>
      <c r="O20" s="26" t="s">
        <v>1085</v>
      </c>
      <c r="P20" s="24"/>
      <c r="Q20" s="23"/>
      <c r="R20" s="92"/>
      <c r="S20" s="91" t="str">
        <f aca="false">IF(OR(R20="",J20=""),"",ROUND(J20*(1+R20/100),2))</f>
        <v/>
      </c>
      <c r="T20" s="93" t="n">
        <v>20</v>
      </c>
      <c r="U20" s="24" t="s">
        <v>93</v>
      </c>
      <c r="V20" s="61" t="s">
        <v>95</v>
      </c>
    </row>
    <row r="21" customFormat="false" ht="15" hidden="false" customHeight="false" outlineLevel="0" collapsed="false">
      <c r="A21" s="20" t="s">
        <v>2811</v>
      </c>
      <c r="B21" s="20" t="s">
        <v>2803</v>
      </c>
      <c r="C21" s="19" t="s">
        <v>718</v>
      </c>
      <c r="D21" s="22" t="s">
        <v>91</v>
      </c>
      <c r="E21" s="19" t="s">
        <v>719</v>
      </c>
      <c r="F21" s="20" t="s">
        <v>2039</v>
      </c>
      <c r="G21" s="20" t="s">
        <v>4430</v>
      </c>
      <c r="H21" s="20" t="s">
        <v>2812</v>
      </c>
      <c r="I21" s="20" t="s">
        <v>76</v>
      </c>
      <c r="J21" s="95" t="n">
        <v>5.69</v>
      </c>
      <c r="K21" s="20" t="s">
        <v>4179</v>
      </c>
      <c r="L21" s="95" t="n">
        <v>22.83</v>
      </c>
      <c r="M21" s="52" t="n">
        <v>75.1</v>
      </c>
      <c r="N21" s="22" t="s">
        <v>4180</v>
      </c>
      <c r="O21" s="22" t="s">
        <v>1085</v>
      </c>
      <c r="P21" s="20"/>
      <c r="Q21" s="19"/>
      <c r="R21" s="92"/>
      <c r="S21" s="95" t="str">
        <f aca="false">IF(OR(R21="",J21=""),"",ROUND(J21*(1+R21/100),2))</f>
        <v/>
      </c>
      <c r="T21" s="97" t="n">
        <v>20</v>
      </c>
      <c r="U21" s="20" t="s">
        <v>93</v>
      </c>
      <c r="V21" s="55" t="s">
        <v>95</v>
      </c>
    </row>
  </sheetData>
  <autoFilter ref="A1:V21"/>
  <hyperlinks>
    <hyperlink ref="V2" r:id="rId1" display="Voir la fiche"/>
    <hyperlink ref="V3" r:id="rId2" display="Voir la fiche"/>
    <hyperlink ref="V4" r:id="rId3" display="Voir la fiche"/>
    <hyperlink ref="V5" r:id="rId4" display="Voir la fiche"/>
    <hyperlink ref="V7" r:id="rId5" display="Voir la fiche"/>
    <hyperlink ref="V8" r:id="rId6" display="Voir la fiche"/>
    <hyperlink ref="V9" r:id="rId7" display="Voir la fiche"/>
    <hyperlink ref="V10" r:id="rId8" display="Voir la fiche"/>
    <hyperlink ref="V11" r:id="rId9" display="Voir la fiche"/>
    <hyperlink ref="V12" r:id="rId10" display="Voir la fiche"/>
    <hyperlink ref="V13" r:id="rId11" display="Voir la fiche"/>
    <hyperlink ref="V15" r:id="rId12" display="Voir la fiche"/>
    <hyperlink ref="V16" r:id="rId13" display="Voir la fiche"/>
    <hyperlink ref="V17" r:id="rId14" display="Voir la fiche"/>
    <hyperlink ref="V18" r:id="rId15" display="Voir la fiche"/>
    <hyperlink ref="V19" r:id="rId16" display="Voir la fiche"/>
    <hyperlink ref="V20" r:id="rId17" display="Voir la fiche"/>
    <hyperlink ref="V21" r:id="rId18"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9"/>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true"/>
  </sheetPr>
  <dimension ref="A1:V2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23.85" hidden="false" customHeight="false" outlineLevel="0" collapsed="false">
      <c r="A2" s="24" t="s">
        <v>2818</v>
      </c>
      <c r="B2" s="24" t="s">
        <v>2819</v>
      </c>
      <c r="C2" s="23" t="s">
        <v>720</v>
      </c>
      <c r="D2" s="26" t="s">
        <v>203</v>
      </c>
      <c r="E2" s="23" t="s">
        <v>721</v>
      </c>
      <c r="F2" s="24" t="s">
        <v>2039</v>
      </c>
      <c r="G2" s="24" t="s">
        <v>4431</v>
      </c>
      <c r="H2" s="24" t="s">
        <v>2822</v>
      </c>
      <c r="I2" s="24" t="s">
        <v>76</v>
      </c>
      <c r="J2" s="91" t="n">
        <v>21.29</v>
      </c>
      <c r="K2" s="24" t="s">
        <v>939</v>
      </c>
      <c r="L2" s="91"/>
      <c r="M2" s="58"/>
      <c r="N2" s="26" t="s">
        <v>4180</v>
      </c>
      <c r="O2" s="26" t="s">
        <v>942</v>
      </c>
      <c r="P2" s="24" t="s">
        <v>4432</v>
      </c>
      <c r="Q2" s="23"/>
      <c r="R2" s="92"/>
      <c r="S2" s="91" t="str">
        <f aca="false">IF(OR(R2="",J2=""),"",ROUND(J2*(1+R2/100),2))</f>
        <v/>
      </c>
      <c r="T2" s="93" t="n">
        <v>20</v>
      </c>
      <c r="U2" s="24" t="s">
        <v>93</v>
      </c>
      <c r="V2" s="61" t="s">
        <v>95</v>
      </c>
    </row>
    <row r="3" customFormat="false" ht="23.85" hidden="false" customHeight="false" outlineLevel="0" collapsed="false">
      <c r="A3" s="88" t="s">
        <v>2823</v>
      </c>
      <c r="B3" s="88" t="s">
        <v>2819</v>
      </c>
      <c r="C3" s="89" t="s">
        <v>722</v>
      </c>
      <c r="D3" s="90" t="s">
        <v>203</v>
      </c>
      <c r="E3" s="89" t="s">
        <v>723</v>
      </c>
      <c r="F3" s="88" t="s">
        <v>2039</v>
      </c>
      <c r="G3" s="88" t="s">
        <v>4433</v>
      </c>
      <c r="H3" s="88" t="s">
        <v>2824</v>
      </c>
      <c r="I3" s="88" t="s">
        <v>76</v>
      </c>
      <c r="J3" s="98" t="n">
        <v>9.58</v>
      </c>
      <c r="K3" s="88" t="s">
        <v>4179</v>
      </c>
      <c r="L3" s="98" t="n">
        <v>33.54</v>
      </c>
      <c r="M3" s="99" t="n">
        <v>71.4</v>
      </c>
      <c r="N3" s="90" t="s">
        <v>4180</v>
      </c>
      <c r="O3" s="100" t="s">
        <v>1052</v>
      </c>
      <c r="P3" s="88" t="s">
        <v>4434</v>
      </c>
      <c r="Q3" s="101" t="s">
        <v>889</v>
      </c>
      <c r="R3" s="102"/>
      <c r="S3" s="98" t="str">
        <f aca="false">IF(OR(R3="",J3=""),"",ROUND(J3*(1+R3/100),2))</f>
        <v/>
      </c>
      <c r="T3" s="103" t="n">
        <v>20</v>
      </c>
      <c r="U3" s="88" t="s">
        <v>93</v>
      </c>
      <c r="V3" s="104" t="s">
        <v>95</v>
      </c>
    </row>
    <row r="4" customFormat="false" ht="23.85" hidden="false" customHeight="false" outlineLevel="0" collapsed="false">
      <c r="A4" s="24" t="s">
        <v>2828</v>
      </c>
      <c r="B4" s="24" t="s">
        <v>2819</v>
      </c>
      <c r="C4" s="23" t="s">
        <v>724</v>
      </c>
      <c r="D4" s="26" t="s">
        <v>203</v>
      </c>
      <c r="E4" s="23" t="s">
        <v>725</v>
      </c>
      <c r="F4" s="24" t="s">
        <v>2039</v>
      </c>
      <c r="G4" s="24" t="s">
        <v>4435</v>
      </c>
      <c r="H4" s="24" t="s">
        <v>2829</v>
      </c>
      <c r="I4" s="24" t="s">
        <v>76</v>
      </c>
      <c r="J4" s="91" t="n">
        <v>15.94</v>
      </c>
      <c r="K4" s="24" t="s">
        <v>4179</v>
      </c>
      <c r="L4" s="91" t="n">
        <v>20.2</v>
      </c>
      <c r="M4" s="58" t="n">
        <v>21.1</v>
      </c>
      <c r="N4" s="26" t="s">
        <v>4180</v>
      </c>
      <c r="O4" s="26" t="s">
        <v>942</v>
      </c>
      <c r="P4" s="24" t="s">
        <v>4436</v>
      </c>
      <c r="Q4" s="23"/>
      <c r="R4" s="92"/>
      <c r="S4" s="91" t="str">
        <f aca="false">IF(OR(R4="",J4=""),"",ROUND(J4*(1+R4/100),2))</f>
        <v/>
      </c>
      <c r="T4" s="93" t="n">
        <v>20</v>
      </c>
      <c r="U4" s="24" t="s">
        <v>93</v>
      </c>
      <c r="V4" s="61" t="s">
        <v>95</v>
      </c>
    </row>
    <row r="5" customFormat="false" ht="23.85" hidden="false" customHeight="false" outlineLevel="0" collapsed="false">
      <c r="A5" s="88" t="s">
        <v>2832</v>
      </c>
      <c r="B5" s="88" t="s">
        <v>2819</v>
      </c>
      <c r="C5" s="89" t="s">
        <v>726</v>
      </c>
      <c r="D5" s="90" t="s">
        <v>203</v>
      </c>
      <c r="E5" s="89" t="s">
        <v>727</v>
      </c>
      <c r="F5" s="88" t="s">
        <v>2835</v>
      </c>
      <c r="G5" s="88" t="s">
        <v>4437</v>
      </c>
      <c r="H5" s="88" t="s">
        <v>2836</v>
      </c>
      <c r="I5" s="88" t="s">
        <v>76</v>
      </c>
      <c r="J5" s="98" t="n">
        <v>18.9</v>
      </c>
      <c r="K5" s="88" t="s">
        <v>939</v>
      </c>
      <c r="L5" s="98"/>
      <c r="M5" s="99"/>
      <c r="N5" s="90" t="s">
        <v>4180</v>
      </c>
      <c r="O5" s="100" t="s">
        <v>1052</v>
      </c>
      <c r="P5" s="88" t="s">
        <v>4438</v>
      </c>
      <c r="Q5" s="101" t="s">
        <v>889</v>
      </c>
      <c r="R5" s="102"/>
      <c r="S5" s="98" t="str">
        <f aca="false">IF(OR(R5="",J5=""),"",ROUND(J5*(1+R5/100),2))</f>
        <v/>
      </c>
      <c r="T5" s="103" t="n">
        <v>20</v>
      </c>
      <c r="U5" s="88" t="s">
        <v>93</v>
      </c>
      <c r="V5" s="104" t="s">
        <v>95</v>
      </c>
    </row>
    <row r="6" customFormat="false" ht="15" hidden="false" customHeight="false" outlineLevel="0" collapsed="false">
      <c r="A6" s="24" t="s">
        <v>2837</v>
      </c>
      <c r="B6" s="24" t="s">
        <v>2819</v>
      </c>
      <c r="C6" s="23" t="s">
        <v>728</v>
      </c>
      <c r="D6" s="26" t="s">
        <v>91</v>
      </c>
      <c r="E6" s="23" t="s">
        <v>729</v>
      </c>
      <c r="F6" s="24" t="s">
        <v>2042</v>
      </c>
      <c r="G6" s="24" t="s">
        <v>4439</v>
      </c>
      <c r="H6" s="24" t="s">
        <v>2838</v>
      </c>
      <c r="I6" s="74" t="s">
        <v>81</v>
      </c>
      <c r="J6" s="94" t="n">
        <v>0.42</v>
      </c>
      <c r="K6" s="74" t="s">
        <v>4241</v>
      </c>
      <c r="L6" s="91" t="n">
        <v>0.44</v>
      </c>
      <c r="M6" s="58" t="n">
        <v>4.5</v>
      </c>
      <c r="N6" s="26" t="s">
        <v>4180</v>
      </c>
      <c r="O6" s="96" t="s">
        <v>1016</v>
      </c>
      <c r="P6" s="24" t="s">
        <v>2839</v>
      </c>
      <c r="Q6" s="105" t="s">
        <v>889</v>
      </c>
      <c r="R6" s="92"/>
      <c r="S6" s="91" t="str">
        <f aca="false">IF(OR(R6="",J6=""),"",ROUND(J6*(1+R6/100),2))</f>
        <v/>
      </c>
      <c r="T6" s="93" t="n">
        <v>20</v>
      </c>
      <c r="U6" s="24" t="s">
        <v>119</v>
      </c>
      <c r="V6" s="61" t="s">
        <v>95</v>
      </c>
    </row>
    <row r="7" customFormat="false" ht="23.85" hidden="false" customHeight="false" outlineLevel="0" collapsed="false">
      <c r="A7" s="20" t="s">
        <v>2842</v>
      </c>
      <c r="B7" s="20" t="s">
        <v>2843</v>
      </c>
      <c r="C7" s="19" t="s">
        <v>730</v>
      </c>
      <c r="D7" s="22" t="s">
        <v>203</v>
      </c>
      <c r="E7" s="19" t="s">
        <v>731</v>
      </c>
      <c r="F7" s="20" t="s">
        <v>2844</v>
      </c>
      <c r="G7" s="20" t="s">
        <v>4440</v>
      </c>
      <c r="H7" s="20" t="s">
        <v>2845</v>
      </c>
      <c r="I7" s="20" t="s">
        <v>76</v>
      </c>
      <c r="J7" s="95" t="n">
        <v>3.31</v>
      </c>
      <c r="K7" s="20" t="s">
        <v>4179</v>
      </c>
      <c r="L7" s="95" t="n">
        <v>5.82</v>
      </c>
      <c r="M7" s="52" t="n">
        <v>43.1</v>
      </c>
      <c r="N7" s="22" t="s">
        <v>4180</v>
      </c>
      <c r="O7" s="22" t="s">
        <v>942</v>
      </c>
      <c r="P7" s="20" t="s">
        <v>4371</v>
      </c>
      <c r="Q7" s="19"/>
      <c r="R7" s="92"/>
      <c r="S7" s="95" t="str">
        <f aca="false">IF(OR(R7="",J7=""),"",ROUND(J7*(1+R7/100),2))</f>
        <v/>
      </c>
      <c r="T7" s="97" t="n">
        <v>20</v>
      </c>
      <c r="U7" s="20" t="s">
        <v>93</v>
      </c>
      <c r="V7" s="55" t="s">
        <v>95</v>
      </c>
    </row>
    <row r="8" customFormat="false" ht="15" hidden="false" customHeight="false" outlineLevel="0" collapsed="false">
      <c r="A8" s="24" t="s">
        <v>2854</v>
      </c>
      <c r="B8" s="24" t="s">
        <v>2843</v>
      </c>
      <c r="C8" s="23" t="s">
        <v>732</v>
      </c>
      <c r="D8" s="26" t="s">
        <v>203</v>
      </c>
      <c r="E8" s="23" t="s">
        <v>733</v>
      </c>
      <c r="F8" s="24" t="s">
        <v>1702</v>
      </c>
      <c r="G8" s="24" t="s">
        <v>4441</v>
      </c>
      <c r="H8" s="24" t="s">
        <v>2855</v>
      </c>
      <c r="I8" s="24" t="s">
        <v>76</v>
      </c>
      <c r="J8" s="91" t="n">
        <v>7.56</v>
      </c>
      <c r="K8" s="24" t="s">
        <v>939</v>
      </c>
      <c r="L8" s="91"/>
      <c r="M8" s="58"/>
      <c r="N8" s="26" t="s">
        <v>4180</v>
      </c>
      <c r="O8" s="26" t="s">
        <v>942</v>
      </c>
      <c r="P8" s="24" t="s">
        <v>4226</v>
      </c>
      <c r="Q8" s="23"/>
      <c r="R8" s="92"/>
      <c r="S8" s="91" t="str">
        <f aca="false">IF(OR(R8="",J8=""),"",ROUND(J8*(1+R8/100),2))</f>
        <v/>
      </c>
      <c r="T8" s="93" t="n">
        <v>20</v>
      </c>
      <c r="U8" s="24" t="s">
        <v>93</v>
      </c>
      <c r="V8" s="61" t="s">
        <v>95</v>
      </c>
    </row>
    <row r="9" customFormat="false" ht="23.85" hidden="false" customHeight="false" outlineLevel="0" collapsed="false">
      <c r="A9" s="88" t="s">
        <v>2861</v>
      </c>
      <c r="B9" s="88" t="s">
        <v>2843</v>
      </c>
      <c r="C9" s="89" t="s">
        <v>734</v>
      </c>
      <c r="D9" s="90" t="s">
        <v>91</v>
      </c>
      <c r="E9" s="89" t="s">
        <v>735</v>
      </c>
      <c r="F9" s="88" t="s">
        <v>2862</v>
      </c>
      <c r="G9" s="88" t="s">
        <v>4442</v>
      </c>
      <c r="H9" s="88" t="s">
        <v>2863</v>
      </c>
      <c r="I9" s="88" t="s">
        <v>76</v>
      </c>
      <c r="J9" s="98" t="n">
        <v>67.69</v>
      </c>
      <c r="K9" s="88" t="s">
        <v>939</v>
      </c>
      <c r="L9" s="98"/>
      <c r="M9" s="99"/>
      <c r="N9" s="90" t="s">
        <v>4180</v>
      </c>
      <c r="O9" s="100" t="s">
        <v>1052</v>
      </c>
      <c r="P9" s="88" t="s">
        <v>4443</v>
      </c>
      <c r="Q9" s="101" t="s">
        <v>891</v>
      </c>
      <c r="R9" s="102"/>
      <c r="S9" s="98" t="str">
        <f aca="false">IF(OR(R9="",J9=""),"",ROUND(J9*(1+R9/100),2))</f>
        <v/>
      </c>
      <c r="T9" s="103" t="n">
        <v>20</v>
      </c>
      <c r="U9" s="88" t="s">
        <v>93</v>
      </c>
      <c r="V9" s="104" t="s">
        <v>95</v>
      </c>
    </row>
    <row r="10" customFormat="false" ht="22.35" hidden="false" customHeight="false" outlineLevel="0" collapsed="false">
      <c r="A10" s="24" t="s">
        <v>2864</v>
      </c>
      <c r="B10" s="24" t="s">
        <v>2843</v>
      </c>
      <c r="C10" s="23" t="s">
        <v>736</v>
      </c>
      <c r="D10" s="26" t="s">
        <v>91</v>
      </c>
      <c r="E10" s="23" t="s">
        <v>737</v>
      </c>
      <c r="F10" s="24" t="s">
        <v>2865</v>
      </c>
      <c r="G10" s="24" t="s">
        <v>4444</v>
      </c>
      <c r="H10" s="24" t="s">
        <v>2866</v>
      </c>
      <c r="I10" s="24" t="s">
        <v>76</v>
      </c>
      <c r="J10" s="91" t="n">
        <v>5.3</v>
      </c>
      <c r="K10" s="24" t="s">
        <v>939</v>
      </c>
      <c r="L10" s="91"/>
      <c r="M10" s="58"/>
      <c r="N10" s="26" t="s">
        <v>4180</v>
      </c>
      <c r="O10" s="26" t="s">
        <v>942</v>
      </c>
      <c r="P10" s="24" t="s">
        <v>4217</v>
      </c>
      <c r="Q10" s="105" t="s">
        <v>891</v>
      </c>
      <c r="R10" s="92"/>
      <c r="S10" s="91" t="str">
        <f aca="false">IF(OR(R10="",J10=""),"",ROUND(J10*(1+R10/100),2))</f>
        <v/>
      </c>
      <c r="T10" s="93" t="n">
        <v>20</v>
      </c>
      <c r="U10" s="24" t="s">
        <v>93</v>
      </c>
      <c r="V10" s="61" t="s">
        <v>95</v>
      </c>
    </row>
    <row r="11" customFormat="false" ht="23.85" hidden="false" customHeight="false" outlineLevel="0" collapsed="false">
      <c r="A11" s="88" t="s">
        <v>2867</v>
      </c>
      <c r="B11" s="88" t="s">
        <v>2868</v>
      </c>
      <c r="C11" s="89" t="s">
        <v>738</v>
      </c>
      <c r="D11" s="90" t="s">
        <v>91</v>
      </c>
      <c r="E11" s="89" t="s">
        <v>739</v>
      </c>
      <c r="F11" s="88" t="s">
        <v>2039</v>
      </c>
      <c r="G11" s="88" t="s">
        <v>4445</v>
      </c>
      <c r="H11" s="88" t="s">
        <v>2869</v>
      </c>
      <c r="I11" s="88" t="s">
        <v>76</v>
      </c>
      <c r="J11" s="98" t="n">
        <v>29.55</v>
      </c>
      <c r="K11" s="88" t="s">
        <v>939</v>
      </c>
      <c r="L11" s="98"/>
      <c r="M11" s="99"/>
      <c r="N11" s="90" t="s">
        <v>4180</v>
      </c>
      <c r="O11" s="100" t="s">
        <v>1052</v>
      </c>
      <c r="P11" s="88"/>
      <c r="Q11" s="101" t="s">
        <v>889</v>
      </c>
      <c r="R11" s="102"/>
      <c r="S11" s="98" t="str">
        <f aca="false">IF(OR(R11="",J11=""),"",ROUND(J11*(1+R11/100),2))</f>
        <v/>
      </c>
      <c r="T11" s="103" t="n">
        <v>20</v>
      </c>
      <c r="U11" s="88" t="s">
        <v>93</v>
      </c>
      <c r="V11" s="104" t="s">
        <v>95</v>
      </c>
    </row>
    <row r="12" customFormat="false" ht="23.85" hidden="false" customHeight="false" outlineLevel="0" collapsed="false">
      <c r="A12" s="24" t="s">
        <v>2870</v>
      </c>
      <c r="B12" s="24" t="s">
        <v>2868</v>
      </c>
      <c r="C12" s="23" t="s">
        <v>740</v>
      </c>
      <c r="D12" s="26" t="s">
        <v>188</v>
      </c>
      <c r="E12" s="23" t="s">
        <v>741</v>
      </c>
      <c r="F12" s="24" t="s">
        <v>2039</v>
      </c>
      <c r="G12" s="24" t="s">
        <v>4446</v>
      </c>
      <c r="H12" s="24" t="s">
        <v>2873</v>
      </c>
      <c r="I12" s="24" t="s">
        <v>76</v>
      </c>
      <c r="J12" s="91" t="n">
        <v>7.87</v>
      </c>
      <c r="K12" s="24" t="s">
        <v>939</v>
      </c>
      <c r="L12" s="91"/>
      <c r="M12" s="58"/>
      <c r="N12" s="26" t="s">
        <v>4180</v>
      </c>
      <c r="O12" s="26" t="s">
        <v>942</v>
      </c>
      <c r="P12" s="24" t="s">
        <v>4447</v>
      </c>
      <c r="Q12" s="23"/>
      <c r="R12" s="92"/>
      <c r="S12" s="91" t="str">
        <f aca="false">IF(OR(R12="",J12=""),"",ROUND(J12*(1+R12/100),2))</f>
        <v/>
      </c>
      <c r="T12" s="93" t="n">
        <v>20</v>
      </c>
      <c r="U12" s="24" t="s">
        <v>93</v>
      </c>
      <c r="V12" s="61" t="s">
        <v>95</v>
      </c>
    </row>
    <row r="13" customFormat="false" ht="15" hidden="false" customHeight="false" outlineLevel="0" collapsed="false">
      <c r="A13" s="20" t="s">
        <v>2874</v>
      </c>
      <c r="B13" s="20" t="s">
        <v>2868</v>
      </c>
      <c r="C13" s="19" t="s">
        <v>742</v>
      </c>
      <c r="D13" s="22" t="s">
        <v>188</v>
      </c>
      <c r="E13" s="19" t="s">
        <v>743</v>
      </c>
      <c r="F13" s="20"/>
      <c r="G13" s="20" t="s">
        <v>4448</v>
      </c>
      <c r="H13" s="20" t="s">
        <v>2875</v>
      </c>
      <c r="I13" s="20" t="s">
        <v>76</v>
      </c>
      <c r="J13" s="95" t="n">
        <v>2.26</v>
      </c>
      <c r="K13" s="20" t="s">
        <v>939</v>
      </c>
      <c r="L13" s="95"/>
      <c r="M13" s="52"/>
      <c r="N13" s="22" t="s">
        <v>4180</v>
      </c>
      <c r="O13" s="22" t="s">
        <v>942</v>
      </c>
      <c r="P13" s="20"/>
      <c r="Q13" s="19"/>
      <c r="R13" s="92"/>
      <c r="S13" s="95" t="str">
        <f aca="false">IF(OR(R13="",J13=""),"",ROUND(J13*(1+R13/100),2))</f>
        <v/>
      </c>
      <c r="T13" s="97" t="n">
        <v>20</v>
      </c>
      <c r="U13" s="20" t="s">
        <v>93</v>
      </c>
      <c r="V13" s="55" t="s">
        <v>95</v>
      </c>
    </row>
    <row r="14" customFormat="false" ht="23.85" hidden="false" customHeight="false" outlineLevel="0" collapsed="false">
      <c r="A14" s="24" t="s">
        <v>2883</v>
      </c>
      <c r="B14" s="24" t="s">
        <v>2884</v>
      </c>
      <c r="C14" s="23" t="s">
        <v>744</v>
      </c>
      <c r="D14" s="26" t="s">
        <v>91</v>
      </c>
      <c r="E14" s="23" t="s">
        <v>745</v>
      </c>
      <c r="F14" s="24"/>
      <c r="G14" s="24"/>
      <c r="H14" s="24" t="s">
        <v>2885</v>
      </c>
      <c r="I14" s="24" t="s">
        <v>80</v>
      </c>
      <c r="J14" s="91" t="n">
        <v>0.89</v>
      </c>
      <c r="K14" s="24" t="s">
        <v>4198</v>
      </c>
      <c r="L14" s="91" t="n">
        <v>14</v>
      </c>
      <c r="M14" s="58" t="n">
        <v>93.6</v>
      </c>
      <c r="N14" s="26" t="s">
        <v>4180</v>
      </c>
      <c r="O14" s="26" t="s">
        <v>942</v>
      </c>
      <c r="P14" s="24"/>
      <c r="Q14" s="23"/>
      <c r="R14" s="92"/>
      <c r="S14" s="91" t="str">
        <f aca="false">IF(OR(R14="",J14=""),"",ROUND(J14*(1+R14/100),2))</f>
        <v/>
      </c>
      <c r="T14" s="93" t="n">
        <v>20</v>
      </c>
      <c r="U14" s="24" t="s">
        <v>303</v>
      </c>
      <c r="V14" s="61" t="s">
        <v>95</v>
      </c>
    </row>
    <row r="15" customFormat="false" ht="15" hidden="false" customHeight="false" outlineLevel="0" collapsed="false">
      <c r="A15" s="88" t="s">
        <v>2891</v>
      </c>
      <c r="B15" s="88" t="s">
        <v>2884</v>
      </c>
      <c r="C15" s="89" t="s">
        <v>746</v>
      </c>
      <c r="D15" s="90" t="s">
        <v>91</v>
      </c>
      <c r="E15" s="89" t="s">
        <v>747</v>
      </c>
      <c r="F15" s="88" t="s">
        <v>2892</v>
      </c>
      <c r="G15" s="88" t="s">
        <v>4449</v>
      </c>
      <c r="H15" s="88" t="s">
        <v>2893</v>
      </c>
      <c r="I15" s="88" t="s">
        <v>76</v>
      </c>
      <c r="J15" s="98" t="n">
        <v>31.44</v>
      </c>
      <c r="K15" s="88" t="s">
        <v>939</v>
      </c>
      <c r="L15" s="98"/>
      <c r="M15" s="99"/>
      <c r="N15" s="90" t="s">
        <v>4180</v>
      </c>
      <c r="O15" s="100" t="s">
        <v>1052</v>
      </c>
      <c r="P15" s="88"/>
      <c r="Q15" s="101" t="s">
        <v>889</v>
      </c>
      <c r="R15" s="102"/>
      <c r="S15" s="98" t="str">
        <f aca="false">IF(OR(R15="",J15=""),"",ROUND(J15*(1+R15/100),2))</f>
        <v/>
      </c>
      <c r="T15" s="103" t="n">
        <v>20</v>
      </c>
      <c r="U15" s="88" t="s">
        <v>93</v>
      </c>
      <c r="V15" s="104" t="s">
        <v>95</v>
      </c>
    </row>
    <row r="16" customFormat="false" ht="15" hidden="false" customHeight="false" outlineLevel="0" collapsed="false">
      <c r="A16" s="24" t="s">
        <v>2894</v>
      </c>
      <c r="B16" s="24" t="s">
        <v>2884</v>
      </c>
      <c r="C16" s="23" t="s">
        <v>748</v>
      </c>
      <c r="D16" s="26" t="s">
        <v>137</v>
      </c>
      <c r="E16" s="23" t="s">
        <v>749</v>
      </c>
      <c r="F16" s="24" t="s">
        <v>2327</v>
      </c>
      <c r="G16" s="24" t="s">
        <v>4450</v>
      </c>
      <c r="H16" s="24" t="s">
        <v>2895</v>
      </c>
      <c r="I16" s="74" t="s">
        <v>81</v>
      </c>
      <c r="J16" s="94" t="n">
        <v>2.33</v>
      </c>
      <c r="K16" s="74" t="s">
        <v>4241</v>
      </c>
      <c r="L16" s="91" t="n">
        <v>2.56</v>
      </c>
      <c r="M16" s="58" t="n">
        <v>9</v>
      </c>
      <c r="N16" s="26" t="s">
        <v>4180</v>
      </c>
      <c r="O16" s="96" t="s">
        <v>1016</v>
      </c>
      <c r="P16" s="24" t="s">
        <v>4451</v>
      </c>
      <c r="Q16" s="105" t="s">
        <v>889</v>
      </c>
      <c r="R16" s="92"/>
      <c r="S16" s="91" t="str">
        <f aca="false">IF(OR(R16="",J16=""),"",ROUND(J16*(1+R16/100),2))</f>
        <v/>
      </c>
      <c r="T16" s="93" t="n">
        <v>20</v>
      </c>
      <c r="U16" s="24" t="s">
        <v>169</v>
      </c>
      <c r="V16" s="61" t="s">
        <v>95</v>
      </c>
    </row>
    <row r="17" customFormat="false" ht="23.85" hidden="false" customHeight="false" outlineLevel="0" collapsed="false">
      <c r="A17" s="20" t="s">
        <v>2903</v>
      </c>
      <c r="B17" s="20" t="s">
        <v>2904</v>
      </c>
      <c r="C17" s="19" t="s">
        <v>750</v>
      </c>
      <c r="D17" s="22" t="s">
        <v>519</v>
      </c>
      <c r="E17" s="19" t="s">
        <v>751</v>
      </c>
      <c r="F17" s="20" t="s">
        <v>2256</v>
      </c>
      <c r="G17" s="20" t="s">
        <v>4452</v>
      </c>
      <c r="H17" s="20" t="s">
        <v>2907</v>
      </c>
      <c r="I17" s="20" t="s">
        <v>76</v>
      </c>
      <c r="J17" s="95" t="n">
        <v>3.45</v>
      </c>
      <c r="K17" s="20" t="s">
        <v>939</v>
      </c>
      <c r="L17" s="95"/>
      <c r="M17" s="52"/>
      <c r="N17" s="22" t="s">
        <v>4180</v>
      </c>
      <c r="O17" s="22" t="s">
        <v>942</v>
      </c>
      <c r="P17" s="20" t="s">
        <v>4453</v>
      </c>
      <c r="Q17" s="19"/>
      <c r="R17" s="92"/>
      <c r="S17" s="95" t="str">
        <f aca="false">IF(OR(R17="",J17=""),"",ROUND(J17*(1+R17/100),2))</f>
        <v/>
      </c>
      <c r="T17" s="97" t="n">
        <v>20</v>
      </c>
      <c r="U17" s="20" t="s">
        <v>93</v>
      </c>
      <c r="V17" s="55" t="s">
        <v>95</v>
      </c>
    </row>
    <row r="18" customFormat="false" ht="15" hidden="false" customHeight="false" outlineLevel="0" collapsed="false">
      <c r="A18" s="24" t="s">
        <v>2914</v>
      </c>
      <c r="B18" s="24" t="s">
        <v>2904</v>
      </c>
      <c r="C18" s="23" t="s">
        <v>752</v>
      </c>
      <c r="D18" s="26" t="s">
        <v>519</v>
      </c>
      <c r="E18" s="23" t="s">
        <v>753</v>
      </c>
      <c r="F18" s="24" t="s">
        <v>1293</v>
      </c>
      <c r="G18" s="24" t="s">
        <v>4454</v>
      </c>
      <c r="H18" s="24" t="s">
        <v>2915</v>
      </c>
      <c r="I18" s="24" t="s">
        <v>76</v>
      </c>
      <c r="J18" s="91" t="n">
        <v>3.98</v>
      </c>
      <c r="K18" s="24" t="s">
        <v>939</v>
      </c>
      <c r="L18" s="91"/>
      <c r="M18" s="58"/>
      <c r="N18" s="26" t="s">
        <v>4180</v>
      </c>
      <c r="O18" s="26" t="s">
        <v>1085</v>
      </c>
      <c r="P18" s="24"/>
      <c r="Q18" s="23"/>
      <c r="R18" s="92"/>
      <c r="S18" s="91" t="str">
        <f aca="false">IF(OR(R18="",J18=""),"",ROUND(J18*(1+R18/100),2))</f>
        <v/>
      </c>
      <c r="T18" s="93" t="n">
        <v>20</v>
      </c>
      <c r="U18" s="24" t="s">
        <v>93</v>
      </c>
      <c r="V18" s="61" t="s">
        <v>95</v>
      </c>
    </row>
    <row r="19" customFormat="false" ht="23.85" hidden="false" customHeight="false" outlineLevel="0" collapsed="false">
      <c r="A19" s="20" t="s">
        <v>2924</v>
      </c>
      <c r="B19" s="20" t="s">
        <v>2904</v>
      </c>
      <c r="C19" s="19" t="s">
        <v>754</v>
      </c>
      <c r="D19" s="22" t="s">
        <v>519</v>
      </c>
      <c r="E19" s="19" t="s">
        <v>755</v>
      </c>
      <c r="F19" s="20" t="s">
        <v>2107</v>
      </c>
      <c r="G19" s="20" t="s">
        <v>4455</v>
      </c>
      <c r="H19" s="20" t="s">
        <v>2931</v>
      </c>
      <c r="I19" s="20" t="s">
        <v>76</v>
      </c>
      <c r="J19" s="95" t="n">
        <v>11.9</v>
      </c>
      <c r="K19" s="20" t="s">
        <v>939</v>
      </c>
      <c r="L19" s="95"/>
      <c r="M19" s="52"/>
      <c r="N19" s="22" t="s">
        <v>4180</v>
      </c>
      <c r="O19" s="22" t="s">
        <v>942</v>
      </c>
      <c r="P19" s="20" t="s">
        <v>4456</v>
      </c>
      <c r="Q19" s="19"/>
      <c r="R19" s="92"/>
      <c r="S19" s="95" t="str">
        <f aca="false">IF(OR(R19="",J19=""),"",ROUND(J19*(1+R19/100),2))</f>
        <v/>
      </c>
      <c r="T19" s="97" t="n">
        <v>20</v>
      </c>
      <c r="U19" s="20" t="s">
        <v>93</v>
      </c>
      <c r="V19" s="55" t="s">
        <v>95</v>
      </c>
    </row>
    <row r="20" customFormat="false" ht="15" hidden="false" customHeight="false" outlineLevel="0" collapsed="false">
      <c r="A20" s="24" t="s">
        <v>2932</v>
      </c>
      <c r="B20" s="24" t="s">
        <v>2904</v>
      </c>
      <c r="C20" s="23" t="s">
        <v>756</v>
      </c>
      <c r="D20" s="26" t="s">
        <v>757</v>
      </c>
      <c r="E20" s="23" t="s">
        <v>758</v>
      </c>
      <c r="F20" s="24" t="s">
        <v>2039</v>
      </c>
      <c r="G20" s="24" t="s">
        <v>4457</v>
      </c>
      <c r="H20" s="24" t="s">
        <v>2935</v>
      </c>
      <c r="I20" s="24" t="s">
        <v>76</v>
      </c>
      <c r="J20" s="91" t="n">
        <v>6.5</v>
      </c>
      <c r="K20" s="24" t="s">
        <v>939</v>
      </c>
      <c r="L20" s="91"/>
      <c r="M20" s="58"/>
      <c r="N20" s="26" t="s">
        <v>4180</v>
      </c>
      <c r="O20" s="26" t="s">
        <v>1085</v>
      </c>
      <c r="P20" s="24"/>
      <c r="Q20" s="23"/>
      <c r="R20" s="92"/>
      <c r="S20" s="91" t="str">
        <f aca="false">IF(OR(R20="",J20=""),"",ROUND(J20*(1+R20/100),2))</f>
        <v/>
      </c>
      <c r="T20" s="93" t="n">
        <v>20</v>
      </c>
      <c r="U20" s="24" t="s">
        <v>93</v>
      </c>
      <c r="V20" s="61" t="s">
        <v>95</v>
      </c>
    </row>
    <row r="21" customFormat="false" ht="15" hidden="false" customHeight="false" outlineLevel="0" collapsed="false">
      <c r="A21" s="88" t="s">
        <v>2940</v>
      </c>
      <c r="B21" s="88" t="s">
        <v>2904</v>
      </c>
      <c r="C21" s="89" t="s">
        <v>759</v>
      </c>
      <c r="D21" s="90" t="s">
        <v>344</v>
      </c>
      <c r="E21" s="89" t="s">
        <v>760</v>
      </c>
      <c r="F21" s="88" t="s">
        <v>2941</v>
      </c>
      <c r="G21" s="88" t="s">
        <v>4458</v>
      </c>
      <c r="H21" s="88" t="s">
        <v>2942</v>
      </c>
      <c r="I21" s="88" t="s">
        <v>76</v>
      </c>
      <c r="J21" s="98" t="n">
        <v>70.24</v>
      </c>
      <c r="K21" s="88" t="s">
        <v>939</v>
      </c>
      <c r="L21" s="98"/>
      <c r="M21" s="99"/>
      <c r="N21" s="90" t="s">
        <v>4180</v>
      </c>
      <c r="O21" s="100" t="s">
        <v>1052</v>
      </c>
      <c r="P21" s="88" t="s">
        <v>4459</v>
      </c>
      <c r="Q21" s="101" t="s">
        <v>889</v>
      </c>
      <c r="R21" s="102"/>
      <c r="S21" s="98" t="str">
        <f aca="false">IF(OR(R21="",J21=""),"",ROUND(J21*(1+R21/100),2))</f>
        <v/>
      </c>
      <c r="T21" s="103" t="n">
        <v>20</v>
      </c>
      <c r="U21" s="88" t="s">
        <v>93</v>
      </c>
      <c r="V21" s="104" t="s">
        <v>95</v>
      </c>
    </row>
  </sheetData>
  <autoFilter ref="A1:V21"/>
  <hyperlinks>
    <hyperlink ref="V2" r:id="rId1" display="Voir la fiche"/>
    <hyperlink ref="V3" r:id="rId2" display="Voir la fiche"/>
    <hyperlink ref="V4" r:id="rId3" display="Voir la fiche"/>
    <hyperlink ref="V5" r:id="rId4" display="Voir la fiche"/>
    <hyperlink ref="V6" r:id="rId5" display="Voir la fiche"/>
    <hyperlink ref="V7" r:id="rId6" display="Voir la fiche"/>
    <hyperlink ref="V8" r:id="rId7" display="Voir la fiche"/>
    <hyperlink ref="V9" r:id="rId8" display="Voir la fiche"/>
    <hyperlink ref="V10" r:id="rId9" display="Voir la fiche"/>
    <hyperlink ref="V11" r:id="rId10" display="Voir la fiche"/>
    <hyperlink ref="V12" r:id="rId11" display="Voir la fiche"/>
    <hyperlink ref="V13" r:id="rId12" display="Voir la fiche"/>
    <hyperlink ref="V14" r:id="rId13" display="Voir la fiche"/>
    <hyperlink ref="V15" r:id="rId14" display="Voir la fiche"/>
    <hyperlink ref="V16" r:id="rId15" display="Voir la fiche"/>
    <hyperlink ref="V17" r:id="rId16" display="Voir la fiche"/>
    <hyperlink ref="V18" r:id="rId17" display="Voir la fiche"/>
    <hyperlink ref="V19" r:id="rId18" display="Voir la fiche"/>
    <hyperlink ref="V20" r:id="rId19" display="Voir la fiche"/>
    <hyperlink ref="V21" r:id="rId20"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2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8135"/>
    <pageSetUpPr fitToPage="true"/>
  </sheetPr>
  <dimension ref="A1:V2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15" hidden="false" customHeight="false" outlineLevel="0" collapsed="false">
      <c r="A2" s="24" t="s">
        <v>2943</v>
      </c>
      <c r="B2" s="24" t="s">
        <v>2944</v>
      </c>
      <c r="C2" s="23" t="s">
        <v>761</v>
      </c>
      <c r="D2" s="26" t="s">
        <v>91</v>
      </c>
      <c r="E2" s="23" t="s">
        <v>762</v>
      </c>
      <c r="F2" s="24" t="s">
        <v>2544</v>
      </c>
      <c r="G2" s="24" t="s">
        <v>4460</v>
      </c>
      <c r="H2" s="24" t="s">
        <v>2945</v>
      </c>
      <c r="I2" s="74" t="s">
        <v>81</v>
      </c>
      <c r="J2" s="94" t="n">
        <v>5.23</v>
      </c>
      <c r="K2" s="74" t="s">
        <v>4215</v>
      </c>
      <c r="L2" s="91" t="n">
        <v>5.5</v>
      </c>
      <c r="M2" s="58" t="n">
        <v>4.9</v>
      </c>
      <c r="N2" s="26" t="s">
        <v>4180</v>
      </c>
      <c r="O2" s="96" t="s">
        <v>1007</v>
      </c>
      <c r="P2" s="24"/>
      <c r="Q2" s="23"/>
      <c r="R2" s="92"/>
      <c r="S2" s="91" t="str">
        <f aca="false">IF(OR(R2="",J2=""),"",ROUND(J2*(1+R2/100),2))</f>
        <v/>
      </c>
      <c r="T2" s="93" t="n">
        <v>20</v>
      </c>
      <c r="U2" s="24" t="s">
        <v>119</v>
      </c>
      <c r="V2" s="61" t="s">
        <v>95</v>
      </c>
    </row>
    <row r="3" customFormat="false" ht="15" hidden="false" customHeight="false" outlineLevel="0" collapsed="false">
      <c r="A3" s="20" t="s">
        <v>2953</v>
      </c>
      <c r="B3" s="20" t="s">
        <v>2944</v>
      </c>
      <c r="C3" s="19" t="s">
        <v>763</v>
      </c>
      <c r="D3" s="22" t="s">
        <v>672</v>
      </c>
      <c r="E3" s="19" t="s">
        <v>764</v>
      </c>
      <c r="F3" s="20" t="s">
        <v>2954</v>
      </c>
      <c r="G3" s="20"/>
      <c r="H3" s="20" t="s">
        <v>2955</v>
      </c>
      <c r="I3" s="74" t="s">
        <v>81</v>
      </c>
      <c r="J3" s="94" t="n">
        <v>23.98</v>
      </c>
      <c r="K3" s="74" t="s">
        <v>4215</v>
      </c>
      <c r="L3" s="95" t="n">
        <v>25.19</v>
      </c>
      <c r="M3" s="52" t="n">
        <v>4.8</v>
      </c>
      <c r="N3" s="22" t="s">
        <v>4180</v>
      </c>
      <c r="O3" s="96" t="s">
        <v>1007</v>
      </c>
      <c r="P3" s="20"/>
      <c r="Q3" s="19"/>
      <c r="R3" s="92"/>
      <c r="S3" s="95" t="str">
        <f aca="false">IF(OR(R3="",J3=""),"",ROUND(J3*(1+R3/100),2))</f>
        <v/>
      </c>
      <c r="T3" s="97" t="n">
        <v>20</v>
      </c>
      <c r="U3" s="20" t="s">
        <v>119</v>
      </c>
      <c r="V3" s="55" t="s">
        <v>95</v>
      </c>
    </row>
    <row r="4" customFormat="false" ht="23.85" hidden="false" customHeight="false" outlineLevel="0" collapsed="false">
      <c r="A4" s="24" t="s">
        <v>2964</v>
      </c>
      <c r="B4" s="24" t="s">
        <v>2944</v>
      </c>
      <c r="C4" s="23" t="s">
        <v>765</v>
      </c>
      <c r="D4" s="26" t="s">
        <v>672</v>
      </c>
      <c r="E4" s="23" t="s">
        <v>766</v>
      </c>
      <c r="F4" s="24" t="s">
        <v>1274</v>
      </c>
      <c r="G4" s="24"/>
      <c r="H4" s="24" t="s">
        <v>2965</v>
      </c>
      <c r="I4" s="74" t="s">
        <v>81</v>
      </c>
      <c r="J4" s="94" t="n">
        <v>1.72</v>
      </c>
      <c r="K4" s="74" t="s">
        <v>4461</v>
      </c>
      <c r="L4" s="91" t="n">
        <v>1.81</v>
      </c>
      <c r="M4" s="58" t="n">
        <v>5</v>
      </c>
      <c r="N4" s="26" t="s">
        <v>4180</v>
      </c>
      <c r="O4" s="96" t="s">
        <v>1007</v>
      </c>
      <c r="P4" s="24"/>
      <c r="Q4" s="23"/>
      <c r="R4" s="92"/>
      <c r="S4" s="91" t="str">
        <f aca="false">IF(OR(R4="",J4=""),"",ROUND(J4*(1+R4/100),2))</f>
        <v/>
      </c>
      <c r="T4" s="93" t="n">
        <v>20</v>
      </c>
      <c r="U4" s="24" t="s">
        <v>119</v>
      </c>
      <c r="V4" s="61" t="s">
        <v>95</v>
      </c>
    </row>
    <row r="5" customFormat="false" ht="15" hidden="false" customHeight="false" outlineLevel="0" collapsed="false">
      <c r="A5" s="20" t="s">
        <v>2976</v>
      </c>
      <c r="B5" s="20" t="s">
        <v>2944</v>
      </c>
      <c r="C5" s="19" t="s">
        <v>767</v>
      </c>
      <c r="D5" s="22" t="s">
        <v>91</v>
      </c>
      <c r="E5" s="19" t="s">
        <v>768</v>
      </c>
      <c r="F5" s="20"/>
      <c r="G5" s="20"/>
      <c r="H5" s="20" t="s">
        <v>2977</v>
      </c>
      <c r="I5" s="74" t="s">
        <v>82</v>
      </c>
      <c r="J5" s="94" t="n">
        <v>2.24</v>
      </c>
      <c r="K5" s="74" t="s">
        <v>4285</v>
      </c>
      <c r="L5" s="95" t="n">
        <v>12.1</v>
      </c>
      <c r="M5" s="52" t="n">
        <v>81.5</v>
      </c>
      <c r="N5" s="22" t="s">
        <v>4180</v>
      </c>
      <c r="O5" s="96" t="s">
        <v>1016</v>
      </c>
      <c r="P5" s="20"/>
      <c r="Q5" s="106" t="s">
        <v>889</v>
      </c>
      <c r="R5" s="92"/>
      <c r="S5" s="95" t="str">
        <f aca="false">IF(OR(R5="",J5=""),"",ROUND(J5*(1+R5/100),2))</f>
        <v/>
      </c>
      <c r="T5" s="97" t="n">
        <v>20</v>
      </c>
      <c r="U5" s="20" t="s">
        <v>290</v>
      </c>
      <c r="V5" s="55" t="s">
        <v>95</v>
      </c>
    </row>
    <row r="6" customFormat="false" ht="23.85" hidden="false" customHeight="false" outlineLevel="0" collapsed="false">
      <c r="A6" s="24" t="s">
        <v>2986</v>
      </c>
      <c r="B6" s="24" t="s">
        <v>2944</v>
      </c>
      <c r="C6" s="23" t="s">
        <v>769</v>
      </c>
      <c r="D6" s="26" t="s">
        <v>203</v>
      </c>
      <c r="E6" s="23" t="s">
        <v>770</v>
      </c>
      <c r="F6" s="24" t="s">
        <v>1293</v>
      </c>
      <c r="G6" s="24" t="s">
        <v>4462</v>
      </c>
      <c r="H6" s="24" t="s">
        <v>2987</v>
      </c>
      <c r="I6" s="24" t="s">
        <v>76</v>
      </c>
      <c r="J6" s="91" t="n">
        <v>8.87</v>
      </c>
      <c r="K6" s="24" t="s">
        <v>4179</v>
      </c>
      <c r="L6" s="91" t="n">
        <v>18.44</v>
      </c>
      <c r="M6" s="58" t="n">
        <v>51.9</v>
      </c>
      <c r="N6" s="26" t="s">
        <v>4180</v>
      </c>
      <c r="O6" s="26" t="s">
        <v>942</v>
      </c>
      <c r="P6" s="24" t="s">
        <v>4463</v>
      </c>
      <c r="Q6" s="23"/>
      <c r="R6" s="92"/>
      <c r="S6" s="91" t="str">
        <f aca="false">IF(OR(R6="",J6=""),"",ROUND(J6*(1+R6/100),2))</f>
        <v/>
      </c>
      <c r="T6" s="93" t="n">
        <v>20</v>
      </c>
      <c r="U6" s="24" t="s">
        <v>93</v>
      </c>
      <c r="V6" s="61" t="s">
        <v>95</v>
      </c>
    </row>
    <row r="7" customFormat="false" ht="15" hidden="false" customHeight="false" outlineLevel="0" collapsed="false">
      <c r="A7" s="20" t="s">
        <v>2994</v>
      </c>
      <c r="B7" s="20" t="s">
        <v>2944</v>
      </c>
      <c r="C7" s="19" t="s">
        <v>771</v>
      </c>
      <c r="D7" s="22" t="s">
        <v>91</v>
      </c>
      <c r="E7" s="19" t="s">
        <v>772</v>
      </c>
      <c r="F7" s="20" t="s">
        <v>2979</v>
      </c>
      <c r="G7" s="20" t="s">
        <v>4464</v>
      </c>
      <c r="H7" s="20" t="s">
        <v>2995</v>
      </c>
      <c r="I7" s="74" t="s">
        <v>81</v>
      </c>
      <c r="J7" s="94" t="n">
        <v>9.29</v>
      </c>
      <c r="K7" s="74" t="s">
        <v>4215</v>
      </c>
      <c r="L7" s="95" t="n">
        <v>9.77</v>
      </c>
      <c r="M7" s="52" t="n">
        <v>4.9</v>
      </c>
      <c r="N7" s="22" t="s">
        <v>4180</v>
      </c>
      <c r="O7" s="96" t="s">
        <v>1007</v>
      </c>
      <c r="P7" s="20"/>
      <c r="Q7" s="19"/>
      <c r="R7" s="92"/>
      <c r="S7" s="95" t="str">
        <f aca="false">IF(OR(R7="",J7=""),"",ROUND(J7*(1+R7/100),2))</f>
        <v/>
      </c>
      <c r="T7" s="97" t="n">
        <v>20</v>
      </c>
      <c r="U7" s="20" t="s">
        <v>119</v>
      </c>
      <c r="V7" s="55" t="s">
        <v>95</v>
      </c>
    </row>
    <row r="8" customFormat="false" ht="23.85" hidden="false" customHeight="false" outlineLevel="0" collapsed="false">
      <c r="A8" s="88" t="s">
        <v>3002</v>
      </c>
      <c r="B8" s="88" t="s">
        <v>2944</v>
      </c>
      <c r="C8" s="89" t="s">
        <v>773</v>
      </c>
      <c r="D8" s="90" t="s">
        <v>91</v>
      </c>
      <c r="E8" s="89" t="s">
        <v>774</v>
      </c>
      <c r="F8" s="88"/>
      <c r="G8" s="88"/>
      <c r="H8" s="88" t="s">
        <v>3003</v>
      </c>
      <c r="I8" s="88" t="s">
        <v>80</v>
      </c>
      <c r="J8" s="98" t="n">
        <v>38.39</v>
      </c>
      <c r="K8" s="88" t="s">
        <v>4233</v>
      </c>
      <c r="L8" s="98" t="n">
        <v>115.5</v>
      </c>
      <c r="M8" s="99" t="n">
        <v>66.8</v>
      </c>
      <c r="N8" s="90" t="s">
        <v>4180</v>
      </c>
      <c r="O8" s="100" t="s">
        <v>963</v>
      </c>
      <c r="P8" s="88"/>
      <c r="Q8" s="101" t="s">
        <v>889</v>
      </c>
      <c r="R8" s="102"/>
      <c r="S8" s="98" t="str">
        <f aca="false">IF(OR(R8="",J8=""),"",ROUND(J8*(1+R8/100),2))</f>
        <v/>
      </c>
      <c r="T8" s="103" t="n">
        <v>20</v>
      </c>
      <c r="U8" s="88" t="s">
        <v>303</v>
      </c>
      <c r="V8" s="104" t="s">
        <v>95</v>
      </c>
    </row>
    <row r="9" customFormat="false" ht="23.85" hidden="false" customHeight="false" outlineLevel="0" collapsed="false">
      <c r="A9" s="20" t="s">
        <v>3012</v>
      </c>
      <c r="B9" s="20" t="s">
        <v>2944</v>
      </c>
      <c r="C9" s="19" t="s">
        <v>775</v>
      </c>
      <c r="D9" s="22" t="s">
        <v>91</v>
      </c>
      <c r="E9" s="19" t="s">
        <v>776</v>
      </c>
      <c r="F9" s="20"/>
      <c r="G9" s="20"/>
      <c r="H9" s="20" t="s">
        <v>3013</v>
      </c>
      <c r="I9" s="20" t="s">
        <v>80</v>
      </c>
      <c r="J9" s="95" t="n">
        <v>2.83</v>
      </c>
      <c r="K9" s="20" t="s">
        <v>4233</v>
      </c>
      <c r="L9" s="95" t="n">
        <v>39.86</v>
      </c>
      <c r="M9" s="52" t="n">
        <v>92.9</v>
      </c>
      <c r="N9" s="22" t="s">
        <v>4180</v>
      </c>
      <c r="O9" s="22" t="s">
        <v>942</v>
      </c>
      <c r="P9" s="20"/>
      <c r="Q9" s="19"/>
      <c r="R9" s="92"/>
      <c r="S9" s="95" t="str">
        <f aca="false">IF(OR(R9="",J9=""),"",ROUND(J9*(1+R9/100),2))</f>
        <v/>
      </c>
      <c r="T9" s="97" t="n">
        <v>20</v>
      </c>
      <c r="U9" s="20" t="s">
        <v>303</v>
      </c>
      <c r="V9" s="55" t="s">
        <v>95</v>
      </c>
    </row>
    <row r="10" customFormat="false" ht="23.85" hidden="false" customHeight="false" outlineLevel="0" collapsed="false">
      <c r="A10" s="24" t="s">
        <v>3021</v>
      </c>
      <c r="B10" s="24" t="s">
        <v>1680</v>
      </c>
      <c r="C10" s="23" t="s">
        <v>777</v>
      </c>
      <c r="D10" s="26" t="s">
        <v>91</v>
      </c>
      <c r="E10" s="23" t="s">
        <v>778</v>
      </c>
      <c r="F10" s="24" t="s">
        <v>1274</v>
      </c>
      <c r="G10" s="24"/>
      <c r="H10" s="24" t="s">
        <v>3022</v>
      </c>
      <c r="I10" s="74" t="s">
        <v>81</v>
      </c>
      <c r="J10" s="94" t="n">
        <v>20.96</v>
      </c>
      <c r="K10" s="74" t="s">
        <v>4215</v>
      </c>
      <c r="L10" s="91" t="n">
        <v>22.06</v>
      </c>
      <c r="M10" s="58" t="n">
        <v>5</v>
      </c>
      <c r="N10" s="26" t="s">
        <v>4180</v>
      </c>
      <c r="O10" s="96" t="s">
        <v>1007</v>
      </c>
      <c r="P10" s="24"/>
      <c r="Q10" s="23"/>
      <c r="R10" s="92"/>
      <c r="S10" s="91" t="str">
        <f aca="false">IF(OR(R10="",J10=""),"",ROUND(J10*(1+R10/100),2))</f>
        <v/>
      </c>
      <c r="T10" s="93" t="n">
        <v>20</v>
      </c>
      <c r="U10" s="24" t="s">
        <v>119</v>
      </c>
      <c r="V10" s="61" t="s">
        <v>95</v>
      </c>
    </row>
    <row r="11" customFormat="false" ht="23.85" hidden="false" customHeight="false" outlineLevel="0" collapsed="false">
      <c r="A11" s="88" t="s">
        <v>3030</v>
      </c>
      <c r="B11" s="88" t="s">
        <v>1680</v>
      </c>
      <c r="C11" s="89" t="s">
        <v>779</v>
      </c>
      <c r="D11" s="90" t="s">
        <v>91</v>
      </c>
      <c r="E11" s="89" t="s">
        <v>780</v>
      </c>
      <c r="F11" s="88" t="s">
        <v>3026</v>
      </c>
      <c r="G11" s="88" t="s">
        <v>4465</v>
      </c>
      <c r="H11" s="88" t="s">
        <v>3031</v>
      </c>
      <c r="I11" s="88" t="s">
        <v>76</v>
      </c>
      <c r="J11" s="98" t="n">
        <v>7.56</v>
      </c>
      <c r="K11" s="88" t="s">
        <v>4198</v>
      </c>
      <c r="L11" s="98" t="n">
        <v>14.42</v>
      </c>
      <c r="M11" s="99" t="n">
        <v>47.6</v>
      </c>
      <c r="N11" s="90" t="s">
        <v>4180</v>
      </c>
      <c r="O11" s="100" t="s">
        <v>1052</v>
      </c>
      <c r="P11" s="88"/>
      <c r="Q11" s="101" t="s">
        <v>889</v>
      </c>
      <c r="R11" s="102"/>
      <c r="S11" s="98" t="str">
        <f aca="false">IF(OR(R11="",J11=""),"",ROUND(J11*(1+R11/100),2))</f>
        <v/>
      </c>
      <c r="T11" s="103" t="n">
        <v>20</v>
      </c>
      <c r="U11" s="88" t="s">
        <v>93</v>
      </c>
      <c r="V11" s="104" t="s">
        <v>95</v>
      </c>
    </row>
    <row r="12" customFormat="false" ht="23.85" hidden="false" customHeight="false" outlineLevel="0" collapsed="false">
      <c r="A12" s="24" t="s">
        <v>3036</v>
      </c>
      <c r="B12" s="24" t="s">
        <v>1680</v>
      </c>
      <c r="C12" s="23" t="s">
        <v>781</v>
      </c>
      <c r="D12" s="26" t="s">
        <v>203</v>
      </c>
      <c r="E12" s="23" t="s">
        <v>782</v>
      </c>
      <c r="F12" s="24" t="s">
        <v>1761</v>
      </c>
      <c r="G12" s="24" t="s">
        <v>4466</v>
      </c>
      <c r="H12" s="24" t="s">
        <v>3037</v>
      </c>
      <c r="I12" s="24" t="s">
        <v>76</v>
      </c>
      <c r="J12" s="91" t="n">
        <v>2.84</v>
      </c>
      <c r="K12" s="24" t="s">
        <v>4179</v>
      </c>
      <c r="L12" s="91" t="n">
        <v>12.9</v>
      </c>
      <c r="M12" s="58" t="n">
        <v>78</v>
      </c>
      <c r="N12" s="26" t="s">
        <v>4180</v>
      </c>
      <c r="O12" s="26" t="s">
        <v>1085</v>
      </c>
      <c r="P12" s="24"/>
      <c r="Q12" s="23"/>
      <c r="R12" s="92"/>
      <c r="S12" s="91" t="str">
        <f aca="false">IF(OR(R12="",J12=""),"",ROUND(J12*(1+R12/100),2))</f>
        <v/>
      </c>
      <c r="T12" s="93" t="n">
        <v>20</v>
      </c>
      <c r="U12" s="24" t="s">
        <v>93</v>
      </c>
      <c r="V12" s="61" t="s">
        <v>95</v>
      </c>
    </row>
    <row r="13" customFormat="false" ht="23.85" hidden="false" customHeight="false" outlineLevel="0" collapsed="false">
      <c r="A13" s="20" t="s">
        <v>3042</v>
      </c>
      <c r="B13" s="20" t="s">
        <v>1680</v>
      </c>
      <c r="C13" s="19" t="s">
        <v>783</v>
      </c>
      <c r="D13" s="22" t="s">
        <v>91</v>
      </c>
      <c r="E13" s="19" t="s">
        <v>784</v>
      </c>
      <c r="F13" s="20"/>
      <c r="G13" s="20"/>
      <c r="H13" s="20" t="s">
        <v>3043</v>
      </c>
      <c r="I13" s="20" t="s">
        <v>80</v>
      </c>
      <c r="J13" s="95" t="n">
        <v>4.68</v>
      </c>
      <c r="K13" s="20" t="s">
        <v>4233</v>
      </c>
      <c r="L13" s="95" t="n">
        <v>9.52</v>
      </c>
      <c r="M13" s="52" t="n">
        <v>50.8</v>
      </c>
      <c r="N13" s="22" t="s">
        <v>4180</v>
      </c>
      <c r="O13" s="22" t="s">
        <v>942</v>
      </c>
      <c r="P13" s="20" t="s">
        <v>4400</v>
      </c>
      <c r="Q13" s="106" t="s">
        <v>891</v>
      </c>
      <c r="R13" s="92"/>
      <c r="S13" s="95" t="str">
        <f aca="false">IF(OR(R13="",J13=""),"",ROUND(J13*(1+R13/100),2))</f>
        <v/>
      </c>
      <c r="T13" s="97" t="n">
        <v>20</v>
      </c>
      <c r="U13" s="20" t="s">
        <v>303</v>
      </c>
      <c r="V13" s="55" t="s">
        <v>95</v>
      </c>
    </row>
    <row r="14" customFormat="false" ht="15" hidden="false" customHeight="false" outlineLevel="0" collapsed="false">
      <c r="A14" s="24" t="s">
        <v>3050</v>
      </c>
      <c r="B14" s="24" t="s">
        <v>1680</v>
      </c>
      <c r="C14" s="23" t="s">
        <v>785</v>
      </c>
      <c r="D14" s="26" t="s">
        <v>91</v>
      </c>
      <c r="E14" s="23" t="s">
        <v>786</v>
      </c>
      <c r="F14" s="24" t="s">
        <v>2319</v>
      </c>
      <c r="G14" s="24" t="s">
        <v>4467</v>
      </c>
      <c r="H14" s="24" t="s">
        <v>3051</v>
      </c>
      <c r="I14" s="74" t="s">
        <v>81</v>
      </c>
      <c r="J14" s="94" t="n">
        <v>5.2</v>
      </c>
      <c r="K14" s="74" t="s">
        <v>4461</v>
      </c>
      <c r="L14" s="91" t="n">
        <v>5.47</v>
      </c>
      <c r="M14" s="58" t="n">
        <v>4.9</v>
      </c>
      <c r="N14" s="26" t="s">
        <v>4180</v>
      </c>
      <c r="O14" s="96" t="s">
        <v>1007</v>
      </c>
      <c r="P14" s="24"/>
      <c r="Q14" s="23"/>
      <c r="R14" s="92"/>
      <c r="S14" s="91" t="str">
        <f aca="false">IF(OR(R14="",J14=""),"",ROUND(J14*(1+R14/100),2))</f>
        <v/>
      </c>
      <c r="T14" s="93" t="n">
        <v>20</v>
      </c>
      <c r="U14" s="24" t="s">
        <v>169</v>
      </c>
      <c r="V14" s="61" t="s">
        <v>95</v>
      </c>
    </row>
    <row r="15" customFormat="false" ht="15" hidden="false" customHeight="false" outlineLevel="0" collapsed="false">
      <c r="A15" s="88" t="s">
        <v>3062</v>
      </c>
      <c r="B15" s="88" t="s">
        <v>1680</v>
      </c>
      <c r="C15" s="89" t="s">
        <v>787</v>
      </c>
      <c r="D15" s="90" t="s">
        <v>374</v>
      </c>
      <c r="E15" s="89" t="s">
        <v>788</v>
      </c>
      <c r="F15" s="88" t="s">
        <v>3065</v>
      </c>
      <c r="G15" s="88" t="s">
        <v>4468</v>
      </c>
      <c r="H15" s="88" t="s">
        <v>3066</v>
      </c>
      <c r="I15" s="88" t="s">
        <v>76</v>
      </c>
      <c r="J15" s="98" t="n">
        <v>5.07</v>
      </c>
      <c r="K15" s="88" t="s">
        <v>939</v>
      </c>
      <c r="L15" s="98"/>
      <c r="M15" s="99"/>
      <c r="N15" s="90" t="s">
        <v>4180</v>
      </c>
      <c r="O15" s="100" t="s">
        <v>963</v>
      </c>
      <c r="P15" s="88"/>
      <c r="Q15" s="101" t="s">
        <v>889</v>
      </c>
      <c r="R15" s="102"/>
      <c r="S15" s="98" t="str">
        <f aca="false">IF(OR(R15="",J15=""),"",ROUND(J15*(1+R15/100),2))</f>
        <v/>
      </c>
      <c r="T15" s="103" t="n">
        <v>20</v>
      </c>
      <c r="U15" s="88" t="s">
        <v>93</v>
      </c>
      <c r="V15" s="104" t="s">
        <v>95</v>
      </c>
    </row>
    <row r="16" customFormat="false" ht="15" hidden="false" customHeight="false" outlineLevel="0" collapsed="false">
      <c r="A16" s="88" t="s">
        <v>3071</v>
      </c>
      <c r="B16" s="88" t="s">
        <v>1680</v>
      </c>
      <c r="C16" s="89" t="s">
        <v>789</v>
      </c>
      <c r="D16" s="90" t="s">
        <v>790</v>
      </c>
      <c r="E16" s="89" t="s">
        <v>791</v>
      </c>
      <c r="F16" s="88" t="s">
        <v>3077</v>
      </c>
      <c r="G16" s="88" t="s">
        <v>4469</v>
      </c>
      <c r="H16" s="88" t="s">
        <v>3078</v>
      </c>
      <c r="I16" s="88" t="s">
        <v>76</v>
      </c>
      <c r="J16" s="98" t="n">
        <v>30.95</v>
      </c>
      <c r="K16" s="88" t="s">
        <v>939</v>
      </c>
      <c r="L16" s="98"/>
      <c r="M16" s="99"/>
      <c r="N16" s="90" t="s">
        <v>4180</v>
      </c>
      <c r="O16" s="100" t="s">
        <v>963</v>
      </c>
      <c r="P16" s="88"/>
      <c r="Q16" s="101" t="s">
        <v>889</v>
      </c>
      <c r="R16" s="102"/>
      <c r="S16" s="98" t="str">
        <f aca="false">IF(OR(R16="",J16=""),"",ROUND(J16*(1+R16/100),2))</f>
        <v/>
      </c>
      <c r="T16" s="103" t="n">
        <v>20</v>
      </c>
      <c r="U16" s="88" t="s">
        <v>93</v>
      </c>
      <c r="V16" s="104" t="s">
        <v>95</v>
      </c>
    </row>
    <row r="17" customFormat="false" ht="15" hidden="false" customHeight="false" outlineLevel="0" collapsed="false">
      <c r="A17" s="20" t="s">
        <v>3081</v>
      </c>
      <c r="B17" s="20" t="s">
        <v>1680</v>
      </c>
      <c r="C17" s="19" t="s">
        <v>792</v>
      </c>
      <c r="D17" s="22" t="s">
        <v>374</v>
      </c>
      <c r="E17" s="19" t="s">
        <v>793</v>
      </c>
      <c r="F17" s="20" t="s">
        <v>3084</v>
      </c>
      <c r="G17" s="20" t="s">
        <v>4470</v>
      </c>
      <c r="H17" s="20" t="s">
        <v>3085</v>
      </c>
      <c r="I17" s="20" t="s">
        <v>76</v>
      </c>
      <c r="J17" s="95" t="n">
        <v>23.7</v>
      </c>
      <c r="K17" s="20" t="s">
        <v>939</v>
      </c>
      <c r="L17" s="95"/>
      <c r="M17" s="52"/>
      <c r="N17" s="22" t="s">
        <v>4180</v>
      </c>
      <c r="O17" s="22" t="s">
        <v>1085</v>
      </c>
      <c r="P17" s="20" t="s">
        <v>4471</v>
      </c>
      <c r="Q17" s="19"/>
      <c r="R17" s="92"/>
      <c r="S17" s="95" t="str">
        <f aca="false">IF(OR(R17="",J17=""),"",ROUND(J17*(1+R17/100),2))</f>
        <v/>
      </c>
      <c r="T17" s="97" t="n">
        <v>20</v>
      </c>
      <c r="U17" s="20" t="s">
        <v>93</v>
      </c>
      <c r="V17" s="55" t="s">
        <v>95</v>
      </c>
    </row>
    <row r="18" customFormat="false" ht="23.85" hidden="false" customHeight="false" outlineLevel="0" collapsed="false">
      <c r="A18" s="24" t="s">
        <v>3086</v>
      </c>
      <c r="B18" s="24" t="s">
        <v>3087</v>
      </c>
      <c r="C18" s="23" t="s">
        <v>794</v>
      </c>
      <c r="D18" s="26" t="s">
        <v>374</v>
      </c>
      <c r="E18" s="23" t="s">
        <v>795</v>
      </c>
      <c r="F18" s="24" t="s">
        <v>2763</v>
      </c>
      <c r="G18" s="24" t="s">
        <v>4472</v>
      </c>
      <c r="H18" s="24" t="s">
        <v>3092</v>
      </c>
      <c r="I18" s="24" t="s">
        <v>76</v>
      </c>
      <c r="J18" s="91" t="n">
        <v>20.88</v>
      </c>
      <c r="K18" s="24" t="s">
        <v>4179</v>
      </c>
      <c r="L18" s="91" t="n">
        <v>28</v>
      </c>
      <c r="M18" s="58" t="n">
        <v>25.4</v>
      </c>
      <c r="N18" s="26" t="s">
        <v>4180</v>
      </c>
      <c r="O18" s="26" t="s">
        <v>942</v>
      </c>
      <c r="P18" s="24"/>
      <c r="Q18" s="23"/>
      <c r="R18" s="92"/>
      <c r="S18" s="91" t="str">
        <f aca="false">IF(OR(R18="",J18=""),"",ROUND(J18*(1+R18/100),2))</f>
        <v/>
      </c>
      <c r="T18" s="93" t="n">
        <v>20</v>
      </c>
      <c r="U18" s="24" t="s">
        <v>93</v>
      </c>
      <c r="V18" s="61" t="s">
        <v>95</v>
      </c>
    </row>
    <row r="19" customFormat="false" ht="23.85" hidden="false" customHeight="false" outlineLevel="0" collapsed="false">
      <c r="A19" s="20" t="s">
        <v>3095</v>
      </c>
      <c r="B19" s="20" t="s">
        <v>3087</v>
      </c>
      <c r="C19" s="19" t="s">
        <v>796</v>
      </c>
      <c r="D19" s="22" t="s">
        <v>91</v>
      </c>
      <c r="E19" s="19" t="s">
        <v>797</v>
      </c>
      <c r="F19" s="20" t="s">
        <v>2071</v>
      </c>
      <c r="G19" s="20" t="s">
        <v>4473</v>
      </c>
      <c r="H19" s="20" t="s">
        <v>3096</v>
      </c>
      <c r="I19" s="20" t="s">
        <v>76</v>
      </c>
      <c r="J19" s="95" t="n">
        <v>34.38</v>
      </c>
      <c r="K19" s="20" t="s">
        <v>939</v>
      </c>
      <c r="L19" s="95"/>
      <c r="M19" s="52"/>
      <c r="N19" s="22" t="s">
        <v>4180</v>
      </c>
      <c r="O19" s="22" t="s">
        <v>942</v>
      </c>
      <c r="P19" s="20"/>
      <c r="Q19" s="19"/>
      <c r="R19" s="92"/>
      <c r="S19" s="95" t="str">
        <f aca="false">IF(OR(R19="",J19=""),"",ROUND(J19*(1+R19/100),2))</f>
        <v/>
      </c>
      <c r="T19" s="97" t="n">
        <v>20</v>
      </c>
      <c r="U19" s="20" t="s">
        <v>93</v>
      </c>
      <c r="V19" s="55" t="s">
        <v>95</v>
      </c>
    </row>
    <row r="20" customFormat="false" ht="23.85" hidden="false" customHeight="false" outlineLevel="0" collapsed="false">
      <c r="A20" s="24" t="s">
        <v>3097</v>
      </c>
      <c r="B20" s="24" t="s">
        <v>3087</v>
      </c>
      <c r="C20" s="23" t="s">
        <v>798</v>
      </c>
      <c r="D20" s="26" t="s">
        <v>91</v>
      </c>
      <c r="E20" s="23" t="s">
        <v>799</v>
      </c>
      <c r="F20" s="24"/>
      <c r="G20" s="24"/>
      <c r="H20" s="24" t="s">
        <v>3098</v>
      </c>
      <c r="I20" s="24" t="s">
        <v>80</v>
      </c>
      <c r="J20" s="91" t="n">
        <v>24.85</v>
      </c>
      <c r="K20" s="24" t="s">
        <v>4233</v>
      </c>
      <c r="L20" s="91" t="n">
        <v>101.95</v>
      </c>
      <c r="M20" s="58" t="n">
        <v>75.6</v>
      </c>
      <c r="N20" s="26" t="s">
        <v>4180</v>
      </c>
      <c r="O20" s="26" t="s">
        <v>942</v>
      </c>
      <c r="P20" s="24"/>
      <c r="Q20" s="23"/>
      <c r="R20" s="92"/>
      <c r="S20" s="91" t="str">
        <f aca="false">IF(OR(R20="",J20=""),"",ROUND(J20*(1+R20/100),2))</f>
        <v/>
      </c>
      <c r="T20" s="93" t="n">
        <v>20</v>
      </c>
      <c r="U20" s="24" t="s">
        <v>303</v>
      </c>
      <c r="V20" s="61" t="s">
        <v>95</v>
      </c>
    </row>
  </sheetData>
  <autoFilter ref="A1:V20"/>
  <hyperlinks>
    <hyperlink ref="V2" r:id="rId1" display="Voir la fiche"/>
    <hyperlink ref="V3" r:id="rId2" display="Voir la fiche"/>
    <hyperlink ref="V4" r:id="rId3" display="Voir la fiche"/>
    <hyperlink ref="V5" r:id="rId4" display="Voir la fiche"/>
    <hyperlink ref="V6" r:id="rId5" display="Voir la fiche"/>
    <hyperlink ref="V7" r:id="rId6" display="Voir la fiche"/>
    <hyperlink ref="V8" r:id="rId7" display="Voir la fiche"/>
    <hyperlink ref="V9" r:id="rId8" display="Voir la fiche"/>
    <hyperlink ref="V10" r:id="rId9" display="Voir la fiche"/>
    <hyperlink ref="V11" r:id="rId10" display="Voir la fiche"/>
    <hyperlink ref="V12" r:id="rId11" display="Voir la fiche"/>
    <hyperlink ref="V13" r:id="rId12" display="Voir la fiche"/>
    <hyperlink ref="V14" r:id="rId13" display="Voir la fiche"/>
    <hyperlink ref="V15" r:id="rId14" display="Voir la fiche"/>
    <hyperlink ref="V16" r:id="rId15" display="Voir la fiche"/>
    <hyperlink ref="V17" r:id="rId16" display="Voir la fiche"/>
    <hyperlink ref="V18" r:id="rId17" display="Voir la fiche"/>
    <hyperlink ref="V19" r:id="rId18" display="Voir la fiche"/>
    <hyperlink ref="V20" r:id="rId19"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2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0"/>
    <pageSetUpPr fitToPage="true"/>
  </sheetPr>
  <dimension ref="A1:V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15" hidden="false" customHeight="false" outlineLevel="0" collapsed="false">
      <c r="A2" s="24" t="s">
        <v>3107</v>
      </c>
      <c r="B2" s="24" t="s">
        <v>3108</v>
      </c>
      <c r="C2" s="23" t="s">
        <v>800</v>
      </c>
      <c r="D2" s="26" t="s">
        <v>91</v>
      </c>
      <c r="E2" s="23" t="s">
        <v>801</v>
      </c>
      <c r="F2" s="24" t="s">
        <v>1761</v>
      </c>
      <c r="G2" s="24" t="s">
        <v>4474</v>
      </c>
      <c r="H2" s="24" t="s">
        <v>3109</v>
      </c>
      <c r="I2" s="74" t="s">
        <v>81</v>
      </c>
      <c r="J2" s="94" t="n">
        <v>5.31</v>
      </c>
      <c r="K2" s="74" t="s">
        <v>4215</v>
      </c>
      <c r="L2" s="91" t="n">
        <v>5.59</v>
      </c>
      <c r="M2" s="58" t="n">
        <v>5</v>
      </c>
      <c r="N2" s="26" t="s">
        <v>4180</v>
      </c>
      <c r="O2" s="96" t="s">
        <v>1007</v>
      </c>
      <c r="P2" s="24"/>
      <c r="Q2" s="23"/>
      <c r="R2" s="92"/>
      <c r="S2" s="91" t="str">
        <f aca="false">IF(OR(R2="",J2=""),"",ROUND(J2*(1+R2/100),2))</f>
        <v/>
      </c>
      <c r="T2" s="93" t="n">
        <v>20</v>
      </c>
      <c r="U2" s="24" t="s">
        <v>169</v>
      </c>
      <c r="V2" s="61" t="s">
        <v>95</v>
      </c>
    </row>
    <row r="3" customFormat="false" ht="15" hidden="false" customHeight="false" outlineLevel="0" collapsed="false">
      <c r="A3" s="20" t="s">
        <v>3116</v>
      </c>
      <c r="B3" s="20" t="s">
        <v>3108</v>
      </c>
      <c r="C3" s="19" t="s">
        <v>802</v>
      </c>
      <c r="D3" s="22" t="s">
        <v>91</v>
      </c>
      <c r="E3" s="19" t="s">
        <v>803</v>
      </c>
      <c r="F3" s="20" t="s">
        <v>3117</v>
      </c>
      <c r="G3" s="20" t="s">
        <v>4475</v>
      </c>
      <c r="H3" s="20" t="s">
        <v>3118</v>
      </c>
      <c r="I3" s="74" t="s">
        <v>81</v>
      </c>
      <c r="J3" s="94" t="n">
        <v>127.37</v>
      </c>
      <c r="K3" s="74" t="s">
        <v>4191</v>
      </c>
      <c r="L3" s="95" t="n">
        <v>134</v>
      </c>
      <c r="M3" s="52" t="n">
        <v>4.9</v>
      </c>
      <c r="N3" s="22" t="s">
        <v>4180</v>
      </c>
      <c r="O3" s="96" t="s">
        <v>1007</v>
      </c>
      <c r="P3" s="20"/>
      <c r="Q3" s="19"/>
      <c r="R3" s="92"/>
      <c r="S3" s="95" t="str">
        <f aca="false">IF(OR(R3="",J3=""),"",ROUND(J3*(1+R3/100),2))</f>
        <v/>
      </c>
      <c r="T3" s="97" t="n">
        <v>20</v>
      </c>
      <c r="U3" s="20" t="s">
        <v>169</v>
      </c>
      <c r="V3" s="55" t="s">
        <v>95</v>
      </c>
    </row>
    <row r="4" customFormat="false" ht="23.85" hidden="false" customHeight="false" outlineLevel="0" collapsed="false">
      <c r="A4" s="24" t="s">
        <v>3123</v>
      </c>
      <c r="B4" s="24" t="s">
        <v>3108</v>
      </c>
      <c r="C4" s="23" t="s">
        <v>804</v>
      </c>
      <c r="D4" s="26" t="s">
        <v>91</v>
      </c>
      <c r="E4" s="23" t="s">
        <v>805</v>
      </c>
      <c r="F4" s="24" t="s">
        <v>2057</v>
      </c>
      <c r="G4" s="24" t="s">
        <v>4476</v>
      </c>
      <c r="H4" s="24" t="s">
        <v>3124</v>
      </c>
      <c r="I4" s="74" t="s">
        <v>81</v>
      </c>
      <c r="J4" s="94" t="n">
        <v>5.46</v>
      </c>
      <c r="K4" s="74" t="s">
        <v>4215</v>
      </c>
      <c r="L4" s="91" t="n">
        <v>5.75</v>
      </c>
      <c r="M4" s="58" t="n">
        <v>5</v>
      </c>
      <c r="N4" s="26" t="s">
        <v>4180</v>
      </c>
      <c r="O4" s="96" t="s">
        <v>1007</v>
      </c>
      <c r="P4" s="24"/>
      <c r="Q4" s="23"/>
      <c r="R4" s="92"/>
      <c r="S4" s="91" t="str">
        <f aca="false">IF(OR(R4="",J4=""),"",ROUND(J4*(1+R4/100),2))</f>
        <v/>
      </c>
      <c r="T4" s="93" t="n">
        <v>20</v>
      </c>
      <c r="U4" s="24" t="s">
        <v>119</v>
      </c>
      <c r="V4" s="61" t="s">
        <v>95</v>
      </c>
    </row>
    <row r="5" customFormat="false" ht="15" hidden="false" customHeight="false" outlineLevel="0" collapsed="false">
      <c r="A5" s="20" t="s">
        <v>3132</v>
      </c>
      <c r="B5" s="20" t="s">
        <v>3108</v>
      </c>
      <c r="C5" s="19" t="s">
        <v>806</v>
      </c>
      <c r="D5" s="22" t="s">
        <v>91</v>
      </c>
      <c r="E5" s="19" t="s">
        <v>807</v>
      </c>
      <c r="F5" s="20" t="s">
        <v>3133</v>
      </c>
      <c r="G5" s="20" t="s">
        <v>4477</v>
      </c>
      <c r="H5" s="20" t="s">
        <v>3134</v>
      </c>
      <c r="I5" s="74" t="s">
        <v>81</v>
      </c>
      <c r="J5" s="94" t="n">
        <v>43.4</v>
      </c>
      <c r="K5" s="74" t="s">
        <v>4215</v>
      </c>
      <c r="L5" s="95" t="n">
        <v>45.7</v>
      </c>
      <c r="M5" s="52" t="n">
        <v>5</v>
      </c>
      <c r="N5" s="22" t="s">
        <v>4180</v>
      </c>
      <c r="O5" s="96" t="s">
        <v>1007</v>
      </c>
      <c r="P5" s="20"/>
      <c r="Q5" s="19"/>
      <c r="R5" s="92"/>
      <c r="S5" s="95" t="str">
        <f aca="false">IF(OR(R5="",J5=""),"",ROUND(J5*(1+R5/100),2))</f>
        <v/>
      </c>
      <c r="T5" s="97" t="n">
        <v>20</v>
      </c>
      <c r="U5" s="20" t="s">
        <v>169</v>
      </c>
      <c r="V5" s="55" t="s">
        <v>95</v>
      </c>
    </row>
    <row r="6" customFormat="false" ht="23.85" hidden="false" customHeight="false" outlineLevel="0" collapsed="false">
      <c r="A6" s="24" t="s">
        <v>3141</v>
      </c>
      <c r="B6" s="24" t="s">
        <v>3108</v>
      </c>
      <c r="C6" s="23" t="s">
        <v>808</v>
      </c>
      <c r="D6" s="26" t="s">
        <v>91</v>
      </c>
      <c r="E6" s="23" t="s">
        <v>809</v>
      </c>
      <c r="F6" s="24" t="s">
        <v>3117</v>
      </c>
      <c r="G6" s="24" t="s">
        <v>4478</v>
      </c>
      <c r="H6" s="24" t="s">
        <v>3142</v>
      </c>
      <c r="I6" s="24" t="s">
        <v>76</v>
      </c>
      <c r="J6" s="91" t="n">
        <v>369.52</v>
      </c>
      <c r="K6" s="24" t="s">
        <v>939</v>
      </c>
      <c r="L6" s="91"/>
      <c r="M6" s="58"/>
      <c r="N6" s="26" t="s">
        <v>4180</v>
      </c>
      <c r="O6" s="26" t="s">
        <v>942</v>
      </c>
      <c r="P6" s="24"/>
      <c r="Q6" s="23"/>
      <c r="R6" s="92"/>
      <c r="S6" s="91" t="str">
        <f aca="false">IF(OR(R6="",J6=""),"",ROUND(J6*(1+R6/100),2))</f>
        <v/>
      </c>
      <c r="T6" s="93" t="n">
        <v>20</v>
      </c>
      <c r="U6" s="24" t="s">
        <v>93</v>
      </c>
      <c r="V6" s="61" t="s">
        <v>95</v>
      </c>
    </row>
    <row r="7" customFormat="false" ht="23.85" hidden="false" customHeight="false" outlineLevel="0" collapsed="false">
      <c r="A7" s="20" t="s">
        <v>3143</v>
      </c>
      <c r="B7" s="20" t="s">
        <v>3144</v>
      </c>
      <c r="C7" s="19" t="s">
        <v>810</v>
      </c>
      <c r="D7" s="22" t="s">
        <v>91</v>
      </c>
      <c r="E7" s="19" t="s">
        <v>811</v>
      </c>
      <c r="F7" s="20"/>
      <c r="G7" s="20"/>
      <c r="H7" s="20" t="s">
        <v>3145</v>
      </c>
      <c r="I7" s="20" t="s">
        <v>80</v>
      </c>
      <c r="J7" s="95" t="n">
        <v>54.89</v>
      </c>
      <c r="K7" s="20" t="s">
        <v>4233</v>
      </c>
      <c r="L7" s="95" t="n">
        <v>104.52</v>
      </c>
      <c r="M7" s="52" t="n">
        <v>47.5</v>
      </c>
      <c r="N7" s="22" t="s">
        <v>4180</v>
      </c>
      <c r="O7" s="22" t="s">
        <v>942</v>
      </c>
      <c r="P7" s="20"/>
      <c r="Q7" s="19"/>
      <c r="R7" s="92"/>
      <c r="S7" s="95" t="str">
        <f aca="false">IF(OR(R7="",J7=""),"",ROUND(J7*(1+R7/100),2))</f>
        <v/>
      </c>
      <c r="T7" s="97" t="n">
        <v>20</v>
      </c>
      <c r="U7" s="20" t="s">
        <v>303</v>
      </c>
      <c r="V7" s="55" t="s">
        <v>95</v>
      </c>
    </row>
    <row r="8" customFormat="false" ht="15" hidden="false" customHeight="false" outlineLevel="0" collapsed="false">
      <c r="A8" s="24" t="s">
        <v>3152</v>
      </c>
      <c r="B8" s="24" t="s">
        <v>3144</v>
      </c>
      <c r="C8" s="23" t="s">
        <v>812</v>
      </c>
      <c r="D8" s="26" t="s">
        <v>91</v>
      </c>
      <c r="E8" s="23" t="s">
        <v>813</v>
      </c>
      <c r="F8" s="24"/>
      <c r="G8" s="24"/>
      <c r="H8" s="24" t="s">
        <v>3153</v>
      </c>
      <c r="I8" s="24" t="s">
        <v>80</v>
      </c>
      <c r="J8" s="91" t="n">
        <v>131.31</v>
      </c>
      <c r="K8" s="24" t="s">
        <v>4198</v>
      </c>
      <c r="L8" s="91" t="n">
        <v>748.15</v>
      </c>
      <c r="M8" s="58" t="n">
        <v>82.4</v>
      </c>
      <c r="N8" s="26" t="s">
        <v>4180</v>
      </c>
      <c r="O8" s="26" t="s">
        <v>1085</v>
      </c>
      <c r="P8" s="24"/>
      <c r="Q8" s="23"/>
      <c r="R8" s="92"/>
      <c r="S8" s="91" t="str">
        <f aca="false">IF(OR(R8="",J8=""),"",ROUND(J8*(1+R8/100),2))</f>
        <v/>
      </c>
      <c r="T8" s="93" t="n">
        <v>20</v>
      </c>
      <c r="U8" s="24" t="s">
        <v>303</v>
      </c>
      <c r="V8" s="61" t="s">
        <v>95</v>
      </c>
    </row>
    <row r="9" customFormat="false" ht="15" hidden="false" customHeight="false" outlineLevel="0" collapsed="false">
      <c r="A9" s="20" t="s">
        <v>3159</v>
      </c>
      <c r="B9" s="20" t="s">
        <v>3144</v>
      </c>
      <c r="C9" s="19" t="s">
        <v>814</v>
      </c>
      <c r="D9" s="22" t="s">
        <v>91</v>
      </c>
      <c r="E9" s="19" t="s">
        <v>815</v>
      </c>
      <c r="F9" s="20" t="s">
        <v>2533</v>
      </c>
      <c r="G9" s="20" t="s">
        <v>4479</v>
      </c>
      <c r="H9" s="20" t="s">
        <v>3160</v>
      </c>
      <c r="I9" s="74" t="s">
        <v>81</v>
      </c>
      <c r="J9" s="94" t="n">
        <v>6.98</v>
      </c>
      <c r="K9" s="74" t="s">
        <v>4461</v>
      </c>
      <c r="L9" s="95" t="n">
        <v>7.36</v>
      </c>
      <c r="M9" s="52" t="n">
        <v>5.2</v>
      </c>
      <c r="N9" s="22" t="s">
        <v>4180</v>
      </c>
      <c r="O9" s="96" t="s">
        <v>1007</v>
      </c>
      <c r="P9" s="20"/>
      <c r="Q9" s="19"/>
      <c r="R9" s="92"/>
      <c r="S9" s="95" t="str">
        <f aca="false">IF(OR(R9="",J9=""),"",ROUND(J9*(1+R9/100),2))</f>
        <v/>
      </c>
      <c r="T9" s="97" t="n">
        <v>20</v>
      </c>
      <c r="U9" s="20" t="s">
        <v>169</v>
      </c>
      <c r="V9" s="55" t="s">
        <v>95</v>
      </c>
    </row>
    <row r="10" customFormat="false" ht="15" hidden="false" customHeight="false" outlineLevel="0" collapsed="false">
      <c r="A10" s="88" t="s">
        <v>3169</v>
      </c>
      <c r="B10" s="88" t="s">
        <v>3144</v>
      </c>
      <c r="C10" s="89" t="s">
        <v>816</v>
      </c>
      <c r="D10" s="90" t="s">
        <v>91</v>
      </c>
      <c r="E10" s="89" t="s">
        <v>817</v>
      </c>
      <c r="F10" s="88" t="s">
        <v>3170</v>
      </c>
      <c r="G10" s="88" t="s">
        <v>4480</v>
      </c>
      <c r="H10" s="88" t="s">
        <v>3171</v>
      </c>
      <c r="I10" s="88" t="s">
        <v>76</v>
      </c>
      <c r="J10" s="98" t="n">
        <v>5.54</v>
      </c>
      <c r="K10" s="88" t="s">
        <v>4198</v>
      </c>
      <c r="L10" s="98" t="n">
        <v>28.01</v>
      </c>
      <c r="M10" s="99" t="n">
        <v>80.2</v>
      </c>
      <c r="N10" s="90" t="s">
        <v>4180</v>
      </c>
      <c r="O10" s="100" t="s">
        <v>963</v>
      </c>
      <c r="P10" s="88"/>
      <c r="Q10" s="101" t="s">
        <v>889</v>
      </c>
      <c r="R10" s="102"/>
      <c r="S10" s="98" t="str">
        <f aca="false">IF(OR(R10="",J10=""),"",ROUND(J10*(1+R10/100),2))</f>
        <v/>
      </c>
      <c r="T10" s="103" t="n">
        <v>20</v>
      </c>
      <c r="U10" s="88" t="s">
        <v>93</v>
      </c>
      <c r="V10" s="104" t="s">
        <v>95</v>
      </c>
    </row>
    <row r="11" customFormat="false" ht="15" hidden="false" customHeight="false" outlineLevel="0" collapsed="false">
      <c r="A11" s="20" t="s">
        <v>3176</v>
      </c>
      <c r="B11" s="20" t="s">
        <v>3144</v>
      </c>
      <c r="C11" s="19" t="s">
        <v>818</v>
      </c>
      <c r="D11" s="22" t="s">
        <v>91</v>
      </c>
      <c r="E11" s="19" t="s">
        <v>819</v>
      </c>
      <c r="F11" s="20" t="s">
        <v>3177</v>
      </c>
      <c r="G11" s="20" t="s">
        <v>4481</v>
      </c>
      <c r="H11" s="20" t="s">
        <v>3178</v>
      </c>
      <c r="I11" s="74" t="s">
        <v>81</v>
      </c>
      <c r="J11" s="94" t="n">
        <v>47.62</v>
      </c>
      <c r="K11" s="74" t="s">
        <v>4191</v>
      </c>
      <c r="L11" s="95" t="n">
        <v>50</v>
      </c>
      <c r="M11" s="52" t="n">
        <v>4.8</v>
      </c>
      <c r="N11" s="22" t="s">
        <v>4180</v>
      </c>
      <c r="O11" s="96" t="s">
        <v>1016</v>
      </c>
      <c r="P11" s="20"/>
      <c r="Q11" s="106" t="s">
        <v>889</v>
      </c>
      <c r="R11" s="92"/>
      <c r="S11" s="95" t="str">
        <f aca="false">IF(OR(R11="",J11=""),"",ROUND(J11*(1+R11/100),2))</f>
        <v/>
      </c>
      <c r="T11" s="97" t="n">
        <v>20</v>
      </c>
      <c r="U11" s="20" t="s">
        <v>169</v>
      </c>
      <c r="V11" s="55" t="s">
        <v>95</v>
      </c>
    </row>
    <row r="12" customFormat="false" ht="35.05" hidden="false" customHeight="false" outlineLevel="0" collapsed="false">
      <c r="A12" s="24" t="s">
        <v>3184</v>
      </c>
      <c r="B12" s="24" t="s">
        <v>3144</v>
      </c>
      <c r="C12" s="23" t="s">
        <v>820</v>
      </c>
      <c r="D12" s="26" t="s">
        <v>91</v>
      </c>
      <c r="E12" s="23" t="s">
        <v>821</v>
      </c>
      <c r="F12" s="24"/>
      <c r="G12" s="24"/>
      <c r="H12" s="24" t="s">
        <v>3185</v>
      </c>
      <c r="I12" s="74" t="s">
        <v>82</v>
      </c>
      <c r="J12" s="94" t="n">
        <v>33.65</v>
      </c>
      <c r="K12" s="74" t="s">
        <v>4182</v>
      </c>
      <c r="L12" s="91" t="n">
        <v>255.18</v>
      </c>
      <c r="M12" s="58" t="n">
        <v>86.8</v>
      </c>
      <c r="N12" s="26" t="s">
        <v>4180</v>
      </c>
      <c r="O12" s="96" t="s">
        <v>1380</v>
      </c>
      <c r="P12" s="24"/>
      <c r="Q12" s="23"/>
      <c r="R12" s="92"/>
      <c r="S12" s="91" t="str">
        <f aca="false">IF(OR(R12="",J12=""),"",ROUND(J12*(1+R12/100),2))</f>
        <v/>
      </c>
      <c r="T12" s="93" t="n">
        <v>20</v>
      </c>
      <c r="U12" s="24" t="s">
        <v>290</v>
      </c>
      <c r="V12" s="61" t="s">
        <v>95</v>
      </c>
    </row>
    <row r="13" customFormat="false" ht="23.85" hidden="false" customHeight="false" outlineLevel="0" collapsed="false">
      <c r="A13" s="20" t="s">
        <v>3189</v>
      </c>
      <c r="B13" s="20" t="s">
        <v>3190</v>
      </c>
      <c r="C13" s="19" t="s">
        <v>822</v>
      </c>
      <c r="D13" s="22" t="s">
        <v>91</v>
      </c>
      <c r="E13" s="19" t="s">
        <v>823</v>
      </c>
      <c r="F13" s="20"/>
      <c r="G13" s="20"/>
      <c r="H13" s="20" t="s">
        <v>3191</v>
      </c>
      <c r="I13" s="74" t="s">
        <v>82</v>
      </c>
      <c r="J13" s="94" t="n">
        <v>549</v>
      </c>
      <c r="K13" s="74" t="s">
        <v>4182</v>
      </c>
      <c r="L13" s="95" t="n">
        <v>671.72</v>
      </c>
      <c r="M13" s="52" t="n">
        <v>18.3</v>
      </c>
      <c r="N13" s="22" t="s">
        <v>4180</v>
      </c>
      <c r="O13" s="96" t="s">
        <v>1380</v>
      </c>
      <c r="P13" s="20"/>
      <c r="Q13" s="19"/>
      <c r="R13" s="92"/>
      <c r="S13" s="95" t="str">
        <f aca="false">IF(OR(R13="",J13=""),"",ROUND(J13*(1+R13/100),2))</f>
        <v/>
      </c>
      <c r="T13" s="97" t="n">
        <v>20</v>
      </c>
      <c r="U13" s="20" t="s">
        <v>290</v>
      </c>
      <c r="V13" s="55" t="s">
        <v>95</v>
      </c>
    </row>
    <row r="14" customFormat="false" ht="23.85" hidden="false" customHeight="false" outlineLevel="0" collapsed="false">
      <c r="A14" s="24" t="s">
        <v>3194</v>
      </c>
      <c r="B14" s="24" t="s">
        <v>3190</v>
      </c>
      <c r="C14" s="23" t="s">
        <v>824</v>
      </c>
      <c r="D14" s="26" t="s">
        <v>91</v>
      </c>
      <c r="E14" s="23" t="s">
        <v>825</v>
      </c>
      <c r="F14" s="24"/>
      <c r="G14" s="24"/>
      <c r="H14" s="24" t="s">
        <v>3195</v>
      </c>
      <c r="I14" s="74" t="s">
        <v>82</v>
      </c>
      <c r="J14" s="94" t="n">
        <v>33.87</v>
      </c>
      <c r="K14" s="74" t="s">
        <v>4368</v>
      </c>
      <c r="L14" s="91" t="n">
        <v>139.99</v>
      </c>
      <c r="M14" s="58" t="n">
        <v>75.8</v>
      </c>
      <c r="N14" s="26" t="s">
        <v>4180</v>
      </c>
      <c r="O14" s="96" t="s">
        <v>1380</v>
      </c>
      <c r="P14" s="24"/>
      <c r="Q14" s="23"/>
      <c r="R14" s="92"/>
      <c r="S14" s="91" t="str">
        <f aca="false">IF(OR(R14="",J14=""),"",ROUND(J14*(1+R14/100),2))</f>
        <v/>
      </c>
      <c r="T14" s="93" t="n">
        <v>20</v>
      </c>
      <c r="U14" s="24" t="s">
        <v>290</v>
      </c>
      <c r="V14" s="61" t="s">
        <v>95</v>
      </c>
    </row>
    <row r="15" customFormat="false" ht="15" hidden="false" customHeight="false" outlineLevel="0" collapsed="false">
      <c r="A15" s="88" t="s">
        <v>3205</v>
      </c>
      <c r="B15" s="88" t="s">
        <v>3190</v>
      </c>
      <c r="C15" s="89" t="s">
        <v>826</v>
      </c>
      <c r="D15" s="90" t="s">
        <v>827</v>
      </c>
      <c r="E15" s="89" t="s">
        <v>828</v>
      </c>
      <c r="F15" s="88"/>
      <c r="G15" s="88"/>
      <c r="H15" s="88" t="s">
        <v>3206</v>
      </c>
      <c r="I15" s="88" t="s">
        <v>80</v>
      </c>
      <c r="J15" s="98" t="n">
        <v>3.25</v>
      </c>
      <c r="K15" s="88" t="s">
        <v>4233</v>
      </c>
      <c r="L15" s="98" t="n">
        <v>102.32</v>
      </c>
      <c r="M15" s="99" t="n">
        <v>96.8</v>
      </c>
      <c r="N15" s="90" t="s">
        <v>4180</v>
      </c>
      <c r="O15" s="100" t="s">
        <v>963</v>
      </c>
      <c r="P15" s="88"/>
      <c r="Q15" s="101" t="s">
        <v>889</v>
      </c>
      <c r="R15" s="102"/>
      <c r="S15" s="98" t="str">
        <f aca="false">IF(OR(R15="",J15=""),"",ROUND(J15*(1+R15/100),2))</f>
        <v/>
      </c>
      <c r="T15" s="103" t="n">
        <v>20</v>
      </c>
      <c r="U15" s="88" t="s">
        <v>303</v>
      </c>
      <c r="V15" s="104" t="s">
        <v>95</v>
      </c>
    </row>
    <row r="16" customFormat="false" ht="15" hidden="false" customHeight="false" outlineLevel="0" collapsed="false">
      <c r="A16" s="24" t="s">
        <v>3213</v>
      </c>
      <c r="B16" s="24" t="s">
        <v>3190</v>
      </c>
      <c r="C16" s="23" t="s">
        <v>829</v>
      </c>
      <c r="D16" s="26" t="s">
        <v>91</v>
      </c>
      <c r="E16" s="23" t="s">
        <v>830</v>
      </c>
      <c r="F16" s="24" t="s">
        <v>2460</v>
      </c>
      <c r="G16" s="24" t="s">
        <v>4482</v>
      </c>
      <c r="H16" s="24" t="s">
        <v>3214</v>
      </c>
      <c r="I16" s="74" t="s">
        <v>81</v>
      </c>
      <c r="J16" s="94" t="n">
        <v>167.2</v>
      </c>
      <c r="K16" s="74" t="s">
        <v>4191</v>
      </c>
      <c r="L16" s="91" t="n">
        <v>175.56</v>
      </c>
      <c r="M16" s="58" t="n">
        <v>4.8</v>
      </c>
      <c r="N16" s="26" t="s">
        <v>4180</v>
      </c>
      <c r="O16" s="96" t="s">
        <v>1007</v>
      </c>
      <c r="P16" s="24"/>
      <c r="Q16" s="23"/>
      <c r="R16" s="92"/>
      <c r="S16" s="91" t="str">
        <f aca="false">IF(OR(R16="",J16=""),"",ROUND(J16*(1+R16/100),2))</f>
        <v/>
      </c>
      <c r="T16" s="93" t="n">
        <v>20</v>
      </c>
      <c r="U16" s="24" t="s">
        <v>169</v>
      </c>
      <c r="V16" s="61" t="s">
        <v>95</v>
      </c>
    </row>
    <row r="17" customFormat="false" ht="35.05" hidden="false" customHeight="false" outlineLevel="0" collapsed="false">
      <c r="A17" s="20" t="s">
        <v>3220</v>
      </c>
      <c r="B17" s="20" t="s">
        <v>3190</v>
      </c>
      <c r="C17" s="19" t="s">
        <v>831</v>
      </c>
      <c r="D17" s="22" t="s">
        <v>91</v>
      </c>
      <c r="E17" s="19" t="s">
        <v>832</v>
      </c>
      <c r="F17" s="20"/>
      <c r="G17" s="20"/>
      <c r="H17" s="20" t="s">
        <v>3221</v>
      </c>
      <c r="I17" s="20" t="s">
        <v>80</v>
      </c>
      <c r="J17" s="95" t="n">
        <v>261.44</v>
      </c>
      <c r="K17" s="20" t="s">
        <v>4179</v>
      </c>
      <c r="L17" s="95" t="n">
        <v>501.75</v>
      </c>
      <c r="M17" s="52" t="n">
        <v>47.9</v>
      </c>
      <c r="N17" s="22" t="s">
        <v>4180</v>
      </c>
      <c r="O17" s="22" t="s">
        <v>942</v>
      </c>
      <c r="P17" s="20"/>
      <c r="Q17" s="19"/>
      <c r="R17" s="92"/>
      <c r="S17" s="95" t="str">
        <f aca="false">IF(OR(R17="",J17=""),"",ROUND(J17*(1+R17/100),2))</f>
        <v/>
      </c>
      <c r="T17" s="97" t="n">
        <v>20</v>
      </c>
      <c r="U17" s="20" t="s">
        <v>303</v>
      </c>
      <c r="V17" s="55" t="s">
        <v>95</v>
      </c>
    </row>
  </sheetData>
  <autoFilter ref="A1:V17"/>
  <hyperlinks>
    <hyperlink ref="V2" r:id="rId1" display="Voir la fiche"/>
    <hyperlink ref="V3" r:id="rId2" display="Voir la fiche"/>
    <hyperlink ref="V4" r:id="rId3" display="Voir la fiche"/>
    <hyperlink ref="V5" r:id="rId4" display="Voir la fiche"/>
    <hyperlink ref="V6" r:id="rId5" display="Voir la fiche"/>
    <hyperlink ref="V7" r:id="rId6" display="Voir la fiche"/>
    <hyperlink ref="V8" r:id="rId7" display="Voir la fiche"/>
    <hyperlink ref="V9" r:id="rId8" display="Voir la fiche"/>
    <hyperlink ref="V10" r:id="rId9" display="Voir la fiche"/>
    <hyperlink ref="V11" r:id="rId10" display="Voir la fiche"/>
    <hyperlink ref="V12" r:id="rId11" display="Voir la fiche"/>
    <hyperlink ref="V13" r:id="rId12" display="Voir la fiche"/>
    <hyperlink ref="V14" r:id="rId13" display="Voir la fiche"/>
    <hyperlink ref="V15" r:id="rId14" display="Voir la fiche"/>
    <hyperlink ref="V16" r:id="rId15" display="Voir la fiche"/>
    <hyperlink ref="V17" r:id="rId16"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7"/>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V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0"/>
    <col collapsed="false" customWidth="true" hidden="false" outlineLevel="0" max="4" min="4" style="0" width="8"/>
    <col collapsed="false" customWidth="true" hidden="false" outlineLevel="0" max="5" min="5" style="0" width="50"/>
    <col collapsed="false" customWidth="true" hidden="false" outlineLevel="0" max="7" min="6" style="0" width="16"/>
    <col collapsed="false" customWidth="true" hidden="false" outlineLevel="0" max="8" min="8" style="0" width="14"/>
    <col collapsed="false" customWidth="true" hidden="false" outlineLevel="0" max="9" min="9" style="0" width="2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9"/>
    <col collapsed="false" customWidth="true" hidden="false" outlineLevel="0" max="14" min="14" style="0" width="10"/>
    <col collapsed="false" customWidth="true" hidden="false" outlineLevel="0" max="15" min="15" style="0" width="22"/>
    <col collapsed="false" customWidth="true" hidden="false" outlineLevel="0" max="16" min="16" style="0" width="18"/>
    <col collapsed="false" customWidth="true" hidden="false" outlineLevel="0" max="17" min="17" style="0" width="34"/>
    <col collapsed="false" customWidth="true" hidden="false" outlineLevel="0" max="18" min="18" style="0" width="9"/>
    <col collapsed="false" customWidth="true" hidden="false" outlineLevel="0" max="19" min="19" style="0" width="13"/>
    <col collapsed="false" customWidth="true" hidden="false" outlineLevel="0" max="20" min="20" style="0" width="8"/>
    <col collapsed="false" customWidth="true" hidden="false" outlineLevel="0" max="21" min="21" style="0" width="34"/>
    <col collapsed="false" customWidth="true" hidden="false" outlineLevel="0" max="22" min="22" style="0" width="30"/>
  </cols>
  <sheetData>
    <row r="1" customFormat="false" ht="36" hidden="false" customHeight="true" outlineLevel="0" collapsed="false">
      <c r="A1" s="72" t="s">
        <v>927</v>
      </c>
      <c r="B1" s="72" t="s">
        <v>928</v>
      </c>
      <c r="C1" s="72" t="s">
        <v>4168</v>
      </c>
      <c r="D1" s="72" t="s">
        <v>75</v>
      </c>
      <c r="E1" s="72" t="s">
        <v>40</v>
      </c>
      <c r="F1" s="72" t="s">
        <v>932</v>
      </c>
      <c r="G1" s="72" t="s">
        <v>4169</v>
      </c>
      <c r="H1" s="72" t="s">
        <v>933</v>
      </c>
      <c r="I1" s="72" t="s">
        <v>4170</v>
      </c>
      <c r="J1" s="72" t="s">
        <v>4171</v>
      </c>
      <c r="K1" s="72" t="s">
        <v>39</v>
      </c>
      <c r="L1" s="72" t="s">
        <v>4172</v>
      </c>
      <c r="M1" s="72" t="s">
        <v>931</v>
      </c>
      <c r="N1" s="72" t="s">
        <v>4173</v>
      </c>
      <c r="O1" s="72" t="s">
        <v>44</v>
      </c>
      <c r="P1" s="72" t="s">
        <v>934</v>
      </c>
      <c r="Q1" s="72" t="s">
        <v>4174</v>
      </c>
      <c r="R1" s="72" t="s">
        <v>4175</v>
      </c>
      <c r="S1" s="72" t="s">
        <v>4176</v>
      </c>
      <c r="T1" s="72" t="s">
        <v>4177</v>
      </c>
      <c r="U1" s="72" t="s">
        <v>43</v>
      </c>
      <c r="V1" s="72" t="s">
        <v>89</v>
      </c>
    </row>
    <row r="2" customFormat="false" ht="15" hidden="false" customHeight="false" outlineLevel="0" collapsed="false">
      <c r="A2" s="88" t="s">
        <v>3224</v>
      </c>
      <c r="B2" s="88" t="s">
        <v>3225</v>
      </c>
      <c r="C2" s="89" t="s">
        <v>833</v>
      </c>
      <c r="D2" s="90" t="s">
        <v>91</v>
      </c>
      <c r="E2" s="89" t="s">
        <v>834</v>
      </c>
      <c r="F2" s="88" t="s">
        <v>3226</v>
      </c>
      <c r="G2" s="88" t="s">
        <v>4483</v>
      </c>
      <c r="H2" s="88" t="s">
        <v>3227</v>
      </c>
      <c r="I2" s="88" t="s">
        <v>76</v>
      </c>
      <c r="J2" s="98" t="n">
        <v>3.12</v>
      </c>
      <c r="K2" s="88" t="s">
        <v>4179</v>
      </c>
      <c r="L2" s="98" t="n">
        <v>27.27</v>
      </c>
      <c r="M2" s="99" t="n">
        <v>88.6</v>
      </c>
      <c r="N2" s="90" t="s">
        <v>4180</v>
      </c>
      <c r="O2" s="100" t="s">
        <v>963</v>
      </c>
      <c r="P2" s="88"/>
      <c r="Q2" s="101" t="s">
        <v>889</v>
      </c>
      <c r="R2" s="102"/>
      <c r="S2" s="98" t="str">
        <f aca="false">IF(OR(R2="",J2=""),"",ROUND(J2*(1+R2/100),2))</f>
        <v/>
      </c>
      <c r="T2" s="103" t="n">
        <v>20</v>
      </c>
      <c r="U2" s="88" t="s">
        <v>93</v>
      </c>
      <c r="V2" s="104" t="s">
        <v>95</v>
      </c>
    </row>
    <row r="3" customFormat="false" ht="23.85" hidden="false" customHeight="false" outlineLevel="0" collapsed="false">
      <c r="A3" s="20" t="s">
        <v>3232</v>
      </c>
      <c r="B3" s="20" t="s">
        <v>3225</v>
      </c>
      <c r="C3" s="19" t="s">
        <v>835</v>
      </c>
      <c r="D3" s="22" t="s">
        <v>91</v>
      </c>
      <c r="E3" s="19" t="s">
        <v>836</v>
      </c>
      <c r="F3" s="20"/>
      <c r="G3" s="20" t="s">
        <v>4484</v>
      </c>
      <c r="H3" s="20" t="s">
        <v>3235</v>
      </c>
      <c r="I3" s="74" t="s">
        <v>78</v>
      </c>
      <c r="J3" s="94" t="n">
        <v>53.51</v>
      </c>
      <c r="K3" s="74" t="s">
        <v>943</v>
      </c>
      <c r="L3" s="95"/>
      <c r="M3" s="52"/>
      <c r="N3" s="22" t="s">
        <v>4180</v>
      </c>
      <c r="O3" s="96" t="s">
        <v>1016</v>
      </c>
      <c r="P3" s="20" t="s">
        <v>949</v>
      </c>
      <c r="Q3" s="106" t="s">
        <v>889</v>
      </c>
      <c r="R3" s="92"/>
      <c r="S3" s="95" t="str">
        <f aca="false">IF(OR(R3="",J3=""),"",ROUND(J3*(1+R3/100),2))</f>
        <v/>
      </c>
      <c r="T3" s="97" t="n">
        <v>20</v>
      </c>
      <c r="U3" s="20" t="s">
        <v>93</v>
      </c>
      <c r="V3" s="55" t="s">
        <v>95</v>
      </c>
    </row>
    <row r="4" customFormat="false" ht="15" hidden="false" customHeight="false" outlineLevel="0" collapsed="false">
      <c r="A4" s="88" t="s">
        <v>3236</v>
      </c>
      <c r="B4" s="88" t="s">
        <v>3225</v>
      </c>
      <c r="C4" s="89" t="s">
        <v>837</v>
      </c>
      <c r="D4" s="90" t="s">
        <v>91</v>
      </c>
      <c r="E4" s="89" t="s">
        <v>838</v>
      </c>
      <c r="F4" s="88" t="s">
        <v>3237</v>
      </c>
      <c r="G4" s="88" t="s">
        <v>4485</v>
      </c>
      <c r="H4" s="88" t="s">
        <v>3238</v>
      </c>
      <c r="I4" s="88" t="s">
        <v>76</v>
      </c>
      <c r="J4" s="98" t="n">
        <v>29.97</v>
      </c>
      <c r="K4" s="88" t="s">
        <v>939</v>
      </c>
      <c r="L4" s="98"/>
      <c r="M4" s="99"/>
      <c r="N4" s="90" t="s">
        <v>4180</v>
      </c>
      <c r="O4" s="100" t="s">
        <v>1052</v>
      </c>
      <c r="P4" s="88"/>
      <c r="Q4" s="101" t="s">
        <v>889</v>
      </c>
      <c r="R4" s="102"/>
      <c r="S4" s="98" t="str">
        <f aca="false">IF(OR(R4="",J4=""),"",ROUND(J4*(1+R4/100),2))</f>
        <v/>
      </c>
      <c r="T4" s="103" t="n">
        <v>20</v>
      </c>
      <c r="U4" s="88" t="s">
        <v>93</v>
      </c>
      <c r="V4" s="104" t="s">
        <v>95</v>
      </c>
    </row>
    <row r="5" customFormat="false" ht="23.85" hidden="false" customHeight="false" outlineLevel="0" collapsed="false">
      <c r="A5" s="20" t="s">
        <v>3239</v>
      </c>
      <c r="B5" s="20" t="s">
        <v>3225</v>
      </c>
      <c r="C5" s="19" t="s">
        <v>839</v>
      </c>
      <c r="D5" s="22" t="s">
        <v>91</v>
      </c>
      <c r="E5" s="19" t="s">
        <v>840</v>
      </c>
      <c r="F5" s="20"/>
      <c r="G5" s="20" t="s">
        <v>4486</v>
      </c>
      <c r="H5" s="20" t="s">
        <v>3240</v>
      </c>
      <c r="I5" s="74" t="s">
        <v>78</v>
      </c>
      <c r="J5" s="94" t="n">
        <v>1.21</v>
      </c>
      <c r="K5" s="74" t="s">
        <v>943</v>
      </c>
      <c r="L5" s="95"/>
      <c r="M5" s="52"/>
      <c r="N5" s="22" t="s">
        <v>4180</v>
      </c>
      <c r="O5" s="96" t="s">
        <v>946</v>
      </c>
      <c r="P5" s="20"/>
      <c r="Q5" s="19"/>
      <c r="R5" s="92"/>
      <c r="S5" s="95" t="str">
        <f aca="false">IF(OR(R5="",J5=""),"",ROUND(J5*(1+R5/100),2))</f>
        <v/>
      </c>
      <c r="T5" s="97" t="n">
        <v>20</v>
      </c>
      <c r="U5" s="20" t="s">
        <v>93</v>
      </c>
      <c r="V5" s="20"/>
    </row>
    <row r="6" customFormat="false" ht="23.85" hidden="false" customHeight="false" outlineLevel="0" collapsed="false">
      <c r="A6" s="24" t="s">
        <v>3241</v>
      </c>
      <c r="B6" s="24" t="s">
        <v>3225</v>
      </c>
      <c r="C6" s="23" t="s">
        <v>841</v>
      </c>
      <c r="D6" s="26" t="s">
        <v>91</v>
      </c>
      <c r="E6" s="23" t="s">
        <v>842</v>
      </c>
      <c r="F6" s="24"/>
      <c r="G6" s="24" t="s">
        <v>4487</v>
      </c>
      <c r="H6" s="24" t="s">
        <v>3242</v>
      </c>
      <c r="I6" s="74" t="s">
        <v>78</v>
      </c>
      <c r="J6" s="94" t="n">
        <v>93.48</v>
      </c>
      <c r="K6" s="74" t="s">
        <v>943</v>
      </c>
      <c r="L6" s="91"/>
      <c r="M6" s="58"/>
      <c r="N6" s="26" t="s">
        <v>4180</v>
      </c>
      <c r="O6" s="96" t="s">
        <v>1016</v>
      </c>
      <c r="P6" s="24" t="s">
        <v>949</v>
      </c>
      <c r="Q6" s="105" t="s">
        <v>889</v>
      </c>
      <c r="R6" s="92"/>
      <c r="S6" s="91" t="str">
        <f aca="false">IF(OR(R6="",J6=""),"",ROUND(J6*(1+R6/100),2))</f>
        <v/>
      </c>
      <c r="T6" s="93" t="n">
        <v>20</v>
      </c>
      <c r="U6" s="24" t="s">
        <v>93</v>
      </c>
      <c r="V6" s="61" t="s">
        <v>95</v>
      </c>
    </row>
    <row r="7" customFormat="false" ht="23.85" hidden="false" customHeight="false" outlineLevel="0" collapsed="false">
      <c r="A7" s="20" t="s">
        <v>3243</v>
      </c>
      <c r="B7" s="20" t="s">
        <v>3225</v>
      </c>
      <c r="C7" s="19" t="s">
        <v>843</v>
      </c>
      <c r="D7" s="22" t="s">
        <v>91</v>
      </c>
      <c r="E7" s="19" t="s">
        <v>844</v>
      </c>
      <c r="F7" s="20" t="s">
        <v>969</v>
      </c>
      <c r="G7" s="20" t="s">
        <v>4488</v>
      </c>
      <c r="H7" s="20" t="s">
        <v>3244</v>
      </c>
      <c r="I7" s="20" t="s">
        <v>76</v>
      </c>
      <c r="J7" s="95" t="n">
        <v>6.05</v>
      </c>
      <c r="K7" s="20" t="s">
        <v>4179</v>
      </c>
      <c r="L7" s="95" t="n">
        <v>135.56</v>
      </c>
      <c r="M7" s="52" t="n">
        <v>95.5</v>
      </c>
      <c r="N7" s="22" t="s">
        <v>4180</v>
      </c>
      <c r="O7" s="22" t="s">
        <v>942</v>
      </c>
      <c r="P7" s="20"/>
      <c r="Q7" s="19"/>
      <c r="R7" s="92"/>
      <c r="S7" s="95" t="str">
        <f aca="false">IF(OR(R7="",J7=""),"",ROUND(J7*(1+R7/100),2))</f>
        <v/>
      </c>
      <c r="T7" s="97" t="n">
        <v>20</v>
      </c>
      <c r="U7" s="20" t="s">
        <v>93</v>
      </c>
      <c r="V7" s="55" t="s">
        <v>95</v>
      </c>
    </row>
    <row r="8" customFormat="false" ht="22.35" hidden="false" customHeight="false" outlineLevel="0" collapsed="false">
      <c r="A8" s="85" t="s">
        <v>4489</v>
      </c>
      <c r="B8" s="85" t="s">
        <v>3225</v>
      </c>
      <c r="C8" s="86" t="s">
        <v>919</v>
      </c>
      <c r="D8" s="87" t="s">
        <v>91</v>
      </c>
      <c r="E8" s="86"/>
      <c r="F8" s="85"/>
      <c r="G8" s="85"/>
      <c r="H8" s="85"/>
      <c r="I8" s="85" t="s">
        <v>894</v>
      </c>
      <c r="J8" s="107"/>
      <c r="K8" s="85"/>
      <c r="L8" s="107"/>
      <c r="M8" s="108"/>
      <c r="N8" s="87"/>
      <c r="O8" s="109" t="s">
        <v>52</v>
      </c>
      <c r="P8" s="85"/>
      <c r="Q8" s="110" t="s">
        <v>895</v>
      </c>
      <c r="R8" s="111"/>
      <c r="S8" s="107" t="str">
        <f aca="false">IF(OR(R8="",J8=""),"",ROUND(J8*(1+R8/100),2))</f>
        <v/>
      </c>
      <c r="T8" s="112" t="n">
        <v>20</v>
      </c>
      <c r="U8" s="85"/>
      <c r="V8" s="85"/>
    </row>
    <row r="9" customFormat="false" ht="15" hidden="false" customHeight="false" outlineLevel="0" collapsed="false">
      <c r="A9" s="20" t="s">
        <v>3247</v>
      </c>
      <c r="B9" s="20" t="s">
        <v>3225</v>
      </c>
      <c r="C9" s="19" t="s">
        <v>845</v>
      </c>
      <c r="D9" s="22" t="s">
        <v>91</v>
      </c>
      <c r="E9" s="19" t="s">
        <v>846</v>
      </c>
      <c r="F9" s="20" t="s">
        <v>981</v>
      </c>
      <c r="G9" s="20"/>
      <c r="H9" s="20" t="s">
        <v>3248</v>
      </c>
      <c r="I9" s="74" t="s">
        <v>77</v>
      </c>
      <c r="J9" s="94" t="n">
        <v>5.66</v>
      </c>
      <c r="K9" s="74" t="s">
        <v>4241</v>
      </c>
      <c r="L9" s="95" t="n">
        <v>6.36</v>
      </c>
      <c r="M9" s="52" t="n">
        <v>11</v>
      </c>
      <c r="N9" s="22" t="s">
        <v>4180</v>
      </c>
      <c r="O9" s="96" t="s">
        <v>983</v>
      </c>
      <c r="P9" s="20"/>
      <c r="Q9" s="19"/>
      <c r="R9" s="92"/>
      <c r="S9" s="95" t="str">
        <f aca="false">IF(OR(R9="",J9=""),"",ROUND(J9*(1+R9/100),2))</f>
        <v/>
      </c>
      <c r="T9" s="97" t="n">
        <v>20</v>
      </c>
      <c r="U9" s="20" t="s">
        <v>114</v>
      </c>
      <c r="V9" s="20"/>
    </row>
    <row r="10" customFormat="false" ht="23.85" hidden="false" customHeight="false" outlineLevel="0" collapsed="false">
      <c r="A10" s="24" t="s">
        <v>3253</v>
      </c>
      <c r="B10" s="24" t="s">
        <v>3254</v>
      </c>
      <c r="C10" s="23" t="s">
        <v>847</v>
      </c>
      <c r="D10" s="26" t="s">
        <v>757</v>
      </c>
      <c r="E10" s="23" t="s">
        <v>848</v>
      </c>
      <c r="F10" s="24" t="s">
        <v>3255</v>
      </c>
      <c r="G10" s="24" t="s">
        <v>4490</v>
      </c>
      <c r="H10" s="24" t="s">
        <v>3256</v>
      </c>
      <c r="I10" s="24" t="s">
        <v>76</v>
      </c>
      <c r="J10" s="91" t="n">
        <v>13.01</v>
      </c>
      <c r="K10" s="24" t="s">
        <v>939</v>
      </c>
      <c r="L10" s="91"/>
      <c r="M10" s="58"/>
      <c r="N10" s="26" t="s">
        <v>4180</v>
      </c>
      <c r="O10" s="26" t="s">
        <v>942</v>
      </c>
      <c r="P10" s="24"/>
      <c r="Q10" s="23"/>
      <c r="R10" s="92"/>
      <c r="S10" s="91" t="str">
        <f aca="false">IF(OR(R10="",J10=""),"",ROUND(J10*(1+R10/100),2))</f>
        <v/>
      </c>
      <c r="T10" s="93" t="n">
        <v>20</v>
      </c>
      <c r="U10" s="24" t="s">
        <v>93</v>
      </c>
      <c r="V10" s="61" t="s">
        <v>95</v>
      </c>
    </row>
    <row r="11" customFormat="false" ht="23.85" hidden="false" customHeight="false" outlineLevel="0" collapsed="false">
      <c r="A11" s="20" t="s">
        <v>3262</v>
      </c>
      <c r="B11" s="20" t="s">
        <v>3254</v>
      </c>
      <c r="C11" s="19" t="s">
        <v>849</v>
      </c>
      <c r="D11" s="22" t="s">
        <v>519</v>
      </c>
      <c r="E11" s="19" t="s">
        <v>850</v>
      </c>
      <c r="F11" s="20" t="s">
        <v>3226</v>
      </c>
      <c r="G11" s="20" t="s">
        <v>4491</v>
      </c>
      <c r="H11" s="20" t="s">
        <v>3267</v>
      </c>
      <c r="I11" s="20" t="s">
        <v>76</v>
      </c>
      <c r="J11" s="95" t="n">
        <v>24.63</v>
      </c>
      <c r="K11" s="20" t="s">
        <v>939</v>
      </c>
      <c r="L11" s="95"/>
      <c r="M11" s="52"/>
      <c r="N11" s="22" t="s">
        <v>4180</v>
      </c>
      <c r="O11" s="22" t="s">
        <v>1085</v>
      </c>
      <c r="P11" s="20"/>
      <c r="Q11" s="19"/>
      <c r="R11" s="92"/>
      <c r="S11" s="95" t="str">
        <f aca="false">IF(OR(R11="",J11=""),"",ROUND(J11*(1+R11/100),2))</f>
        <v/>
      </c>
      <c r="T11" s="97" t="n">
        <v>20</v>
      </c>
      <c r="U11" s="20" t="s">
        <v>93</v>
      </c>
      <c r="V11" s="55" t="s">
        <v>95</v>
      </c>
    </row>
    <row r="12" customFormat="false" ht="15" hidden="false" customHeight="false" outlineLevel="0" collapsed="false">
      <c r="A12" s="24" t="s">
        <v>3268</v>
      </c>
      <c r="B12" s="24" t="s">
        <v>3254</v>
      </c>
      <c r="C12" s="23" t="s">
        <v>851</v>
      </c>
      <c r="D12" s="26" t="s">
        <v>757</v>
      </c>
      <c r="E12" s="23" t="s">
        <v>852</v>
      </c>
      <c r="F12" s="24" t="s">
        <v>3260</v>
      </c>
      <c r="G12" s="24" t="s">
        <v>4492</v>
      </c>
      <c r="H12" s="24" t="s">
        <v>3269</v>
      </c>
      <c r="I12" s="74" t="s">
        <v>81</v>
      </c>
      <c r="J12" s="94" t="n">
        <v>13.5</v>
      </c>
      <c r="K12" s="74" t="s">
        <v>979</v>
      </c>
      <c r="L12" s="91" t="n">
        <v>14.23</v>
      </c>
      <c r="M12" s="58" t="n">
        <v>5.1</v>
      </c>
      <c r="N12" s="26" t="s">
        <v>4180</v>
      </c>
      <c r="O12" s="96" t="s">
        <v>1016</v>
      </c>
      <c r="P12" s="24" t="s">
        <v>3270</v>
      </c>
      <c r="Q12" s="105" t="s">
        <v>889</v>
      </c>
      <c r="R12" s="92"/>
      <c r="S12" s="91" t="str">
        <f aca="false">IF(OR(R12="",J12=""),"",ROUND(J12*(1+R12/100),2))</f>
        <v/>
      </c>
      <c r="T12" s="93" t="n">
        <v>20</v>
      </c>
      <c r="U12" s="24" t="s">
        <v>169</v>
      </c>
      <c r="V12" s="61" t="s">
        <v>95</v>
      </c>
    </row>
    <row r="13" customFormat="false" ht="15" hidden="false" customHeight="false" outlineLevel="0" collapsed="false">
      <c r="A13" s="88" t="s">
        <v>3273</v>
      </c>
      <c r="B13" s="88" t="s">
        <v>3254</v>
      </c>
      <c r="C13" s="89" t="s">
        <v>853</v>
      </c>
      <c r="D13" s="90" t="s">
        <v>647</v>
      </c>
      <c r="E13" s="89" t="s">
        <v>854</v>
      </c>
      <c r="F13" s="88" t="s">
        <v>3279</v>
      </c>
      <c r="G13" s="88" t="s">
        <v>4493</v>
      </c>
      <c r="H13" s="88" t="s">
        <v>3280</v>
      </c>
      <c r="I13" s="88" t="s">
        <v>76</v>
      </c>
      <c r="J13" s="98" t="n">
        <v>82.51</v>
      </c>
      <c r="K13" s="88" t="s">
        <v>939</v>
      </c>
      <c r="L13" s="98"/>
      <c r="M13" s="99"/>
      <c r="N13" s="90" t="s">
        <v>4180</v>
      </c>
      <c r="O13" s="100" t="s">
        <v>963</v>
      </c>
      <c r="P13" s="88"/>
      <c r="Q13" s="101" t="s">
        <v>889</v>
      </c>
      <c r="R13" s="102"/>
      <c r="S13" s="98" t="str">
        <f aca="false">IF(OR(R13="",J13=""),"",ROUND(J13*(1+R13/100),2))</f>
        <v/>
      </c>
      <c r="T13" s="103" t="n">
        <v>20</v>
      </c>
      <c r="U13" s="88" t="s">
        <v>93</v>
      </c>
      <c r="V13" s="104" t="s">
        <v>95</v>
      </c>
    </row>
    <row r="14" customFormat="false" ht="15" hidden="false" customHeight="false" outlineLevel="0" collapsed="false">
      <c r="A14" s="24" t="s">
        <v>3281</v>
      </c>
      <c r="B14" s="24" t="s">
        <v>3254</v>
      </c>
      <c r="C14" s="23" t="s">
        <v>855</v>
      </c>
      <c r="D14" s="26" t="s">
        <v>91</v>
      </c>
      <c r="E14" s="23" t="s">
        <v>856</v>
      </c>
      <c r="F14" s="24"/>
      <c r="G14" s="24"/>
      <c r="H14" s="24" t="s">
        <v>3282</v>
      </c>
      <c r="I14" s="74" t="s">
        <v>82</v>
      </c>
      <c r="J14" s="94" t="n">
        <v>184</v>
      </c>
      <c r="K14" s="74" t="s">
        <v>943</v>
      </c>
      <c r="L14" s="91"/>
      <c r="M14" s="58"/>
      <c r="N14" s="26" t="s">
        <v>4180</v>
      </c>
      <c r="O14" s="96" t="s">
        <v>1016</v>
      </c>
      <c r="P14" s="24"/>
      <c r="Q14" s="105" t="s">
        <v>889</v>
      </c>
      <c r="R14" s="92"/>
      <c r="S14" s="91" t="str">
        <f aca="false">IF(OR(R14="",J14=""),"",ROUND(J14*(1+R14/100),2))</f>
        <v/>
      </c>
      <c r="T14" s="93" t="n">
        <v>20</v>
      </c>
      <c r="U14" s="24" t="s">
        <v>290</v>
      </c>
      <c r="V14" s="61" t="s">
        <v>95</v>
      </c>
    </row>
    <row r="15" customFormat="false" ht="15" hidden="false" customHeight="false" outlineLevel="0" collapsed="false">
      <c r="A15" s="88" t="s">
        <v>3283</v>
      </c>
      <c r="B15" s="88" t="s">
        <v>3254</v>
      </c>
      <c r="C15" s="89" t="s">
        <v>857</v>
      </c>
      <c r="D15" s="90" t="s">
        <v>91</v>
      </c>
      <c r="E15" s="89" t="s">
        <v>858</v>
      </c>
      <c r="F15" s="88" t="s">
        <v>3284</v>
      </c>
      <c r="G15" s="88" t="s">
        <v>4494</v>
      </c>
      <c r="H15" s="88" t="s">
        <v>3285</v>
      </c>
      <c r="I15" s="88" t="s">
        <v>76</v>
      </c>
      <c r="J15" s="98" t="n">
        <v>60.5</v>
      </c>
      <c r="K15" s="88" t="s">
        <v>939</v>
      </c>
      <c r="L15" s="98"/>
      <c r="M15" s="99"/>
      <c r="N15" s="90" t="s">
        <v>4180</v>
      </c>
      <c r="O15" s="100" t="s">
        <v>963</v>
      </c>
      <c r="P15" s="88"/>
      <c r="Q15" s="101" t="s">
        <v>889</v>
      </c>
      <c r="R15" s="102"/>
      <c r="S15" s="98" t="str">
        <f aca="false">IF(OR(R15="",J15=""),"",ROUND(J15*(1+R15/100),2))</f>
        <v/>
      </c>
      <c r="T15" s="103" t="n">
        <v>20</v>
      </c>
      <c r="U15" s="88" t="s">
        <v>93</v>
      </c>
      <c r="V15" s="104" t="s">
        <v>95</v>
      </c>
    </row>
    <row r="16" customFormat="false" ht="15" hidden="false" customHeight="false" outlineLevel="0" collapsed="false">
      <c r="A16" s="24" t="s">
        <v>3286</v>
      </c>
      <c r="B16" s="24" t="s">
        <v>3287</v>
      </c>
      <c r="C16" s="23" t="s">
        <v>859</v>
      </c>
      <c r="D16" s="26" t="s">
        <v>860</v>
      </c>
      <c r="E16" s="23" t="s">
        <v>861</v>
      </c>
      <c r="F16" s="24" t="s">
        <v>3290</v>
      </c>
      <c r="G16" s="24" t="s">
        <v>4495</v>
      </c>
      <c r="H16" s="24" t="s">
        <v>3291</v>
      </c>
      <c r="I16" s="24" t="s">
        <v>76</v>
      </c>
      <c r="J16" s="91" t="n">
        <v>5.93</v>
      </c>
      <c r="K16" s="24" t="s">
        <v>939</v>
      </c>
      <c r="L16" s="91"/>
      <c r="M16" s="58"/>
      <c r="N16" s="26" t="s">
        <v>4180</v>
      </c>
      <c r="O16" s="26" t="s">
        <v>1085</v>
      </c>
      <c r="P16" s="24"/>
      <c r="Q16" s="23"/>
      <c r="R16" s="92"/>
      <c r="S16" s="91" t="str">
        <f aca="false">IF(OR(R16="",J16=""),"",ROUND(J16*(1+R16/100),2))</f>
        <v/>
      </c>
      <c r="T16" s="93" t="n">
        <v>20</v>
      </c>
      <c r="U16" s="24" t="s">
        <v>93</v>
      </c>
      <c r="V16" s="61" t="s">
        <v>95</v>
      </c>
    </row>
    <row r="17" customFormat="false" ht="15" hidden="false" customHeight="false" outlineLevel="0" collapsed="false">
      <c r="A17" s="20" t="s">
        <v>3295</v>
      </c>
      <c r="B17" s="20" t="s">
        <v>3287</v>
      </c>
      <c r="C17" s="19" t="s">
        <v>862</v>
      </c>
      <c r="D17" s="22" t="s">
        <v>91</v>
      </c>
      <c r="E17" s="19" t="s">
        <v>863</v>
      </c>
      <c r="F17" s="20" t="s">
        <v>3290</v>
      </c>
      <c r="G17" s="20" t="s">
        <v>4496</v>
      </c>
      <c r="H17" s="20" t="s">
        <v>3298</v>
      </c>
      <c r="I17" s="20" t="s">
        <v>76</v>
      </c>
      <c r="J17" s="95" t="n">
        <v>5.17</v>
      </c>
      <c r="K17" s="20" t="s">
        <v>4179</v>
      </c>
      <c r="L17" s="95" t="n">
        <v>11.93</v>
      </c>
      <c r="M17" s="52" t="n">
        <v>56.7</v>
      </c>
      <c r="N17" s="22" t="s">
        <v>4180</v>
      </c>
      <c r="O17" s="22" t="s">
        <v>1085</v>
      </c>
      <c r="P17" s="20"/>
      <c r="Q17" s="19"/>
      <c r="R17" s="92"/>
      <c r="S17" s="95" t="str">
        <f aca="false">IF(OR(R17="",J17=""),"",ROUND(J17*(1+R17/100),2))</f>
        <v/>
      </c>
      <c r="T17" s="97" t="n">
        <v>20</v>
      </c>
      <c r="U17" s="20" t="s">
        <v>93</v>
      </c>
      <c r="V17" s="55" t="s">
        <v>95</v>
      </c>
    </row>
    <row r="18" customFormat="false" ht="23.85" hidden="false" customHeight="false" outlineLevel="0" collapsed="false">
      <c r="A18" s="88" t="s">
        <v>3302</v>
      </c>
      <c r="B18" s="88" t="s">
        <v>3287</v>
      </c>
      <c r="C18" s="89" t="s">
        <v>864</v>
      </c>
      <c r="D18" s="90" t="s">
        <v>91</v>
      </c>
      <c r="E18" s="89" t="s">
        <v>865</v>
      </c>
      <c r="F18" s="88" t="s">
        <v>3117</v>
      </c>
      <c r="G18" s="88" t="s">
        <v>4497</v>
      </c>
      <c r="H18" s="88" t="s">
        <v>3305</v>
      </c>
      <c r="I18" s="88" t="s">
        <v>76</v>
      </c>
      <c r="J18" s="98" t="n">
        <v>430.18</v>
      </c>
      <c r="K18" s="88" t="s">
        <v>939</v>
      </c>
      <c r="L18" s="98"/>
      <c r="M18" s="99"/>
      <c r="N18" s="90" t="s">
        <v>4180</v>
      </c>
      <c r="O18" s="100" t="s">
        <v>963</v>
      </c>
      <c r="P18" s="88"/>
      <c r="Q18" s="101" t="s">
        <v>889</v>
      </c>
      <c r="R18" s="102"/>
      <c r="S18" s="98" t="str">
        <f aca="false">IF(OR(R18="",J18=""),"",ROUND(J18*(1+R18/100),2))</f>
        <v/>
      </c>
      <c r="T18" s="103" t="n">
        <v>20</v>
      </c>
      <c r="U18" s="88" t="s">
        <v>93</v>
      </c>
      <c r="V18" s="104" t="s">
        <v>95</v>
      </c>
    </row>
    <row r="19" customFormat="false" ht="22.35" hidden="false" customHeight="false" outlineLevel="0" collapsed="false">
      <c r="A19" s="85" t="s">
        <v>4498</v>
      </c>
      <c r="B19" s="85" t="s">
        <v>3287</v>
      </c>
      <c r="C19" s="86" t="s">
        <v>920</v>
      </c>
      <c r="D19" s="87" t="s">
        <v>91</v>
      </c>
      <c r="E19" s="86"/>
      <c r="F19" s="85"/>
      <c r="G19" s="85"/>
      <c r="H19" s="85"/>
      <c r="I19" s="85" t="s">
        <v>894</v>
      </c>
      <c r="J19" s="107"/>
      <c r="K19" s="85"/>
      <c r="L19" s="107"/>
      <c r="M19" s="108"/>
      <c r="N19" s="87"/>
      <c r="O19" s="109" t="s">
        <v>52</v>
      </c>
      <c r="P19" s="85"/>
      <c r="Q19" s="110" t="s">
        <v>895</v>
      </c>
      <c r="R19" s="111"/>
      <c r="S19" s="107" t="str">
        <f aca="false">IF(OR(R19="",J19=""),"",ROUND(J19*(1+R19/100),2))</f>
        <v/>
      </c>
      <c r="T19" s="112" t="n">
        <v>20</v>
      </c>
      <c r="U19" s="85"/>
      <c r="V19" s="85"/>
    </row>
  </sheetData>
  <autoFilter ref="A1:V19"/>
  <hyperlinks>
    <hyperlink ref="V2" r:id="rId1" display="Voir la fiche"/>
    <hyperlink ref="V3" r:id="rId2" display="Voir la fiche"/>
    <hyperlink ref="V4" r:id="rId3" display="Voir la fiche"/>
    <hyperlink ref="V6" r:id="rId4" display="Voir la fiche"/>
    <hyperlink ref="V7" r:id="rId5" display="Voir la fiche"/>
    <hyperlink ref="V10" r:id="rId6" display="Voir la fiche"/>
    <hyperlink ref="V11" r:id="rId7" display="Voir la fiche"/>
    <hyperlink ref="V12" r:id="rId8" display="Voir la fiche"/>
    <hyperlink ref="V13" r:id="rId9" display="Voir la fiche"/>
    <hyperlink ref="V14" r:id="rId10" display="Voir la fiche"/>
    <hyperlink ref="V15" r:id="rId11" display="Voir la fiche"/>
    <hyperlink ref="V16" r:id="rId12" display="Voir la fiche"/>
    <hyperlink ref="V17" r:id="rId13" display="Voir la fiche"/>
    <hyperlink ref="V18" r:id="rId14"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5"/>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L15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8"/>
    <col collapsed="false" customWidth="true" hidden="false" outlineLevel="0" max="3" min="3" style="0" width="62"/>
    <col collapsed="false" customWidth="true" hidden="false" outlineLevel="0" max="4" min="4" style="0" width="8"/>
    <col collapsed="false" customWidth="true" hidden="false" outlineLevel="0" max="5" min="5" style="0" width="20"/>
    <col collapsed="false" customWidth="true" hidden="false" outlineLevel="0" max="6" min="6" style="0" width="13"/>
    <col collapsed="false" customWidth="true" hidden="false" outlineLevel="0" max="7" min="7" style="0" width="18"/>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8"/>
    <col collapsed="false" customWidth="true" hidden="false" outlineLevel="0" max="12" min="12" style="0" width="30"/>
  </cols>
  <sheetData>
    <row r="1" customFormat="false" ht="36" hidden="false" customHeight="true" outlineLevel="0" collapsed="false">
      <c r="A1" s="72" t="s">
        <v>927</v>
      </c>
      <c r="B1" s="72" t="s">
        <v>4499</v>
      </c>
      <c r="C1" s="72" t="s">
        <v>4500</v>
      </c>
      <c r="D1" s="72" t="s">
        <v>75</v>
      </c>
      <c r="E1" s="72" t="s">
        <v>37</v>
      </c>
      <c r="F1" s="72" t="s">
        <v>4171</v>
      </c>
      <c r="G1" s="72" t="s">
        <v>39</v>
      </c>
      <c r="H1" s="72" t="s">
        <v>4173</v>
      </c>
      <c r="I1" s="72" t="s">
        <v>4175</v>
      </c>
      <c r="J1" s="72" t="s">
        <v>4176</v>
      </c>
      <c r="K1" s="72" t="s">
        <v>4177</v>
      </c>
      <c r="L1" s="72" t="s">
        <v>89</v>
      </c>
    </row>
    <row r="2" customFormat="false" ht="15" hidden="false" customHeight="false" outlineLevel="0" collapsed="false">
      <c r="A2" s="24" t="s">
        <v>3306</v>
      </c>
      <c r="B2" s="24" t="s">
        <v>3307</v>
      </c>
      <c r="C2" s="23" t="s">
        <v>3308</v>
      </c>
      <c r="D2" s="26" t="s">
        <v>91</v>
      </c>
      <c r="E2" s="24" t="s">
        <v>3309</v>
      </c>
      <c r="F2" s="91" t="n">
        <v>28.84</v>
      </c>
      <c r="G2" s="24" t="s">
        <v>939</v>
      </c>
      <c r="H2" s="26" t="s">
        <v>4180</v>
      </c>
      <c r="I2" s="113"/>
      <c r="J2" s="91" t="str">
        <f aca="false">IF(I2="","",ROUND(F2*(1+I2/100),2))</f>
        <v/>
      </c>
      <c r="K2" s="93" t="n">
        <v>20</v>
      </c>
      <c r="L2" s="61" t="s">
        <v>95</v>
      </c>
    </row>
    <row r="3" customFormat="false" ht="15" hidden="false" customHeight="false" outlineLevel="0" collapsed="false">
      <c r="A3" s="20" t="s">
        <v>3311</v>
      </c>
      <c r="B3" s="20" t="s">
        <v>3307</v>
      </c>
      <c r="C3" s="19" t="s">
        <v>3312</v>
      </c>
      <c r="D3" s="22" t="s">
        <v>91</v>
      </c>
      <c r="E3" s="20" t="s">
        <v>3309</v>
      </c>
      <c r="F3" s="95" t="n">
        <v>63</v>
      </c>
      <c r="G3" s="20" t="s">
        <v>939</v>
      </c>
      <c r="H3" s="22" t="s">
        <v>4180</v>
      </c>
      <c r="I3" s="114"/>
      <c r="J3" s="95" t="str">
        <f aca="false">IF(I3="","",ROUND(F3*(1+I3/100),2))</f>
        <v/>
      </c>
      <c r="K3" s="97" t="n">
        <v>20</v>
      </c>
      <c r="L3" s="55" t="s">
        <v>95</v>
      </c>
    </row>
    <row r="4" customFormat="false" ht="15" hidden="false" customHeight="false" outlineLevel="0" collapsed="false">
      <c r="A4" s="24" t="s">
        <v>3313</v>
      </c>
      <c r="B4" s="24" t="s">
        <v>3307</v>
      </c>
      <c r="C4" s="23" t="s">
        <v>3314</v>
      </c>
      <c r="D4" s="26" t="s">
        <v>91</v>
      </c>
      <c r="E4" s="24" t="s">
        <v>3309</v>
      </c>
      <c r="F4" s="91" t="n">
        <v>99.52</v>
      </c>
      <c r="G4" s="24" t="s">
        <v>939</v>
      </c>
      <c r="H4" s="26" t="s">
        <v>4180</v>
      </c>
      <c r="I4" s="113"/>
      <c r="J4" s="91" t="str">
        <f aca="false">IF(I4="","",ROUND(F4*(1+I4/100),2))</f>
        <v/>
      </c>
      <c r="K4" s="93" t="n">
        <v>20</v>
      </c>
      <c r="L4" s="61" t="s">
        <v>95</v>
      </c>
    </row>
    <row r="5" customFormat="false" ht="15" hidden="false" customHeight="false" outlineLevel="0" collapsed="false">
      <c r="A5" s="20" t="s">
        <v>3315</v>
      </c>
      <c r="B5" s="20" t="s">
        <v>3307</v>
      </c>
      <c r="C5" s="19" t="s">
        <v>3316</v>
      </c>
      <c r="D5" s="22" t="s">
        <v>91</v>
      </c>
      <c r="E5" s="20" t="s">
        <v>3309</v>
      </c>
      <c r="F5" s="95" t="n">
        <v>121.75</v>
      </c>
      <c r="G5" s="20" t="s">
        <v>939</v>
      </c>
      <c r="H5" s="22" t="s">
        <v>4180</v>
      </c>
      <c r="I5" s="114"/>
      <c r="J5" s="95" t="str">
        <f aca="false">IF(I5="","",ROUND(F5*(1+I5/100),2))</f>
        <v/>
      </c>
      <c r="K5" s="97" t="n">
        <v>20</v>
      </c>
      <c r="L5" s="55" t="s">
        <v>95</v>
      </c>
    </row>
    <row r="6" customFormat="false" ht="15" hidden="false" customHeight="false" outlineLevel="0" collapsed="false">
      <c r="A6" s="24" t="s">
        <v>3317</v>
      </c>
      <c r="B6" s="24" t="s">
        <v>3307</v>
      </c>
      <c r="C6" s="23" t="s">
        <v>3319</v>
      </c>
      <c r="D6" s="26" t="s">
        <v>91</v>
      </c>
      <c r="E6" s="24" t="s">
        <v>3309</v>
      </c>
      <c r="F6" s="91" t="n">
        <v>1.36</v>
      </c>
      <c r="G6" s="24" t="s">
        <v>939</v>
      </c>
      <c r="H6" s="26" t="s">
        <v>4180</v>
      </c>
      <c r="I6" s="113"/>
      <c r="J6" s="91" t="str">
        <f aca="false">IF(I6="","",ROUND(F6*(1+I6/100),2))</f>
        <v/>
      </c>
      <c r="K6" s="93" t="n">
        <v>20</v>
      </c>
      <c r="L6" s="61" t="s">
        <v>95</v>
      </c>
    </row>
    <row r="7" customFormat="false" ht="15" hidden="false" customHeight="false" outlineLevel="0" collapsed="false">
      <c r="A7" s="20" t="s">
        <v>3320</v>
      </c>
      <c r="B7" s="20" t="s">
        <v>3307</v>
      </c>
      <c r="C7" s="19" t="s">
        <v>3322</v>
      </c>
      <c r="D7" s="22" t="s">
        <v>91</v>
      </c>
      <c r="E7" s="20" t="s">
        <v>3309</v>
      </c>
      <c r="F7" s="95" t="n">
        <v>1.56</v>
      </c>
      <c r="G7" s="20" t="s">
        <v>939</v>
      </c>
      <c r="H7" s="22" t="s">
        <v>4180</v>
      </c>
      <c r="I7" s="114"/>
      <c r="J7" s="95" t="str">
        <f aca="false">IF(I7="","",ROUND(F7*(1+I7/100),2))</f>
        <v/>
      </c>
      <c r="K7" s="97" t="n">
        <v>20</v>
      </c>
      <c r="L7" s="55" t="s">
        <v>95</v>
      </c>
    </row>
    <row r="8" customFormat="false" ht="15" hidden="false" customHeight="false" outlineLevel="0" collapsed="false">
      <c r="A8" s="24" t="s">
        <v>3323</v>
      </c>
      <c r="B8" s="24" t="s">
        <v>3307</v>
      </c>
      <c r="C8" s="23" t="s">
        <v>3324</v>
      </c>
      <c r="D8" s="26" t="s">
        <v>91</v>
      </c>
      <c r="E8" s="24" t="s">
        <v>3309</v>
      </c>
      <c r="F8" s="91" t="n">
        <v>139.9</v>
      </c>
      <c r="G8" s="24" t="s">
        <v>939</v>
      </c>
      <c r="H8" s="26" t="s">
        <v>4180</v>
      </c>
      <c r="I8" s="113"/>
      <c r="J8" s="91" t="str">
        <f aca="false">IF(I8="","",ROUND(F8*(1+I8/100),2))</f>
        <v/>
      </c>
      <c r="K8" s="93" t="n">
        <v>20</v>
      </c>
      <c r="L8" s="61" t="s">
        <v>95</v>
      </c>
    </row>
    <row r="9" customFormat="false" ht="15" hidden="false" customHeight="false" outlineLevel="0" collapsed="false">
      <c r="A9" s="20" t="s">
        <v>3325</v>
      </c>
      <c r="B9" s="20" t="s">
        <v>3307</v>
      </c>
      <c r="C9" s="19" t="s">
        <v>3326</v>
      </c>
      <c r="D9" s="22" t="s">
        <v>91</v>
      </c>
      <c r="E9" s="20" t="s">
        <v>3309</v>
      </c>
      <c r="F9" s="95" t="n">
        <v>123.88</v>
      </c>
      <c r="G9" s="20" t="s">
        <v>939</v>
      </c>
      <c r="H9" s="22" t="s">
        <v>4180</v>
      </c>
      <c r="I9" s="114"/>
      <c r="J9" s="95" t="str">
        <f aca="false">IF(I9="","",ROUND(F9*(1+I9/100),2))</f>
        <v/>
      </c>
      <c r="K9" s="97" t="n">
        <v>20</v>
      </c>
      <c r="L9" s="55" t="s">
        <v>95</v>
      </c>
    </row>
    <row r="10" customFormat="false" ht="15" hidden="false" customHeight="false" outlineLevel="0" collapsed="false">
      <c r="A10" s="24" t="s">
        <v>3327</v>
      </c>
      <c r="B10" s="24" t="s">
        <v>3307</v>
      </c>
      <c r="C10" s="23" t="s">
        <v>3329</v>
      </c>
      <c r="D10" s="26" t="s">
        <v>91</v>
      </c>
      <c r="E10" s="24" t="s">
        <v>3309</v>
      </c>
      <c r="F10" s="91" t="n">
        <v>139.9</v>
      </c>
      <c r="G10" s="24" t="s">
        <v>939</v>
      </c>
      <c r="H10" s="26" t="s">
        <v>4180</v>
      </c>
      <c r="I10" s="113"/>
      <c r="J10" s="91" t="str">
        <f aca="false">IF(I10="","",ROUND(F10*(1+I10/100),2))</f>
        <v/>
      </c>
      <c r="K10" s="93" t="n">
        <v>20</v>
      </c>
      <c r="L10" s="61" t="s">
        <v>95</v>
      </c>
    </row>
    <row r="11" customFormat="false" ht="15" hidden="false" customHeight="false" outlineLevel="0" collapsed="false">
      <c r="A11" s="20" t="s">
        <v>3330</v>
      </c>
      <c r="B11" s="20" t="s">
        <v>3331</v>
      </c>
      <c r="C11" s="19" t="s">
        <v>3332</v>
      </c>
      <c r="D11" s="22" t="s">
        <v>91</v>
      </c>
      <c r="E11" s="20" t="s">
        <v>3309</v>
      </c>
      <c r="F11" s="95" t="n">
        <v>6.42</v>
      </c>
      <c r="G11" s="20" t="s">
        <v>939</v>
      </c>
      <c r="H11" s="22" t="s">
        <v>4180</v>
      </c>
      <c r="I11" s="114"/>
      <c r="J11" s="95" t="str">
        <f aca="false">IF(I11="","",ROUND(F11*(1+I11/100),2))</f>
        <v/>
      </c>
      <c r="K11" s="97" t="n">
        <v>20</v>
      </c>
      <c r="L11" s="55" t="s">
        <v>95</v>
      </c>
    </row>
    <row r="12" customFormat="false" ht="15" hidden="false" customHeight="false" outlineLevel="0" collapsed="false">
      <c r="A12" s="24" t="s">
        <v>3333</v>
      </c>
      <c r="B12" s="24" t="s">
        <v>3331</v>
      </c>
      <c r="C12" s="23" t="s">
        <v>3334</v>
      </c>
      <c r="D12" s="26" t="s">
        <v>91</v>
      </c>
      <c r="E12" s="24" t="s">
        <v>3309</v>
      </c>
      <c r="F12" s="91" t="n">
        <v>5.05</v>
      </c>
      <c r="G12" s="24" t="s">
        <v>939</v>
      </c>
      <c r="H12" s="26" t="s">
        <v>4180</v>
      </c>
      <c r="I12" s="113"/>
      <c r="J12" s="91" t="str">
        <f aca="false">IF(I12="","",ROUND(F12*(1+I12/100),2))</f>
        <v/>
      </c>
      <c r="K12" s="93" t="n">
        <v>20</v>
      </c>
      <c r="L12" s="61" t="s">
        <v>95</v>
      </c>
    </row>
    <row r="13" customFormat="false" ht="15" hidden="false" customHeight="false" outlineLevel="0" collapsed="false">
      <c r="A13" s="20" t="s">
        <v>3335</v>
      </c>
      <c r="B13" s="20" t="s">
        <v>3331</v>
      </c>
      <c r="C13" s="19" t="s">
        <v>3336</v>
      </c>
      <c r="D13" s="22" t="s">
        <v>91</v>
      </c>
      <c r="E13" s="20" t="s">
        <v>3309</v>
      </c>
      <c r="F13" s="95" t="n">
        <v>8.04</v>
      </c>
      <c r="G13" s="20" t="s">
        <v>939</v>
      </c>
      <c r="H13" s="22" t="s">
        <v>4180</v>
      </c>
      <c r="I13" s="114"/>
      <c r="J13" s="95" t="str">
        <f aca="false">IF(I13="","",ROUND(F13*(1+I13/100),2))</f>
        <v/>
      </c>
      <c r="K13" s="97" t="n">
        <v>20</v>
      </c>
      <c r="L13" s="55" t="s">
        <v>95</v>
      </c>
    </row>
    <row r="14" customFormat="false" ht="15" hidden="false" customHeight="false" outlineLevel="0" collapsed="false">
      <c r="A14" s="24" t="s">
        <v>3337</v>
      </c>
      <c r="B14" s="24" t="s">
        <v>3331</v>
      </c>
      <c r="C14" s="23" t="s">
        <v>3338</v>
      </c>
      <c r="D14" s="26" t="s">
        <v>91</v>
      </c>
      <c r="E14" s="24" t="s">
        <v>3309</v>
      </c>
      <c r="F14" s="91" t="n">
        <v>7.06</v>
      </c>
      <c r="G14" s="24" t="s">
        <v>939</v>
      </c>
      <c r="H14" s="26" t="s">
        <v>4180</v>
      </c>
      <c r="I14" s="113"/>
      <c r="J14" s="91" t="str">
        <f aca="false">IF(I14="","",ROUND(F14*(1+I14/100),2))</f>
        <v/>
      </c>
      <c r="K14" s="93" t="n">
        <v>20</v>
      </c>
      <c r="L14" s="61" t="s">
        <v>95</v>
      </c>
    </row>
    <row r="15" customFormat="false" ht="15" hidden="false" customHeight="false" outlineLevel="0" collapsed="false">
      <c r="A15" s="20" t="s">
        <v>3339</v>
      </c>
      <c r="B15" s="20" t="s">
        <v>3331</v>
      </c>
      <c r="C15" s="19" t="s">
        <v>3340</v>
      </c>
      <c r="D15" s="22" t="s">
        <v>91</v>
      </c>
      <c r="E15" s="20" t="s">
        <v>3309</v>
      </c>
      <c r="F15" s="95" t="n">
        <v>3.14</v>
      </c>
      <c r="G15" s="20" t="s">
        <v>939</v>
      </c>
      <c r="H15" s="22" t="s">
        <v>4180</v>
      </c>
      <c r="I15" s="114"/>
      <c r="J15" s="95" t="str">
        <f aca="false">IF(I15="","",ROUND(F15*(1+I15/100),2))</f>
        <v/>
      </c>
      <c r="K15" s="97" t="n">
        <v>20</v>
      </c>
      <c r="L15" s="55" t="s">
        <v>95</v>
      </c>
    </row>
    <row r="16" customFormat="false" ht="15" hidden="false" customHeight="false" outlineLevel="0" collapsed="false">
      <c r="A16" s="24" t="s">
        <v>3341</v>
      </c>
      <c r="B16" s="24" t="s">
        <v>3331</v>
      </c>
      <c r="C16" s="23" t="s">
        <v>3343</v>
      </c>
      <c r="D16" s="26" t="s">
        <v>91</v>
      </c>
      <c r="E16" s="24" t="s">
        <v>3309</v>
      </c>
      <c r="F16" s="91" t="n">
        <v>8.22</v>
      </c>
      <c r="G16" s="24" t="s">
        <v>939</v>
      </c>
      <c r="H16" s="26" t="s">
        <v>4180</v>
      </c>
      <c r="I16" s="113"/>
      <c r="J16" s="91" t="str">
        <f aca="false">IF(I16="","",ROUND(F16*(1+I16/100),2))</f>
        <v/>
      </c>
      <c r="K16" s="93" t="n">
        <v>20</v>
      </c>
      <c r="L16" s="61" t="s">
        <v>95</v>
      </c>
    </row>
    <row r="17" customFormat="false" ht="15" hidden="false" customHeight="false" outlineLevel="0" collapsed="false">
      <c r="A17" s="20" t="s">
        <v>3344</v>
      </c>
      <c r="B17" s="20" t="s">
        <v>3331</v>
      </c>
      <c r="C17" s="19" t="s">
        <v>3345</v>
      </c>
      <c r="D17" s="22" t="s">
        <v>91</v>
      </c>
      <c r="E17" s="20" t="s">
        <v>3309</v>
      </c>
      <c r="F17" s="95" t="n">
        <v>7.87</v>
      </c>
      <c r="G17" s="20" t="s">
        <v>939</v>
      </c>
      <c r="H17" s="22" t="s">
        <v>4180</v>
      </c>
      <c r="I17" s="114"/>
      <c r="J17" s="95" t="str">
        <f aca="false">IF(I17="","",ROUND(F17*(1+I17/100),2))</f>
        <v/>
      </c>
      <c r="K17" s="97" t="n">
        <v>20</v>
      </c>
      <c r="L17" s="55" t="s">
        <v>95</v>
      </c>
    </row>
    <row r="18" customFormat="false" ht="15" hidden="false" customHeight="false" outlineLevel="0" collapsed="false">
      <c r="A18" s="24" t="s">
        <v>3346</v>
      </c>
      <c r="B18" s="24" t="s">
        <v>3331</v>
      </c>
      <c r="C18" s="23" t="s">
        <v>3347</v>
      </c>
      <c r="D18" s="26" t="s">
        <v>91</v>
      </c>
      <c r="E18" s="24" t="s">
        <v>3309</v>
      </c>
      <c r="F18" s="91" t="n">
        <v>3.58</v>
      </c>
      <c r="G18" s="24" t="s">
        <v>939</v>
      </c>
      <c r="H18" s="26" t="s">
        <v>4180</v>
      </c>
      <c r="I18" s="113"/>
      <c r="J18" s="91" t="str">
        <f aca="false">IF(I18="","",ROUND(F18*(1+I18/100),2))</f>
        <v/>
      </c>
      <c r="K18" s="93" t="n">
        <v>20</v>
      </c>
      <c r="L18" s="61" t="s">
        <v>95</v>
      </c>
    </row>
    <row r="19" customFormat="false" ht="15" hidden="false" customHeight="false" outlineLevel="0" collapsed="false">
      <c r="A19" s="20" t="s">
        <v>3348</v>
      </c>
      <c r="B19" s="20" t="s">
        <v>3331</v>
      </c>
      <c r="C19" s="19" t="s">
        <v>3350</v>
      </c>
      <c r="D19" s="22" t="s">
        <v>91</v>
      </c>
      <c r="E19" s="20" t="s">
        <v>3309</v>
      </c>
      <c r="F19" s="95" t="n">
        <v>19.2</v>
      </c>
      <c r="G19" s="20" t="s">
        <v>939</v>
      </c>
      <c r="H19" s="22" t="s">
        <v>4180</v>
      </c>
      <c r="I19" s="114"/>
      <c r="J19" s="95" t="str">
        <f aca="false">IF(I19="","",ROUND(F19*(1+I19/100),2))</f>
        <v/>
      </c>
      <c r="K19" s="97" t="n">
        <v>20</v>
      </c>
      <c r="L19" s="55" t="s">
        <v>95</v>
      </c>
    </row>
    <row r="20" customFormat="false" ht="15" hidden="false" customHeight="false" outlineLevel="0" collapsed="false">
      <c r="A20" s="24" t="s">
        <v>3351</v>
      </c>
      <c r="B20" s="24" t="s">
        <v>3331</v>
      </c>
      <c r="C20" s="23" t="s">
        <v>3353</v>
      </c>
      <c r="D20" s="26" t="s">
        <v>91</v>
      </c>
      <c r="E20" s="24" t="s">
        <v>3309</v>
      </c>
      <c r="F20" s="91" t="n">
        <v>30.55</v>
      </c>
      <c r="G20" s="24" t="s">
        <v>939</v>
      </c>
      <c r="H20" s="26" t="s">
        <v>4180</v>
      </c>
      <c r="I20" s="113"/>
      <c r="J20" s="91" t="str">
        <f aca="false">IF(I20="","",ROUND(F20*(1+I20/100),2))</f>
        <v/>
      </c>
      <c r="K20" s="93" t="n">
        <v>20</v>
      </c>
      <c r="L20" s="61" t="s">
        <v>95</v>
      </c>
    </row>
    <row r="21" customFormat="false" ht="15" hidden="false" customHeight="false" outlineLevel="0" collapsed="false">
      <c r="A21" s="20" t="s">
        <v>3354</v>
      </c>
      <c r="B21" s="20" t="s">
        <v>3331</v>
      </c>
      <c r="C21" s="19" t="s">
        <v>3356</v>
      </c>
      <c r="D21" s="22" t="s">
        <v>91</v>
      </c>
      <c r="E21" s="20" t="s">
        <v>3309</v>
      </c>
      <c r="F21" s="95" t="n">
        <v>0.8</v>
      </c>
      <c r="G21" s="20" t="s">
        <v>939</v>
      </c>
      <c r="H21" s="22" t="s">
        <v>4180</v>
      </c>
      <c r="I21" s="114"/>
      <c r="J21" s="95" t="str">
        <f aca="false">IF(I21="","",ROUND(F21*(1+I21/100),2))</f>
        <v/>
      </c>
      <c r="K21" s="97" t="n">
        <v>20</v>
      </c>
      <c r="L21" s="55" t="s">
        <v>95</v>
      </c>
    </row>
    <row r="22" customFormat="false" ht="15" hidden="false" customHeight="false" outlineLevel="0" collapsed="false">
      <c r="A22" s="24" t="s">
        <v>3357</v>
      </c>
      <c r="B22" s="24" t="s">
        <v>3331</v>
      </c>
      <c r="C22" s="23" t="s">
        <v>3359</v>
      </c>
      <c r="D22" s="26" t="s">
        <v>91</v>
      </c>
      <c r="E22" s="24" t="s">
        <v>3309</v>
      </c>
      <c r="F22" s="91" t="n">
        <v>3.23</v>
      </c>
      <c r="G22" s="24" t="s">
        <v>939</v>
      </c>
      <c r="H22" s="26" t="s">
        <v>4180</v>
      </c>
      <c r="I22" s="113"/>
      <c r="J22" s="91" t="str">
        <f aca="false">IF(I22="","",ROUND(F22*(1+I22/100),2))</f>
        <v/>
      </c>
      <c r="K22" s="93" t="n">
        <v>20</v>
      </c>
      <c r="L22" s="61" t="s">
        <v>95</v>
      </c>
    </row>
    <row r="23" customFormat="false" ht="15" hidden="false" customHeight="false" outlineLevel="0" collapsed="false">
      <c r="A23" s="20" t="s">
        <v>3360</v>
      </c>
      <c r="B23" s="20" t="s">
        <v>3331</v>
      </c>
      <c r="C23" s="19" t="s">
        <v>3361</v>
      </c>
      <c r="D23" s="22" t="s">
        <v>91</v>
      </c>
      <c r="E23" s="20" t="s">
        <v>3309</v>
      </c>
      <c r="F23" s="95" t="n">
        <v>22.27</v>
      </c>
      <c r="G23" s="20" t="s">
        <v>939</v>
      </c>
      <c r="H23" s="22" t="s">
        <v>4180</v>
      </c>
      <c r="I23" s="114"/>
      <c r="J23" s="95" t="str">
        <f aca="false">IF(I23="","",ROUND(F23*(1+I23/100),2))</f>
        <v/>
      </c>
      <c r="K23" s="97" t="n">
        <v>20</v>
      </c>
      <c r="L23" s="55" t="s">
        <v>95</v>
      </c>
    </row>
    <row r="24" customFormat="false" ht="15" hidden="false" customHeight="false" outlineLevel="0" collapsed="false">
      <c r="A24" s="24" t="s">
        <v>3362</v>
      </c>
      <c r="B24" s="24" t="s">
        <v>3331</v>
      </c>
      <c r="C24" s="23" t="s">
        <v>3364</v>
      </c>
      <c r="D24" s="26" t="s">
        <v>91</v>
      </c>
      <c r="E24" s="24" t="s">
        <v>3309</v>
      </c>
      <c r="F24" s="91" t="n">
        <v>9.75</v>
      </c>
      <c r="G24" s="24" t="s">
        <v>939</v>
      </c>
      <c r="H24" s="26" t="s">
        <v>4180</v>
      </c>
      <c r="I24" s="113"/>
      <c r="J24" s="91" t="str">
        <f aca="false">IF(I24="","",ROUND(F24*(1+I24/100),2))</f>
        <v/>
      </c>
      <c r="K24" s="93" t="n">
        <v>20</v>
      </c>
      <c r="L24" s="61" t="s">
        <v>95</v>
      </c>
    </row>
    <row r="25" customFormat="false" ht="15" hidden="false" customHeight="false" outlineLevel="0" collapsed="false">
      <c r="A25" s="20" t="s">
        <v>3365</v>
      </c>
      <c r="B25" s="20" t="s">
        <v>3331</v>
      </c>
      <c r="C25" s="19" t="s">
        <v>3366</v>
      </c>
      <c r="D25" s="22" t="s">
        <v>91</v>
      </c>
      <c r="E25" s="20" t="s">
        <v>3309</v>
      </c>
      <c r="F25" s="95" t="n">
        <v>17.48</v>
      </c>
      <c r="G25" s="20" t="s">
        <v>939</v>
      </c>
      <c r="H25" s="22" t="s">
        <v>4180</v>
      </c>
      <c r="I25" s="114"/>
      <c r="J25" s="95" t="str">
        <f aca="false">IF(I25="","",ROUND(F25*(1+I25/100),2))</f>
        <v/>
      </c>
      <c r="K25" s="97" t="n">
        <v>20</v>
      </c>
      <c r="L25" s="55" t="s">
        <v>95</v>
      </c>
    </row>
    <row r="26" customFormat="false" ht="15" hidden="false" customHeight="false" outlineLevel="0" collapsed="false">
      <c r="A26" s="24" t="s">
        <v>3367</v>
      </c>
      <c r="B26" s="24" t="s">
        <v>3331</v>
      </c>
      <c r="C26" s="23" t="s">
        <v>3369</v>
      </c>
      <c r="D26" s="26" t="s">
        <v>91</v>
      </c>
      <c r="E26" s="24" t="s">
        <v>3309</v>
      </c>
      <c r="F26" s="91" t="n">
        <v>7.19</v>
      </c>
      <c r="G26" s="24" t="s">
        <v>939</v>
      </c>
      <c r="H26" s="26" t="s">
        <v>4180</v>
      </c>
      <c r="I26" s="113"/>
      <c r="J26" s="91" t="str">
        <f aca="false">IF(I26="","",ROUND(F26*(1+I26/100),2))</f>
        <v/>
      </c>
      <c r="K26" s="93" t="n">
        <v>20</v>
      </c>
      <c r="L26" s="61" t="s">
        <v>95</v>
      </c>
    </row>
    <row r="27" customFormat="false" ht="15" hidden="false" customHeight="false" outlineLevel="0" collapsed="false">
      <c r="A27" s="20" t="s">
        <v>3370</v>
      </c>
      <c r="B27" s="20" t="s">
        <v>3331</v>
      </c>
      <c r="C27" s="19" t="s">
        <v>3372</v>
      </c>
      <c r="D27" s="22" t="s">
        <v>91</v>
      </c>
      <c r="E27" s="20" t="s">
        <v>3309</v>
      </c>
      <c r="F27" s="95" t="n">
        <v>15.77</v>
      </c>
      <c r="G27" s="20" t="s">
        <v>939</v>
      </c>
      <c r="H27" s="22" t="s">
        <v>4180</v>
      </c>
      <c r="I27" s="114"/>
      <c r="J27" s="95" t="str">
        <f aca="false">IF(I27="","",ROUND(F27*(1+I27/100),2))</f>
        <v/>
      </c>
      <c r="K27" s="97" t="n">
        <v>20</v>
      </c>
      <c r="L27" s="55" t="s">
        <v>95</v>
      </c>
    </row>
    <row r="28" customFormat="false" ht="15" hidden="false" customHeight="false" outlineLevel="0" collapsed="false">
      <c r="A28" s="24" t="s">
        <v>3373</v>
      </c>
      <c r="B28" s="24" t="s">
        <v>3331</v>
      </c>
      <c r="C28" s="23" t="s">
        <v>3375</v>
      </c>
      <c r="D28" s="26" t="s">
        <v>91</v>
      </c>
      <c r="E28" s="24" t="s">
        <v>3309</v>
      </c>
      <c r="F28" s="91" t="n">
        <v>6.99</v>
      </c>
      <c r="G28" s="24" t="s">
        <v>939</v>
      </c>
      <c r="H28" s="26" t="s">
        <v>4180</v>
      </c>
      <c r="I28" s="113"/>
      <c r="J28" s="91" t="str">
        <f aca="false">IF(I28="","",ROUND(F28*(1+I28/100),2))</f>
        <v/>
      </c>
      <c r="K28" s="93" t="n">
        <v>20</v>
      </c>
      <c r="L28" s="61" t="s">
        <v>95</v>
      </c>
    </row>
    <row r="29" customFormat="false" ht="15" hidden="false" customHeight="false" outlineLevel="0" collapsed="false">
      <c r="A29" s="20" t="s">
        <v>3376</v>
      </c>
      <c r="B29" s="20" t="s">
        <v>3331</v>
      </c>
      <c r="C29" s="19" t="s">
        <v>3378</v>
      </c>
      <c r="D29" s="22" t="s">
        <v>91</v>
      </c>
      <c r="E29" s="20" t="s">
        <v>3309</v>
      </c>
      <c r="F29" s="95" t="n">
        <v>5.69</v>
      </c>
      <c r="G29" s="20" t="s">
        <v>939</v>
      </c>
      <c r="H29" s="22" t="s">
        <v>4180</v>
      </c>
      <c r="I29" s="114"/>
      <c r="J29" s="95" t="str">
        <f aca="false">IF(I29="","",ROUND(F29*(1+I29/100),2))</f>
        <v/>
      </c>
      <c r="K29" s="97" t="n">
        <v>20</v>
      </c>
      <c r="L29" s="55" t="s">
        <v>95</v>
      </c>
    </row>
    <row r="30" customFormat="false" ht="15" hidden="false" customHeight="false" outlineLevel="0" collapsed="false">
      <c r="A30" s="24" t="s">
        <v>3379</v>
      </c>
      <c r="B30" s="24" t="s">
        <v>3331</v>
      </c>
      <c r="C30" s="23" t="s">
        <v>3381</v>
      </c>
      <c r="D30" s="26" t="s">
        <v>91</v>
      </c>
      <c r="E30" s="24" t="s">
        <v>3309</v>
      </c>
      <c r="F30" s="91" t="n">
        <v>10.99</v>
      </c>
      <c r="G30" s="24" t="s">
        <v>939</v>
      </c>
      <c r="H30" s="26" t="s">
        <v>4180</v>
      </c>
      <c r="I30" s="113"/>
      <c r="J30" s="91" t="str">
        <f aca="false">IF(I30="","",ROUND(F30*(1+I30/100),2))</f>
        <v/>
      </c>
      <c r="K30" s="93" t="n">
        <v>20</v>
      </c>
      <c r="L30" s="61" t="s">
        <v>95</v>
      </c>
    </row>
    <row r="31" customFormat="false" ht="15" hidden="false" customHeight="false" outlineLevel="0" collapsed="false">
      <c r="A31" s="20" t="s">
        <v>3382</v>
      </c>
      <c r="B31" s="20" t="s">
        <v>3331</v>
      </c>
      <c r="C31" s="19" t="s">
        <v>3384</v>
      </c>
      <c r="D31" s="22" t="s">
        <v>91</v>
      </c>
      <c r="E31" s="20" t="s">
        <v>3309</v>
      </c>
      <c r="F31" s="95" t="n">
        <v>13.51</v>
      </c>
      <c r="G31" s="20" t="s">
        <v>939</v>
      </c>
      <c r="H31" s="22" t="s">
        <v>4180</v>
      </c>
      <c r="I31" s="114"/>
      <c r="J31" s="95" t="str">
        <f aca="false">IF(I31="","",ROUND(F31*(1+I31/100),2))</f>
        <v/>
      </c>
      <c r="K31" s="97" t="n">
        <v>20</v>
      </c>
      <c r="L31" s="55" t="s">
        <v>95</v>
      </c>
    </row>
    <row r="32" customFormat="false" ht="15" hidden="false" customHeight="false" outlineLevel="0" collapsed="false">
      <c r="A32" s="24" t="s">
        <v>3385</v>
      </c>
      <c r="B32" s="24" t="s">
        <v>3331</v>
      </c>
      <c r="C32" s="23" t="s">
        <v>3387</v>
      </c>
      <c r="D32" s="26" t="s">
        <v>91</v>
      </c>
      <c r="E32" s="24" t="s">
        <v>3309</v>
      </c>
      <c r="F32" s="91" t="n">
        <v>13.81</v>
      </c>
      <c r="G32" s="24" t="s">
        <v>939</v>
      </c>
      <c r="H32" s="26" t="s">
        <v>4180</v>
      </c>
      <c r="I32" s="113"/>
      <c r="J32" s="91" t="str">
        <f aca="false">IF(I32="","",ROUND(F32*(1+I32/100),2))</f>
        <v/>
      </c>
      <c r="K32" s="93" t="n">
        <v>20</v>
      </c>
      <c r="L32" s="61" t="s">
        <v>95</v>
      </c>
    </row>
    <row r="33" customFormat="false" ht="15" hidden="false" customHeight="false" outlineLevel="0" collapsed="false">
      <c r="A33" s="20" t="s">
        <v>3388</v>
      </c>
      <c r="B33" s="20" t="s">
        <v>3331</v>
      </c>
      <c r="C33" s="19" t="s">
        <v>3390</v>
      </c>
      <c r="D33" s="22" t="s">
        <v>91</v>
      </c>
      <c r="E33" s="20" t="s">
        <v>3309</v>
      </c>
      <c r="F33" s="95" t="n">
        <v>4.09</v>
      </c>
      <c r="G33" s="20" t="s">
        <v>939</v>
      </c>
      <c r="H33" s="22" t="s">
        <v>4180</v>
      </c>
      <c r="I33" s="114"/>
      <c r="J33" s="95" t="str">
        <f aca="false">IF(I33="","",ROUND(F33*(1+I33/100),2))</f>
        <v/>
      </c>
      <c r="K33" s="97" t="n">
        <v>20</v>
      </c>
      <c r="L33" s="55" t="s">
        <v>95</v>
      </c>
    </row>
    <row r="34" customFormat="false" ht="15" hidden="false" customHeight="false" outlineLevel="0" collapsed="false">
      <c r="A34" s="24" t="s">
        <v>3391</v>
      </c>
      <c r="B34" s="24" t="s">
        <v>3331</v>
      </c>
      <c r="C34" s="23" t="s">
        <v>3393</v>
      </c>
      <c r="D34" s="26" t="s">
        <v>91</v>
      </c>
      <c r="E34" s="24" t="s">
        <v>3309</v>
      </c>
      <c r="F34" s="91" t="n">
        <v>15.99</v>
      </c>
      <c r="G34" s="24" t="s">
        <v>939</v>
      </c>
      <c r="H34" s="26" t="s">
        <v>4180</v>
      </c>
      <c r="I34" s="113"/>
      <c r="J34" s="91" t="str">
        <f aca="false">IF(I34="","",ROUND(F34*(1+I34/100),2))</f>
        <v/>
      </c>
      <c r="K34" s="93" t="n">
        <v>20</v>
      </c>
      <c r="L34" s="61" t="s">
        <v>95</v>
      </c>
    </row>
    <row r="35" customFormat="false" ht="15" hidden="false" customHeight="false" outlineLevel="0" collapsed="false">
      <c r="A35" s="20" t="s">
        <v>3394</v>
      </c>
      <c r="B35" s="20" t="s">
        <v>3395</v>
      </c>
      <c r="C35" s="19" t="s">
        <v>3332</v>
      </c>
      <c r="D35" s="22" t="s">
        <v>91</v>
      </c>
      <c r="E35" s="20" t="s">
        <v>3309</v>
      </c>
      <c r="F35" s="95" t="n">
        <v>6.42</v>
      </c>
      <c r="G35" s="20" t="s">
        <v>939</v>
      </c>
      <c r="H35" s="22" t="s">
        <v>4180</v>
      </c>
      <c r="I35" s="114"/>
      <c r="J35" s="95" t="str">
        <f aca="false">IF(I35="","",ROUND(F35*(1+I35/100),2))</f>
        <v/>
      </c>
      <c r="K35" s="97" t="n">
        <v>20</v>
      </c>
      <c r="L35" s="55" t="s">
        <v>95</v>
      </c>
    </row>
    <row r="36" customFormat="false" ht="15" hidden="false" customHeight="false" outlineLevel="0" collapsed="false">
      <c r="A36" s="24" t="s">
        <v>3396</v>
      </c>
      <c r="B36" s="24" t="s">
        <v>3395</v>
      </c>
      <c r="C36" s="23" t="s">
        <v>3338</v>
      </c>
      <c r="D36" s="26" t="s">
        <v>91</v>
      </c>
      <c r="E36" s="24" t="s">
        <v>3309</v>
      </c>
      <c r="F36" s="91" t="n">
        <v>7.06</v>
      </c>
      <c r="G36" s="24" t="s">
        <v>939</v>
      </c>
      <c r="H36" s="26" t="s">
        <v>4180</v>
      </c>
      <c r="I36" s="113"/>
      <c r="J36" s="91" t="str">
        <f aca="false">IF(I36="","",ROUND(F36*(1+I36/100),2))</f>
        <v/>
      </c>
      <c r="K36" s="93" t="n">
        <v>20</v>
      </c>
      <c r="L36" s="61" t="s">
        <v>95</v>
      </c>
    </row>
    <row r="37" customFormat="false" ht="15" hidden="false" customHeight="false" outlineLevel="0" collapsed="false">
      <c r="A37" s="20" t="s">
        <v>3397</v>
      </c>
      <c r="B37" s="20" t="s">
        <v>3395</v>
      </c>
      <c r="C37" s="19" t="s">
        <v>3340</v>
      </c>
      <c r="D37" s="22" t="s">
        <v>91</v>
      </c>
      <c r="E37" s="20" t="s">
        <v>3309</v>
      </c>
      <c r="F37" s="95" t="n">
        <v>3.14</v>
      </c>
      <c r="G37" s="20" t="s">
        <v>939</v>
      </c>
      <c r="H37" s="22" t="s">
        <v>4180</v>
      </c>
      <c r="I37" s="114"/>
      <c r="J37" s="95" t="str">
        <f aca="false">IF(I37="","",ROUND(F37*(1+I37/100),2))</f>
        <v/>
      </c>
      <c r="K37" s="97" t="n">
        <v>20</v>
      </c>
      <c r="L37" s="55" t="s">
        <v>95</v>
      </c>
    </row>
    <row r="38" customFormat="false" ht="15" hidden="false" customHeight="false" outlineLevel="0" collapsed="false">
      <c r="A38" s="24" t="s">
        <v>3398</v>
      </c>
      <c r="B38" s="24" t="s">
        <v>3395</v>
      </c>
      <c r="C38" s="23" t="s">
        <v>3345</v>
      </c>
      <c r="D38" s="26" t="s">
        <v>91</v>
      </c>
      <c r="E38" s="24" t="s">
        <v>3309</v>
      </c>
      <c r="F38" s="91" t="n">
        <v>7.87</v>
      </c>
      <c r="G38" s="24" t="s">
        <v>939</v>
      </c>
      <c r="H38" s="26" t="s">
        <v>4180</v>
      </c>
      <c r="I38" s="113"/>
      <c r="J38" s="91" t="str">
        <f aca="false">IF(I38="","",ROUND(F38*(1+I38/100),2))</f>
        <v/>
      </c>
      <c r="K38" s="93" t="n">
        <v>20</v>
      </c>
      <c r="L38" s="61" t="s">
        <v>95</v>
      </c>
    </row>
    <row r="39" customFormat="false" ht="15" hidden="false" customHeight="false" outlineLevel="0" collapsed="false">
      <c r="A39" s="20" t="s">
        <v>3399</v>
      </c>
      <c r="B39" s="20" t="s">
        <v>3395</v>
      </c>
      <c r="C39" s="19" t="s">
        <v>3401</v>
      </c>
      <c r="D39" s="22" t="s">
        <v>91</v>
      </c>
      <c r="E39" s="20" t="s">
        <v>3309</v>
      </c>
      <c r="F39" s="95" t="n">
        <v>12.12</v>
      </c>
      <c r="G39" s="20" t="s">
        <v>939</v>
      </c>
      <c r="H39" s="22" t="s">
        <v>4180</v>
      </c>
      <c r="I39" s="114"/>
      <c r="J39" s="95" t="str">
        <f aca="false">IF(I39="","",ROUND(F39*(1+I39/100),2))</f>
        <v/>
      </c>
      <c r="K39" s="97" t="n">
        <v>20</v>
      </c>
      <c r="L39" s="55" t="s">
        <v>95</v>
      </c>
    </row>
    <row r="40" customFormat="false" ht="15" hidden="false" customHeight="false" outlineLevel="0" collapsed="false">
      <c r="A40" s="24" t="s">
        <v>3402</v>
      </c>
      <c r="B40" s="24" t="s">
        <v>3395</v>
      </c>
      <c r="C40" s="23" t="s">
        <v>3404</v>
      </c>
      <c r="D40" s="26" t="s">
        <v>91</v>
      </c>
      <c r="E40" s="24" t="s">
        <v>3309</v>
      </c>
      <c r="F40" s="91" t="n">
        <v>6.95</v>
      </c>
      <c r="G40" s="24" t="s">
        <v>939</v>
      </c>
      <c r="H40" s="26" t="s">
        <v>4180</v>
      </c>
      <c r="I40" s="113"/>
      <c r="J40" s="91" t="str">
        <f aca="false">IF(I40="","",ROUND(F40*(1+I40/100),2))</f>
        <v/>
      </c>
      <c r="K40" s="93" t="n">
        <v>20</v>
      </c>
      <c r="L40" s="61" t="s">
        <v>95</v>
      </c>
    </row>
    <row r="41" customFormat="false" ht="15" hidden="false" customHeight="false" outlineLevel="0" collapsed="false">
      <c r="A41" s="20" t="s">
        <v>3405</v>
      </c>
      <c r="B41" s="20" t="s">
        <v>3395</v>
      </c>
      <c r="C41" s="19" t="s">
        <v>3406</v>
      </c>
      <c r="D41" s="22" t="s">
        <v>91</v>
      </c>
      <c r="E41" s="20" t="s">
        <v>3309</v>
      </c>
      <c r="F41" s="95" t="n">
        <v>5.4</v>
      </c>
      <c r="G41" s="20" t="s">
        <v>939</v>
      </c>
      <c r="H41" s="22" t="s">
        <v>4180</v>
      </c>
      <c r="I41" s="114"/>
      <c r="J41" s="95" t="str">
        <f aca="false">IF(I41="","",ROUND(F41*(1+I41/100),2))</f>
        <v/>
      </c>
      <c r="K41" s="97" t="n">
        <v>20</v>
      </c>
      <c r="L41" s="55" t="s">
        <v>95</v>
      </c>
    </row>
    <row r="42" customFormat="false" ht="15" hidden="false" customHeight="false" outlineLevel="0" collapsed="false">
      <c r="A42" s="24" t="s">
        <v>3407</v>
      </c>
      <c r="B42" s="24" t="s">
        <v>3395</v>
      </c>
      <c r="C42" s="23" t="s">
        <v>3408</v>
      </c>
      <c r="D42" s="26" t="s">
        <v>91</v>
      </c>
      <c r="E42" s="24" t="s">
        <v>3309</v>
      </c>
      <c r="F42" s="91" t="n">
        <v>15.95</v>
      </c>
      <c r="G42" s="24" t="s">
        <v>939</v>
      </c>
      <c r="H42" s="26" t="s">
        <v>4180</v>
      </c>
      <c r="I42" s="113"/>
      <c r="J42" s="91" t="str">
        <f aca="false">IF(I42="","",ROUND(F42*(1+I42/100),2))</f>
        <v/>
      </c>
      <c r="K42" s="93" t="n">
        <v>20</v>
      </c>
      <c r="L42" s="61" t="s">
        <v>95</v>
      </c>
    </row>
    <row r="43" customFormat="false" ht="15" hidden="false" customHeight="false" outlineLevel="0" collapsed="false">
      <c r="A43" s="20" t="s">
        <v>3409</v>
      </c>
      <c r="B43" s="20" t="s">
        <v>3395</v>
      </c>
      <c r="C43" s="19" t="s">
        <v>3410</v>
      </c>
      <c r="D43" s="22" t="s">
        <v>91</v>
      </c>
      <c r="E43" s="20" t="s">
        <v>3309</v>
      </c>
      <c r="F43" s="95" t="n">
        <v>10.55</v>
      </c>
      <c r="G43" s="20" t="s">
        <v>939</v>
      </c>
      <c r="H43" s="22" t="s">
        <v>4180</v>
      </c>
      <c r="I43" s="114"/>
      <c r="J43" s="95" t="str">
        <f aca="false">IF(I43="","",ROUND(F43*(1+I43/100),2))</f>
        <v/>
      </c>
      <c r="K43" s="97" t="n">
        <v>20</v>
      </c>
      <c r="L43" s="55" t="s">
        <v>95</v>
      </c>
    </row>
    <row r="44" customFormat="false" ht="15" hidden="false" customHeight="false" outlineLevel="0" collapsed="false">
      <c r="A44" s="24" t="s">
        <v>3411</v>
      </c>
      <c r="B44" s="24" t="s">
        <v>3395</v>
      </c>
      <c r="C44" s="23" t="s">
        <v>3412</v>
      </c>
      <c r="D44" s="26" t="s">
        <v>91</v>
      </c>
      <c r="E44" s="24" t="s">
        <v>3309</v>
      </c>
      <c r="F44" s="91" t="n">
        <v>10.95</v>
      </c>
      <c r="G44" s="24" t="s">
        <v>939</v>
      </c>
      <c r="H44" s="26" t="s">
        <v>4180</v>
      </c>
      <c r="I44" s="113"/>
      <c r="J44" s="91" t="str">
        <f aca="false">IF(I44="","",ROUND(F44*(1+I44/100),2))</f>
        <v/>
      </c>
      <c r="K44" s="93" t="n">
        <v>20</v>
      </c>
      <c r="L44" s="61" t="s">
        <v>95</v>
      </c>
    </row>
    <row r="45" customFormat="false" ht="15" hidden="false" customHeight="false" outlineLevel="0" collapsed="false">
      <c r="A45" s="20" t="s">
        <v>3413</v>
      </c>
      <c r="B45" s="20" t="s">
        <v>3395</v>
      </c>
      <c r="C45" s="19" t="s">
        <v>3414</v>
      </c>
      <c r="D45" s="22" t="s">
        <v>91</v>
      </c>
      <c r="E45" s="20" t="s">
        <v>3309</v>
      </c>
      <c r="F45" s="95" t="n">
        <v>9.86</v>
      </c>
      <c r="G45" s="20" t="s">
        <v>939</v>
      </c>
      <c r="H45" s="22" t="s">
        <v>4180</v>
      </c>
      <c r="I45" s="114"/>
      <c r="J45" s="95" t="str">
        <f aca="false">IF(I45="","",ROUND(F45*(1+I45/100),2))</f>
        <v/>
      </c>
      <c r="K45" s="97" t="n">
        <v>20</v>
      </c>
      <c r="L45" s="55" t="s">
        <v>95</v>
      </c>
    </row>
    <row r="46" customFormat="false" ht="15" hidden="false" customHeight="false" outlineLevel="0" collapsed="false">
      <c r="A46" s="24" t="s">
        <v>3415</v>
      </c>
      <c r="B46" s="24" t="s">
        <v>3395</v>
      </c>
      <c r="C46" s="23" t="s">
        <v>3416</v>
      </c>
      <c r="D46" s="26" t="s">
        <v>91</v>
      </c>
      <c r="E46" s="24" t="s">
        <v>3309</v>
      </c>
      <c r="F46" s="91" t="n">
        <v>9.86</v>
      </c>
      <c r="G46" s="24" t="s">
        <v>939</v>
      </c>
      <c r="H46" s="26" t="s">
        <v>4180</v>
      </c>
      <c r="I46" s="113"/>
      <c r="J46" s="91" t="str">
        <f aca="false">IF(I46="","",ROUND(F46*(1+I46/100),2))</f>
        <v/>
      </c>
      <c r="K46" s="93" t="n">
        <v>20</v>
      </c>
      <c r="L46" s="61" t="s">
        <v>95</v>
      </c>
    </row>
    <row r="47" customFormat="false" ht="15" hidden="false" customHeight="false" outlineLevel="0" collapsed="false">
      <c r="A47" s="20" t="s">
        <v>3417</v>
      </c>
      <c r="B47" s="20" t="s">
        <v>3395</v>
      </c>
      <c r="C47" s="19" t="s">
        <v>3418</v>
      </c>
      <c r="D47" s="22" t="s">
        <v>91</v>
      </c>
      <c r="E47" s="20" t="s">
        <v>3309</v>
      </c>
      <c r="F47" s="95" t="n">
        <v>5.87</v>
      </c>
      <c r="G47" s="20" t="s">
        <v>939</v>
      </c>
      <c r="H47" s="22" t="s">
        <v>4180</v>
      </c>
      <c r="I47" s="114"/>
      <c r="J47" s="95" t="str">
        <f aca="false">IF(I47="","",ROUND(F47*(1+I47/100),2))</f>
        <v/>
      </c>
      <c r="K47" s="97" t="n">
        <v>20</v>
      </c>
      <c r="L47" s="55" t="s">
        <v>95</v>
      </c>
    </row>
    <row r="48" customFormat="false" ht="15" hidden="false" customHeight="false" outlineLevel="0" collapsed="false">
      <c r="A48" s="24" t="s">
        <v>3419</v>
      </c>
      <c r="B48" s="24" t="s">
        <v>3395</v>
      </c>
      <c r="C48" s="23" t="s">
        <v>3421</v>
      </c>
      <c r="D48" s="26" t="s">
        <v>91</v>
      </c>
      <c r="E48" s="24" t="s">
        <v>3309</v>
      </c>
      <c r="F48" s="91" t="n">
        <v>13.17</v>
      </c>
      <c r="G48" s="24" t="s">
        <v>939</v>
      </c>
      <c r="H48" s="26" t="s">
        <v>4180</v>
      </c>
      <c r="I48" s="113"/>
      <c r="J48" s="91" t="str">
        <f aca="false">IF(I48="","",ROUND(F48*(1+I48/100),2))</f>
        <v/>
      </c>
      <c r="K48" s="93" t="n">
        <v>20</v>
      </c>
      <c r="L48" s="61" t="s">
        <v>95</v>
      </c>
    </row>
    <row r="49" customFormat="false" ht="15" hidden="false" customHeight="false" outlineLevel="0" collapsed="false">
      <c r="A49" s="20" t="s">
        <v>3422</v>
      </c>
      <c r="B49" s="20" t="s">
        <v>3395</v>
      </c>
      <c r="C49" s="19" t="s">
        <v>3424</v>
      </c>
      <c r="D49" s="22" t="s">
        <v>91</v>
      </c>
      <c r="E49" s="20" t="s">
        <v>3309</v>
      </c>
      <c r="F49" s="95" t="n">
        <v>6.65</v>
      </c>
      <c r="G49" s="20" t="s">
        <v>939</v>
      </c>
      <c r="H49" s="22" t="s">
        <v>4180</v>
      </c>
      <c r="I49" s="114"/>
      <c r="J49" s="95" t="str">
        <f aca="false">IF(I49="","",ROUND(F49*(1+I49/100),2))</f>
        <v/>
      </c>
      <c r="K49" s="97" t="n">
        <v>20</v>
      </c>
      <c r="L49" s="55" t="s">
        <v>95</v>
      </c>
    </row>
    <row r="50" customFormat="false" ht="15" hidden="false" customHeight="false" outlineLevel="0" collapsed="false">
      <c r="A50" s="24" t="s">
        <v>3425</v>
      </c>
      <c r="B50" s="24" t="s">
        <v>3395</v>
      </c>
      <c r="C50" s="23" t="s">
        <v>3427</v>
      </c>
      <c r="D50" s="26" t="s">
        <v>91</v>
      </c>
      <c r="E50" s="24" t="s">
        <v>3309</v>
      </c>
      <c r="F50" s="91" t="n">
        <v>6.43</v>
      </c>
      <c r="G50" s="24" t="s">
        <v>939</v>
      </c>
      <c r="H50" s="26" t="s">
        <v>4180</v>
      </c>
      <c r="I50" s="113"/>
      <c r="J50" s="91" t="str">
        <f aca="false">IF(I50="","",ROUND(F50*(1+I50/100),2))</f>
        <v/>
      </c>
      <c r="K50" s="93" t="n">
        <v>20</v>
      </c>
      <c r="L50" s="61" t="s">
        <v>95</v>
      </c>
    </row>
    <row r="51" customFormat="false" ht="15" hidden="false" customHeight="false" outlineLevel="0" collapsed="false">
      <c r="A51" s="20" t="s">
        <v>3428</v>
      </c>
      <c r="B51" s="20" t="s">
        <v>3395</v>
      </c>
      <c r="C51" s="19" t="s">
        <v>3430</v>
      </c>
      <c r="D51" s="22" t="s">
        <v>91</v>
      </c>
      <c r="E51" s="20" t="s">
        <v>3309</v>
      </c>
      <c r="F51" s="95" t="n">
        <v>28.19</v>
      </c>
      <c r="G51" s="20" t="s">
        <v>939</v>
      </c>
      <c r="H51" s="22" t="s">
        <v>4180</v>
      </c>
      <c r="I51" s="114"/>
      <c r="J51" s="95" t="str">
        <f aca="false">IF(I51="","",ROUND(F51*(1+I51/100),2))</f>
        <v/>
      </c>
      <c r="K51" s="97" t="n">
        <v>20</v>
      </c>
      <c r="L51" s="55" t="s">
        <v>95</v>
      </c>
    </row>
    <row r="52" customFormat="false" ht="15" hidden="false" customHeight="false" outlineLevel="0" collapsed="false">
      <c r="A52" s="24" t="s">
        <v>3431</v>
      </c>
      <c r="B52" s="24" t="s">
        <v>3395</v>
      </c>
      <c r="C52" s="23" t="s">
        <v>3432</v>
      </c>
      <c r="D52" s="26" t="s">
        <v>91</v>
      </c>
      <c r="E52" s="24" t="s">
        <v>3309</v>
      </c>
      <c r="F52" s="91" t="n">
        <v>5.9</v>
      </c>
      <c r="G52" s="24" t="s">
        <v>939</v>
      </c>
      <c r="H52" s="26" t="s">
        <v>4180</v>
      </c>
      <c r="I52" s="113"/>
      <c r="J52" s="91" t="str">
        <f aca="false">IF(I52="","",ROUND(F52*(1+I52/100),2))</f>
        <v/>
      </c>
      <c r="K52" s="93" t="n">
        <v>20</v>
      </c>
      <c r="L52" s="61" t="s">
        <v>95</v>
      </c>
    </row>
    <row r="53" customFormat="false" ht="15" hidden="false" customHeight="false" outlineLevel="0" collapsed="false">
      <c r="A53" s="20" t="s">
        <v>3433</v>
      </c>
      <c r="B53" s="20" t="s">
        <v>3395</v>
      </c>
      <c r="C53" s="19" t="s">
        <v>3434</v>
      </c>
      <c r="D53" s="22" t="s">
        <v>91</v>
      </c>
      <c r="E53" s="20" t="s">
        <v>3309</v>
      </c>
      <c r="F53" s="95" t="n">
        <v>14.67</v>
      </c>
      <c r="G53" s="20" t="s">
        <v>939</v>
      </c>
      <c r="H53" s="22" t="s">
        <v>4180</v>
      </c>
      <c r="I53" s="114"/>
      <c r="J53" s="95" t="str">
        <f aca="false">IF(I53="","",ROUND(F53*(1+I53/100),2))</f>
        <v/>
      </c>
      <c r="K53" s="97" t="n">
        <v>20</v>
      </c>
      <c r="L53" s="55" t="s">
        <v>95</v>
      </c>
    </row>
    <row r="54" customFormat="false" ht="15" hidden="false" customHeight="false" outlineLevel="0" collapsed="false">
      <c r="A54" s="24" t="s">
        <v>3435</v>
      </c>
      <c r="B54" s="24" t="s">
        <v>3395</v>
      </c>
      <c r="C54" s="23" t="s">
        <v>3436</v>
      </c>
      <c r="D54" s="26" t="s">
        <v>91</v>
      </c>
      <c r="E54" s="24" t="s">
        <v>3309</v>
      </c>
      <c r="F54" s="91" t="n">
        <v>15.55</v>
      </c>
      <c r="G54" s="24" t="s">
        <v>939</v>
      </c>
      <c r="H54" s="26" t="s">
        <v>4180</v>
      </c>
      <c r="I54" s="113"/>
      <c r="J54" s="91" t="str">
        <f aca="false">IF(I54="","",ROUND(F54*(1+I54/100),2))</f>
        <v/>
      </c>
      <c r="K54" s="93" t="n">
        <v>20</v>
      </c>
      <c r="L54" s="61" t="s">
        <v>95</v>
      </c>
    </row>
    <row r="55" customFormat="false" ht="15" hidden="false" customHeight="false" outlineLevel="0" collapsed="false">
      <c r="A55" s="20" t="s">
        <v>3437</v>
      </c>
      <c r="B55" s="20" t="s">
        <v>3395</v>
      </c>
      <c r="C55" s="19" t="s">
        <v>3438</v>
      </c>
      <c r="D55" s="22" t="s">
        <v>91</v>
      </c>
      <c r="E55" s="20" t="s">
        <v>3309</v>
      </c>
      <c r="F55" s="95" t="n">
        <v>4.34</v>
      </c>
      <c r="G55" s="20" t="s">
        <v>939</v>
      </c>
      <c r="H55" s="22" t="s">
        <v>4180</v>
      </c>
      <c r="I55" s="114"/>
      <c r="J55" s="95" t="str">
        <f aca="false">IF(I55="","",ROUND(F55*(1+I55/100),2))</f>
        <v/>
      </c>
      <c r="K55" s="97" t="n">
        <v>20</v>
      </c>
      <c r="L55" s="55" t="s">
        <v>95</v>
      </c>
    </row>
    <row r="56" customFormat="false" ht="15" hidden="false" customHeight="false" outlineLevel="0" collapsed="false">
      <c r="A56" s="24" t="s">
        <v>3439</v>
      </c>
      <c r="B56" s="24" t="s">
        <v>3395</v>
      </c>
      <c r="C56" s="23" t="s">
        <v>3440</v>
      </c>
      <c r="D56" s="26" t="s">
        <v>91</v>
      </c>
      <c r="E56" s="24" t="s">
        <v>3309</v>
      </c>
      <c r="F56" s="91" t="n">
        <v>6.4</v>
      </c>
      <c r="G56" s="24" t="s">
        <v>939</v>
      </c>
      <c r="H56" s="26" t="s">
        <v>4180</v>
      </c>
      <c r="I56" s="113"/>
      <c r="J56" s="91" t="str">
        <f aca="false">IF(I56="","",ROUND(F56*(1+I56/100),2))</f>
        <v/>
      </c>
      <c r="K56" s="93" t="n">
        <v>20</v>
      </c>
      <c r="L56" s="61" t="s">
        <v>95</v>
      </c>
    </row>
    <row r="57" customFormat="false" ht="15" hidden="false" customHeight="false" outlineLevel="0" collapsed="false">
      <c r="A57" s="20" t="s">
        <v>3441</v>
      </c>
      <c r="B57" s="20" t="s">
        <v>3395</v>
      </c>
      <c r="C57" s="19" t="s">
        <v>3442</v>
      </c>
      <c r="D57" s="22" t="s">
        <v>91</v>
      </c>
      <c r="E57" s="20" t="s">
        <v>3309</v>
      </c>
      <c r="F57" s="95" t="n">
        <v>8.85</v>
      </c>
      <c r="G57" s="20" t="s">
        <v>939</v>
      </c>
      <c r="H57" s="22" t="s">
        <v>4180</v>
      </c>
      <c r="I57" s="114"/>
      <c r="J57" s="95" t="str">
        <f aca="false">IF(I57="","",ROUND(F57*(1+I57/100),2))</f>
        <v/>
      </c>
      <c r="K57" s="97" t="n">
        <v>20</v>
      </c>
      <c r="L57" s="55" t="s">
        <v>95</v>
      </c>
    </row>
    <row r="58" customFormat="false" ht="15" hidden="false" customHeight="false" outlineLevel="0" collapsed="false">
      <c r="A58" s="24" t="s">
        <v>3443</v>
      </c>
      <c r="B58" s="24" t="s">
        <v>3395</v>
      </c>
      <c r="C58" s="23" t="s">
        <v>3444</v>
      </c>
      <c r="D58" s="26" t="s">
        <v>91</v>
      </c>
      <c r="E58" s="24" t="s">
        <v>3309</v>
      </c>
      <c r="F58" s="91" t="n">
        <v>14.75</v>
      </c>
      <c r="G58" s="24" t="s">
        <v>939</v>
      </c>
      <c r="H58" s="26" t="s">
        <v>4180</v>
      </c>
      <c r="I58" s="113"/>
      <c r="J58" s="91" t="str">
        <f aca="false">IF(I58="","",ROUND(F58*(1+I58/100),2))</f>
        <v/>
      </c>
      <c r="K58" s="93" t="n">
        <v>20</v>
      </c>
      <c r="L58" s="61" t="s">
        <v>95</v>
      </c>
    </row>
    <row r="59" customFormat="false" ht="15" hidden="false" customHeight="false" outlineLevel="0" collapsed="false">
      <c r="A59" s="20" t="s">
        <v>3445</v>
      </c>
      <c r="B59" s="20" t="s">
        <v>3446</v>
      </c>
      <c r="C59" s="19" t="s">
        <v>3447</v>
      </c>
      <c r="D59" s="22" t="s">
        <v>91</v>
      </c>
      <c r="E59" s="20" t="s">
        <v>3309</v>
      </c>
      <c r="F59" s="95" t="n">
        <v>1.72</v>
      </c>
      <c r="G59" s="20" t="s">
        <v>939</v>
      </c>
      <c r="H59" s="22" t="s">
        <v>4180</v>
      </c>
      <c r="I59" s="114"/>
      <c r="J59" s="95" t="str">
        <f aca="false">IF(I59="","",ROUND(F59*(1+I59/100),2))</f>
        <v/>
      </c>
      <c r="K59" s="97" t="n">
        <v>20</v>
      </c>
      <c r="L59" s="55" t="s">
        <v>95</v>
      </c>
    </row>
    <row r="60" customFormat="false" ht="15" hidden="false" customHeight="false" outlineLevel="0" collapsed="false">
      <c r="A60" s="24" t="s">
        <v>3448</v>
      </c>
      <c r="B60" s="24" t="s">
        <v>3446</v>
      </c>
      <c r="C60" s="23" t="s">
        <v>3449</v>
      </c>
      <c r="D60" s="26" t="s">
        <v>91</v>
      </c>
      <c r="E60" s="24" t="s">
        <v>3309</v>
      </c>
      <c r="F60" s="91" t="n">
        <v>1.61</v>
      </c>
      <c r="G60" s="24" t="s">
        <v>939</v>
      </c>
      <c r="H60" s="26" t="s">
        <v>4180</v>
      </c>
      <c r="I60" s="113"/>
      <c r="J60" s="91" t="str">
        <f aca="false">IF(I60="","",ROUND(F60*(1+I60/100),2))</f>
        <v/>
      </c>
      <c r="K60" s="93" t="n">
        <v>20</v>
      </c>
      <c r="L60" s="61" t="s">
        <v>95</v>
      </c>
    </row>
    <row r="61" customFormat="false" ht="15" hidden="false" customHeight="false" outlineLevel="0" collapsed="false">
      <c r="A61" s="20" t="s">
        <v>3450</v>
      </c>
      <c r="B61" s="20" t="s">
        <v>3446</v>
      </c>
      <c r="C61" s="19" t="s">
        <v>3451</v>
      </c>
      <c r="D61" s="22" t="s">
        <v>91</v>
      </c>
      <c r="E61" s="20" t="s">
        <v>3309</v>
      </c>
      <c r="F61" s="95" t="n">
        <v>1.64</v>
      </c>
      <c r="G61" s="20" t="s">
        <v>939</v>
      </c>
      <c r="H61" s="22" t="s">
        <v>4180</v>
      </c>
      <c r="I61" s="114"/>
      <c r="J61" s="95" t="str">
        <f aca="false">IF(I61="","",ROUND(F61*(1+I61/100),2))</f>
        <v/>
      </c>
      <c r="K61" s="97" t="n">
        <v>20</v>
      </c>
      <c r="L61" s="55" t="s">
        <v>95</v>
      </c>
    </row>
    <row r="62" customFormat="false" ht="15" hidden="false" customHeight="false" outlineLevel="0" collapsed="false">
      <c r="A62" s="24" t="s">
        <v>3452</v>
      </c>
      <c r="B62" s="24" t="s">
        <v>3446</v>
      </c>
      <c r="C62" s="23" t="s">
        <v>3453</v>
      </c>
      <c r="D62" s="26" t="s">
        <v>91</v>
      </c>
      <c r="E62" s="24" t="s">
        <v>3309</v>
      </c>
      <c r="F62" s="91" t="n">
        <v>1.47</v>
      </c>
      <c r="G62" s="24" t="s">
        <v>939</v>
      </c>
      <c r="H62" s="26" t="s">
        <v>4180</v>
      </c>
      <c r="I62" s="113"/>
      <c r="J62" s="91" t="str">
        <f aca="false">IF(I62="","",ROUND(F62*(1+I62/100),2))</f>
        <v/>
      </c>
      <c r="K62" s="93" t="n">
        <v>20</v>
      </c>
      <c r="L62" s="61" t="s">
        <v>95</v>
      </c>
    </row>
    <row r="63" customFormat="false" ht="15" hidden="false" customHeight="false" outlineLevel="0" collapsed="false">
      <c r="A63" s="20" t="s">
        <v>3454</v>
      </c>
      <c r="B63" s="20" t="s">
        <v>3446</v>
      </c>
      <c r="C63" s="19" t="s">
        <v>3456</v>
      </c>
      <c r="D63" s="22" t="s">
        <v>91</v>
      </c>
      <c r="E63" s="20" t="s">
        <v>3309</v>
      </c>
      <c r="F63" s="95" t="n">
        <v>17.96</v>
      </c>
      <c r="G63" s="20" t="s">
        <v>939</v>
      </c>
      <c r="H63" s="22" t="s">
        <v>4180</v>
      </c>
      <c r="I63" s="114"/>
      <c r="J63" s="95" t="str">
        <f aca="false">IF(I63="","",ROUND(F63*(1+I63/100),2))</f>
        <v/>
      </c>
      <c r="K63" s="97" t="n">
        <v>20</v>
      </c>
      <c r="L63" s="55" t="s">
        <v>95</v>
      </c>
    </row>
    <row r="64" customFormat="false" ht="15" hidden="false" customHeight="false" outlineLevel="0" collapsed="false">
      <c r="A64" s="24" t="s">
        <v>3457</v>
      </c>
      <c r="B64" s="24" t="s">
        <v>3446</v>
      </c>
      <c r="C64" s="23" t="s">
        <v>3458</v>
      </c>
      <c r="D64" s="26" t="s">
        <v>91</v>
      </c>
      <c r="E64" s="24" t="s">
        <v>3309</v>
      </c>
      <c r="F64" s="91" t="n">
        <v>5.46</v>
      </c>
      <c r="G64" s="24" t="s">
        <v>939</v>
      </c>
      <c r="H64" s="26" t="s">
        <v>4180</v>
      </c>
      <c r="I64" s="113"/>
      <c r="J64" s="91" t="str">
        <f aca="false">IF(I64="","",ROUND(F64*(1+I64/100),2))</f>
        <v/>
      </c>
      <c r="K64" s="93" t="n">
        <v>20</v>
      </c>
      <c r="L64" s="61" t="s">
        <v>95</v>
      </c>
    </row>
    <row r="65" customFormat="false" ht="15" hidden="false" customHeight="false" outlineLevel="0" collapsed="false">
      <c r="A65" s="20" t="s">
        <v>3459</v>
      </c>
      <c r="B65" s="20" t="s">
        <v>3446</v>
      </c>
      <c r="C65" s="19" t="s">
        <v>3460</v>
      </c>
      <c r="D65" s="22" t="s">
        <v>91</v>
      </c>
      <c r="E65" s="20" t="s">
        <v>3309</v>
      </c>
      <c r="F65" s="95" t="n">
        <v>3.06</v>
      </c>
      <c r="G65" s="20" t="s">
        <v>939</v>
      </c>
      <c r="H65" s="22" t="s">
        <v>4180</v>
      </c>
      <c r="I65" s="114"/>
      <c r="J65" s="95" t="str">
        <f aca="false">IF(I65="","",ROUND(F65*(1+I65/100),2))</f>
        <v/>
      </c>
      <c r="K65" s="97" t="n">
        <v>20</v>
      </c>
      <c r="L65" s="55" t="s">
        <v>95</v>
      </c>
    </row>
    <row r="66" customFormat="false" ht="15" hidden="false" customHeight="false" outlineLevel="0" collapsed="false">
      <c r="A66" s="24" t="s">
        <v>3461</v>
      </c>
      <c r="B66" s="24" t="s">
        <v>3446</v>
      </c>
      <c r="C66" s="23" t="s">
        <v>3463</v>
      </c>
      <c r="D66" s="26" t="s">
        <v>91</v>
      </c>
      <c r="E66" s="24" t="s">
        <v>3309</v>
      </c>
      <c r="F66" s="91" t="n">
        <v>16.75</v>
      </c>
      <c r="G66" s="24" t="s">
        <v>939</v>
      </c>
      <c r="H66" s="26" t="s">
        <v>4180</v>
      </c>
      <c r="I66" s="113"/>
      <c r="J66" s="91" t="str">
        <f aca="false">IF(I66="","",ROUND(F66*(1+I66/100),2))</f>
        <v/>
      </c>
      <c r="K66" s="93" t="n">
        <v>20</v>
      </c>
      <c r="L66" s="61" t="s">
        <v>95</v>
      </c>
    </row>
    <row r="67" customFormat="false" ht="15" hidden="false" customHeight="false" outlineLevel="0" collapsed="false">
      <c r="A67" s="20" t="s">
        <v>3464</v>
      </c>
      <c r="B67" s="20" t="s">
        <v>3446</v>
      </c>
      <c r="C67" s="19" t="s">
        <v>3466</v>
      </c>
      <c r="D67" s="22" t="s">
        <v>91</v>
      </c>
      <c r="E67" s="20" t="s">
        <v>3309</v>
      </c>
      <c r="F67" s="95" t="n">
        <v>1.54</v>
      </c>
      <c r="G67" s="20" t="s">
        <v>939</v>
      </c>
      <c r="H67" s="22" t="s">
        <v>4180</v>
      </c>
      <c r="I67" s="114"/>
      <c r="J67" s="95" t="str">
        <f aca="false">IF(I67="","",ROUND(F67*(1+I67/100),2))</f>
        <v/>
      </c>
      <c r="K67" s="97" t="n">
        <v>20</v>
      </c>
      <c r="L67" s="55" t="s">
        <v>95</v>
      </c>
    </row>
    <row r="68" customFormat="false" ht="15" hidden="false" customHeight="false" outlineLevel="0" collapsed="false">
      <c r="A68" s="24" t="s">
        <v>3467</v>
      </c>
      <c r="B68" s="24" t="s">
        <v>3446</v>
      </c>
      <c r="C68" s="23" t="s">
        <v>3468</v>
      </c>
      <c r="D68" s="26" t="s">
        <v>91</v>
      </c>
      <c r="E68" s="24" t="s">
        <v>3309</v>
      </c>
      <c r="F68" s="91" t="n">
        <v>2.72</v>
      </c>
      <c r="G68" s="24" t="s">
        <v>939</v>
      </c>
      <c r="H68" s="26" t="s">
        <v>4180</v>
      </c>
      <c r="I68" s="113"/>
      <c r="J68" s="91" t="str">
        <f aca="false">IF(I68="","",ROUND(F68*(1+I68/100),2))</f>
        <v/>
      </c>
      <c r="K68" s="93" t="n">
        <v>20</v>
      </c>
      <c r="L68" s="61" t="s">
        <v>95</v>
      </c>
    </row>
    <row r="69" customFormat="false" ht="15" hidden="false" customHeight="false" outlineLevel="0" collapsed="false">
      <c r="A69" s="20" t="s">
        <v>3469</v>
      </c>
      <c r="B69" s="20" t="s">
        <v>3470</v>
      </c>
      <c r="C69" s="19" t="s">
        <v>3471</v>
      </c>
      <c r="D69" s="22" t="s">
        <v>91</v>
      </c>
      <c r="E69" s="20" t="s">
        <v>3309</v>
      </c>
      <c r="F69" s="95" t="n">
        <v>1.34</v>
      </c>
      <c r="G69" s="20" t="s">
        <v>939</v>
      </c>
      <c r="H69" s="22" t="s">
        <v>4180</v>
      </c>
      <c r="I69" s="114"/>
      <c r="J69" s="95" t="str">
        <f aca="false">IF(I69="","",ROUND(F69*(1+I69/100),2))</f>
        <v/>
      </c>
      <c r="K69" s="97" t="n">
        <v>20</v>
      </c>
      <c r="L69" s="55" t="s">
        <v>95</v>
      </c>
    </row>
    <row r="70" customFormat="false" ht="15" hidden="false" customHeight="false" outlineLevel="0" collapsed="false">
      <c r="A70" s="24" t="s">
        <v>3472</v>
      </c>
      <c r="B70" s="24" t="s">
        <v>3470</v>
      </c>
      <c r="C70" s="23" t="s">
        <v>3473</v>
      </c>
      <c r="D70" s="26" t="s">
        <v>91</v>
      </c>
      <c r="E70" s="24" t="s">
        <v>3309</v>
      </c>
      <c r="F70" s="91" t="n">
        <v>1.34</v>
      </c>
      <c r="G70" s="24" t="s">
        <v>939</v>
      </c>
      <c r="H70" s="26" t="s">
        <v>4180</v>
      </c>
      <c r="I70" s="113"/>
      <c r="J70" s="91" t="str">
        <f aca="false">IF(I70="","",ROUND(F70*(1+I70/100),2))</f>
        <v/>
      </c>
      <c r="K70" s="93" t="n">
        <v>20</v>
      </c>
      <c r="L70" s="61" t="s">
        <v>95</v>
      </c>
    </row>
    <row r="71" customFormat="false" ht="15" hidden="false" customHeight="false" outlineLevel="0" collapsed="false">
      <c r="A71" s="20" t="s">
        <v>3474</v>
      </c>
      <c r="B71" s="20" t="s">
        <v>3470</v>
      </c>
      <c r="C71" s="19" t="s">
        <v>3475</v>
      </c>
      <c r="D71" s="22" t="s">
        <v>91</v>
      </c>
      <c r="E71" s="20" t="s">
        <v>3309</v>
      </c>
      <c r="F71" s="95" t="n">
        <v>1.83</v>
      </c>
      <c r="G71" s="20" t="s">
        <v>939</v>
      </c>
      <c r="H71" s="22" t="s">
        <v>4180</v>
      </c>
      <c r="I71" s="114"/>
      <c r="J71" s="95" t="str">
        <f aca="false">IF(I71="","",ROUND(F71*(1+I71/100),2))</f>
        <v/>
      </c>
      <c r="K71" s="97" t="n">
        <v>20</v>
      </c>
      <c r="L71" s="55" t="s">
        <v>95</v>
      </c>
    </row>
    <row r="72" customFormat="false" ht="15" hidden="false" customHeight="false" outlineLevel="0" collapsed="false">
      <c r="A72" s="24" t="s">
        <v>3476</v>
      </c>
      <c r="B72" s="24" t="s">
        <v>3470</v>
      </c>
      <c r="C72" s="23" t="s">
        <v>3477</v>
      </c>
      <c r="D72" s="26" t="s">
        <v>91</v>
      </c>
      <c r="E72" s="24" t="s">
        <v>3309</v>
      </c>
      <c r="F72" s="91" t="n">
        <v>1.91</v>
      </c>
      <c r="G72" s="24" t="s">
        <v>939</v>
      </c>
      <c r="H72" s="26" t="s">
        <v>4180</v>
      </c>
      <c r="I72" s="113"/>
      <c r="J72" s="91" t="str">
        <f aca="false">IF(I72="","",ROUND(F72*(1+I72/100),2))</f>
        <v/>
      </c>
      <c r="K72" s="93" t="n">
        <v>20</v>
      </c>
      <c r="L72" s="61" t="s">
        <v>95</v>
      </c>
    </row>
    <row r="73" customFormat="false" ht="15" hidden="false" customHeight="false" outlineLevel="0" collapsed="false">
      <c r="A73" s="20" t="s">
        <v>3478</v>
      </c>
      <c r="B73" s="20" t="s">
        <v>3470</v>
      </c>
      <c r="C73" s="19" t="s">
        <v>3479</v>
      </c>
      <c r="D73" s="22" t="s">
        <v>91</v>
      </c>
      <c r="E73" s="20" t="s">
        <v>3309</v>
      </c>
      <c r="F73" s="95" t="n">
        <v>3.78</v>
      </c>
      <c r="G73" s="20" t="s">
        <v>939</v>
      </c>
      <c r="H73" s="22" t="s">
        <v>4180</v>
      </c>
      <c r="I73" s="114"/>
      <c r="J73" s="95" t="str">
        <f aca="false">IF(I73="","",ROUND(F73*(1+I73/100),2))</f>
        <v/>
      </c>
      <c r="K73" s="97" t="n">
        <v>20</v>
      </c>
      <c r="L73" s="55" t="s">
        <v>95</v>
      </c>
    </row>
    <row r="74" customFormat="false" ht="15" hidden="false" customHeight="false" outlineLevel="0" collapsed="false">
      <c r="A74" s="24" t="s">
        <v>3480</v>
      </c>
      <c r="B74" s="24" t="s">
        <v>3470</v>
      </c>
      <c r="C74" s="23" t="s">
        <v>3482</v>
      </c>
      <c r="D74" s="26" t="s">
        <v>91</v>
      </c>
      <c r="E74" s="24" t="s">
        <v>3309</v>
      </c>
      <c r="F74" s="91" t="n">
        <v>1.52</v>
      </c>
      <c r="G74" s="24" t="s">
        <v>939</v>
      </c>
      <c r="H74" s="26" t="s">
        <v>4180</v>
      </c>
      <c r="I74" s="113"/>
      <c r="J74" s="91" t="str">
        <f aca="false">IF(I74="","",ROUND(F74*(1+I74/100),2))</f>
        <v/>
      </c>
      <c r="K74" s="93" t="n">
        <v>20</v>
      </c>
      <c r="L74" s="61" t="s">
        <v>95</v>
      </c>
    </row>
    <row r="75" customFormat="false" ht="15" hidden="false" customHeight="false" outlineLevel="0" collapsed="false">
      <c r="A75" s="20" t="s">
        <v>3483</v>
      </c>
      <c r="B75" s="20" t="s">
        <v>3470</v>
      </c>
      <c r="C75" s="19" t="s">
        <v>3484</v>
      </c>
      <c r="D75" s="22" t="s">
        <v>91</v>
      </c>
      <c r="E75" s="20" t="s">
        <v>3309</v>
      </c>
      <c r="F75" s="95" t="n">
        <v>3.28</v>
      </c>
      <c r="G75" s="20" t="s">
        <v>939</v>
      </c>
      <c r="H75" s="22" t="s">
        <v>4180</v>
      </c>
      <c r="I75" s="114"/>
      <c r="J75" s="95" t="str">
        <f aca="false">IF(I75="","",ROUND(F75*(1+I75/100),2))</f>
        <v/>
      </c>
      <c r="K75" s="97" t="n">
        <v>20</v>
      </c>
      <c r="L75" s="55" t="s">
        <v>95</v>
      </c>
    </row>
    <row r="76" customFormat="false" ht="15" hidden="false" customHeight="false" outlineLevel="0" collapsed="false">
      <c r="A76" s="24" t="s">
        <v>3485</v>
      </c>
      <c r="B76" s="24" t="s">
        <v>3486</v>
      </c>
      <c r="C76" s="23" t="s">
        <v>3487</v>
      </c>
      <c r="D76" s="26" t="s">
        <v>91</v>
      </c>
      <c r="E76" s="24" t="s">
        <v>3309</v>
      </c>
      <c r="F76" s="91" t="n">
        <v>0.86</v>
      </c>
      <c r="G76" s="24" t="s">
        <v>939</v>
      </c>
      <c r="H76" s="26" t="s">
        <v>4180</v>
      </c>
      <c r="I76" s="113"/>
      <c r="J76" s="91" t="str">
        <f aca="false">IF(I76="","",ROUND(F76*(1+I76/100),2))</f>
        <v/>
      </c>
      <c r="K76" s="93" t="n">
        <v>20</v>
      </c>
      <c r="L76" s="61" t="s">
        <v>95</v>
      </c>
    </row>
    <row r="77" customFormat="false" ht="15" hidden="false" customHeight="false" outlineLevel="0" collapsed="false">
      <c r="A77" s="20" t="s">
        <v>3488</v>
      </c>
      <c r="B77" s="20" t="s">
        <v>3486</v>
      </c>
      <c r="C77" s="19" t="s">
        <v>3489</v>
      </c>
      <c r="D77" s="22" t="s">
        <v>91</v>
      </c>
      <c r="E77" s="20" t="s">
        <v>3309</v>
      </c>
      <c r="F77" s="95" t="n">
        <v>0.96</v>
      </c>
      <c r="G77" s="20" t="s">
        <v>939</v>
      </c>
      <c r="H77" s="22" t="s">
        <v>4180</v>
      </c>
      <c r="I77" s="114"/>
      <c r="J77" s="95" t="str">
        <f aca="false">IF(I77="","",ROUND(F77*(1+I77/100),2))</f>
        <v/>
      </c>
      <c r="K77" s="97" t="n">
        <v>20</v>
      </c>
      <c r="L77" s="55" t="s">
        <v>95</v>
      </c>
    </row>
    <row r="78" customFormat="false" ht="15" hidden="false" customHeight="false" outlineLevel="0" collapsed="false">
      <c r="A78" s="24" t="s">
        <v>3490</v>
      </c>
      <c r="B78" s="24" t="s">
        <v>3486</v>
      </c>
      <c r="C78" s="23" t="s">
        <v>3491</v>
      </c>
      <c r="D78" s="26" t="s">
        <v>91</v>
      </c>
      <c r="E78" s="24" t="s">
        <v>3309</v>
      </c>
      <c r="F78" s="91" t="n">
        <v>2.38</v>
      </c>
      <c r="G78" s="24" t="s">
        <v>939</v>
      </c>
      <c r="H78" s="26" t="s">
        <v>4180</v>
      </c>
      <c r="I78" s="113"/>
      <c r="J78" s="91" t="str">
        <f aca="false">IF(I78="","",ROUND(F78*(1+I78/100),2))</f>
        <v/>
      </c>
      <c r="K78" s="93" t="n">
        <v>20</v>
      </c>
      <c r="L78" s="61" t="s">
        <v>95</v>
      </c>
    </row>
    <row r="79" customFormat="false" ht="15" hidden="false" customHeight="false" outlineLevel="0" collapsed="false">
      <c r="A79" s="20" t="s">
        <v>3492</v>
      </c>
      <c r="B79" s="20" t="s">
        <v>3493</v>
      </c>
      <c r="C79" s="19" t="s">
        <v>3494</v>
      </c>
      <c r="D79" s="22" t="s">
        <v>91</v>
      </c>
      <c r="E79" s="20" t="s">
        <v>3309</v>
      </c>
      <c r="F79" s="95" t="n">
        <v>3.58</v>
      </c>
      <c r="G79" s="20" t="s">
        <v>939</v>
      </c>
      <c r="H79" s="22" t="s">
        <v>4180</v>
      </c>
      <c r="I79" s="114"/>
      <c r="J79" s="95" t="str">
        <f aca="false">IF(I79="","",ROUND(F79*(1+I79/100),2))</f>
        <v/>
      </c>
      <c r="K79" s="97" t="n">
        <v>20</v>
      </c>
      <c r="L79" s="55" t="s">
        <v>95</v>
      </c>
    </row>
    <row r="80" customFormat="false" ht="15" hidden="false" customHeight="false" outlineLevel="0" collapsed="false">
      <c r="A80" s="24" t="s">
        <v>3495</v>
      </c>
      <c r="B80" s="24" t="s">
        <v>3493</v>
      </c>
      <c r="C80" s="23" t="s">
        <v>3496</v>
      </c>
      <c r="D80" s="26" t="s">
        <v>91</v>
      </c>
      <c r="E80" s="24" t="s">
        <v>3309</v>
      </c>
      <c r="F80" s="91" t="n">
        <v>81.82</v>
      </c>
      <c r="G80" s="24" t="s">
        <v>939</v>
      </c>
      <c r="H80" s="26" t="s">
        <v>4180</v>
      </c>
      <c r="I80" s="113"/>
      <c r="J80" s="91" t="str">
        <f aca="false">IF(I80="","",ROUND(F80*(1+I80/100),2))</f>
        <v/>
      </c>
      <c r="K80" s="93" t="n">
        <v>20</v>
      </c>
      <c r="L80" s="61" t="s">
        <v>95</v>
      </c>
    </row>
    <row r="81" customFormat="false" ht="15" hidden="false" customHeight="false" outlineLevel="0" collapsed="false">
      <c r="A81" s="20" t="s">
        <v>3497</v>
      </c>
      <c r="B81" s="20" t="s">
        <v>3493</v>
      </c>
      <c r="C81" s="19" t="s">
        <v>3498</v>
      </c>
      <c r="D81" s="22" t="s">
        <v>91</v>
      </c>
      <c r="E81" s="20" t="s">
        <v>3309</v>
      </c>
      <c r="F81" s="95" t="n">
        <v>98.35</v>
      </c>
      <c r="G81" s="20" t="s">
        <v>939</v>
      </c>
      <c r="H81" s="22" t="s">
        <v>4180</v>
      </c>
      <c r="I81" s="114"/>
      <c r="J81" s="95" t="str">
        <f aca="false">IF(I81="","",ROUND(F81*(1+I81/100),2))</f>
        <v/>
      </c>
      <c r="K81" s="97" t="n">
        <v>20</v>
      </c>
      <c r="L81" s="55" t="s">
        <v>95</v>
      </c>
    </row>
    <row r="82" customFormat="false" ht="15" hidden="false" customHeight="false" outlineLevel="0" collapsed="false">
      <c r="A82" s="24" t="s">
        <v>3499</v>
      </c>
      <c r="B82" s="24" t="s">
        <v>3493</v>
      </c>
      <c r="C82" s="23" t="s">
        <v>3501</v>
      </c>
      <c r="D82" s="26" t="s">
        <v>91</v>
      </c>
      <c r="E82" s="24" t="s">
        <v>3309</v>
      </c>
      <c r="F82" s="91" t="n">
        <v>18.14</v>
      </c>
      <c r="G82" s="24" t="s">
        <v>939</v>
      </c>
      <c r="H82" s="26" t="s">
        <v>4180</v>
      </c>
      <c r="I82" s="113"/>
      <c r="J82" s="91" t="str">
        <f aca="false">IF(I82="","",ROUND(F82*(1+I82/100),2))</f>
        <v/>
      </c>
      <c r="K82" s="93" t="n">
        <v>20</v>
      </c>
      <c r="L82" s="61" t="s">
        <v>95</v>
      </c>
    </row>
    <row r="83" customFormat="false" ht="15" hidden="false" customHeight="false" outlineLevel="0" collapsed="false">
      <c r="A83" s="20" t="s">
        <v>3502</v>
      </c>
      <c r="B83" s="20" t="s">
        <v>3493</v>
      </c>
      <c r="C83" s="19" t="s">
        <v>3504</v>
      </c>
      <c r="D83" s="22" t="s">
        <v>91</v>
      </c>
      <c r="E83" s="20" t="s">
        <v>3309</v>
      </c>
      <c r="F83" s="95" t="n">
        <v>23.85</v>
      </c>
      <c r="G83" s="20" t="s">
        <v>939</v>
      </c>
      <c r="H83" s="22" t="s">
        <v>4180</v>
      </c>
      <c r="I83" s="114"/>
      <c r="J83" s="95" t="str">
        <f aca="false">IF(I83="","",ROUND(F83*(1+I83/100),2))</f>
        <v/>
      </c>
      <c r="K83" s="97" t="n">
        <v>20</v>
      </c>
      <c r="L83" s="55" t="s">
        <v>95</v>
      </c>
    </row>
    <row r="84" customFormat="false" ht="15" hidden="false" customHeight="false" outlineLevel="0" collapsed="false">
      <c r="A84" s="24" t="s">
        <v>3505</v>
      </c>
      <c r="B84" s="24" t="s">
        <v>3493</v>
      </c>
      <c r="C84" s="23" t="s">
        <v>3507</v>
      </c>
      <c r="D84" s="26" t="s">
        <v>91</v>
      </c>
      <c r="E84" s="24" t="s">
        <v>3309</v>
      </c>
      <c r="F84" s="91" t="n">
        <v>12.38</v>
      </c>
      <c r="G84" s="24" t="s">
        <v>939</v>
      </c>
      <c r="H84" s="26" t="s">
        <v>4180</v>
      </c>
      <c r="I84" s="113"/>
      <c r="J84" s="91" t="str">
        <f aca="false">IF(I84="","",ROUND(F84*(1+I84/100),2))</f>
        <v/>
      </c>
      <c r="K84" s="93" t="n">
        <v>20</v>
      </c>
      <c r="L84" s="61" t="s">
        <v>95</v>
      </c>
    </row>
    <row r="85" customFormat="false" ht="15" hidden="false" customHeight="false" outlineLevel="0" collapsed="false">
      <c r="A85" s="20" t="s">
        <v>3508</v>
      </c>
      <c r="B85" s="20" t="s">
        <v>3509</v>
      </c>
      <c r="C85" s="19" t="s">
        <v>3510</v>
      </c>
      <c r="D85" s="22" t="s">
        <v>91</v>
      </c>
      <c r="E85" s="20" t="s">
        <v>3309</v>
      </c>
      <c r="F85" s="95" t="n">
        <v>4.09</v>
      </c>
      <c r="G85" s="20" t="s">
        <v>939</v>
      </c>
      <c r="H85" s="22" t="s">
        <v>4180</v>
      </c>
      <c r="I85" s="114"/>
      <c r="J85" s="95" t="str">
        <f aca="false">IF(I85="","",ROUND(F85*(1+I85/100),2))</f>
        <v/>
      </c>
      <c r="K85" s="97" t="n">
        <v>20</v>
      </c>
      <c r="L85" s="55" t="s">
        <v>95</v>
      </c>
    </row>
    <row r="86" customFormat="false" ht="15" hidden="false" customHeight="false" outlineLevel="0" collapsed="false">
      <c r="A86" s="24" t="s">
        <v>3511</v>
      </c>
      <c r="B86" s="24" t="s">
        <v>3509</v>
      </c>
      <c r="C86" s="23" t="s">
        <v>3512</v>
      </c>
      <c r="D86" s="26" t="s">
        <v>91</v>
      </c>
      <c r="E86" s="24" t="s">
        <v>3309</v>
      </c>
      <c r="F86" s="91" t="n">
        <v>4.09</v>
      </c>
      <c r="G86" s="24" t="s">
        <v>939</v>
      </c>
      <c r="H86" s="26" t="s">
        <v>4180</v>
      </c>
      <c r="I86" s="113"/>
      <c r="J86" s="91" t="str">
        <f aca="false">IF(I86="","",ROUND(F86*(1+I86/100),2))</f>
        <v/>
      </c>
      <c r="K86" s="93" t="n">
        <v>20</v>
      </c>
      <c r="L86" s="61" t="s">
        <v>95</v>
      </c>
    </row>
    <row r="87" customFormat="false" ht="15" hidden="false" customHeight="false" outlineLevel="0" collapsed="false">
      <c r="A87" s="20" t="s">
        <v>3513</v>
      </c>
      <c r="B87" s="20" t="s">
        <v>3509</v>
      </c>
      <c r="C87" s="19" t="s">
        <v>3514</v>
      </c>
      <c r="D87" s="22" t="s">
        <v>91</v>
      </c>
      <c r="E87" s="20" t="s">
        <v>3309</v>
      </c>
      <c r="F87" s="95" t="n">
        <v>5.71</v>
      </c>
      <c r="G87" s="20" t="s">
        <v>939</v>
      </c>
      <c r="H87" s="22" t="s">
        <v>4180</v>
      </c>
      <c r="I87" s="114"/>
      <c r="J87" s="95" t="str">
        <f aca="false">IF(I87="","",ROUND(F87*(1+I87/100),2))</f>
        <v/>
      </c>
      <c r="K87" s="97" t="n">
        <v>20</v>
      </c>
      <c r="L87" s="55" t="s">
        <v>95</v>
      </c>
    </row>
    <row r="88" customFormat="false" ht="15" hidden="false" customHeight="false" outlineLevel="0" collapsed="false">
      <c r="A88" s="24" t="s">
        <v>3515</v>
      </c>
      <c r="B88" s="24" t="s">
        <v>3509</v>
      </c>
      <c r="C88" s="23" t="s">
        <v>3516</v>
      </c>
      <c r="D88" s="26" t="s">
        <v>91</v>
      </c>
      <c r="E88" s="24" t="s">
        <v>3309</v>
      </c>
      <c r="F88" s="91" t="n">
        <v>3.14</v>
      </c>
      <c r="G88" s="24" t="s">
        <v>939</v>
      </c>
      <c r="H88" s="26" t="s">
        <v>4180</v>
      </c>
      <c r="I88" s="113"/>
      <c r="J88" s="91" t="str">
        <f aca="false">IF(I88="","",ROUND(F88*(1+I88/100),2))</f>
        <v/>
      </c>
      <c r="K88" s="93" t="n">
        <v>20</v>
      </c>
      <c r="L88" s="61" t="s">
        <v>95</v>
      </c>
    </row>
    <row r="89" customFormat="false" ht="15" hidden="false" customHeight="false" outlineLevel="0" collapsed="false">
      <c r="A89" s="20" t="s">
        <v>3517</v>
      </c>
      <c r="B89" s="20" t="s">
        <v>3509</v>
      </c>
      <c r="C89" s="19" t="s">
        <v>3518</v>
      </c>
      <c r="D89" s="22" t="s">
        <v>91</v>
      </c>
      <c r="E89" s="20" t="s">
        <v>3309</v>
      </c>
      <c r="F89" s="95" t="n">
        <v>3.55</v>
      </c>
      <c r="G89" s="20" t="s">
        <v>939</v>
      </c>
      <c r="H89" s="22" t="s">
        <v>4180</v>
      </c>
      <c r="I89" s="114"/>
      <c r="J89" s="95" t="str">
        <f aca="false">IF(I89="","",ROUND(F89*(1+I89/100),2))</f>
        <v/>
      </c>
      <c r="K89" s="97" t="n">
        <v>20</v>
      </c>
      <c r="L89" s="55" t="s">
        <v>95</v>
      </c>
    </row>
    <row r="90" customFormat="false" ht="15" hidden="false" customHeight="false" outlineLevel="0" collapsed="false">
      <c r="A90" s="24" t="s">
        <v>3519</v>
      </c>
      <c r="B90" s="24" t="s">
        <v>3509</v>
      </c>
      <c r="C90" s="23" t="s">
        <v>3521</v>
      </c>
      <c r="D90" s="26" t="s">
        <v>91</v>
      </c>
      <c r="E90" s="24" t="s">
        <v>3309</v>
      </c>
      <c r="F90" s="91" t="n">
        <v>2.56</v>
      </c>
      <c r="G90" s="24" t="s">
        <v>939</v>
      </c>
      <c r="H90" s="26" t="s">
        <v>4180</v>
      </c>
      <c r="I90" s="113"/>
      <c r="J90" s="91" t="str">
        <f aca="false">IF(I90="","",ROUND(F90*(1+I90/100),2))</f>
        <v/>
      </c>
      <c r="K90" s="93" t="n">
        <v>20</v>
      </c>
      <c r="L90" s="61" t="s">
        <v>95</v>
      </c>
    </row>
    <row r="91" customFormat="false" ht="15" hidden="false" customHeight="false" outlineLevel="0" collapsed="false">
      <c r="A91" s="20" t="s">
        <v>3522</v>
      </c>
      <c r="B91" s="20" t="s">
        <v>3509</v>
      </c>
      <c r="C91" s="19" t="s">
        <v>3523</v>
      </c>
      <c r="D91" s="22" t="s">
        <v>91</v>
      </c>
      <c r="E91" s="20" t="s">
        <v>3309</v>
      </c>
      <c r="F91" s="95" t="n">
        <v>9.42</v>
      </c>
      <c r="G91" s="20" t="s">
        <v>939</v>
      </c>
      <c r="H91" s="22" t="s">
        <v>4180</v>
      </c>
      <c r="I91" s="114"/>
      <c r="J91" s="95" t="str">
        <f aca="false">IF(I91="","",ROUND(F91*(1+I91/100),2))</f>
        <v/>
      </c>
      <c r="K91" s="97" t="n">
        <v>20</v>
      </c>
      <c r="L91" s="55" t="s">
        <v>95</v>
      </c>
    </row>
    <row r="92" customFormat="false" ht="15" hidden="false" customHeight="false" outlineLevel="0" collapsed="false">
      <c r="A92" s="24" t="s">
        <v>3524</v>
      </c>
      <c r="B92" s="24" t="s">
        <v>3509</v>
      </c>
      <c r="C92" s="23" t="s">
        <v>3525</v>
      </c>
      <c r="D92" s="26" t="s">
        <v>91</v>
      </c>
      <c r="E92" s="24" t="s">
        <v>3309</v>
      </c>
      <c r="F92" s="91" t="n">
        <v>4.82</v>
      </c>
      <c r="G92" s="24" t="s">
        <v>939</v>
      </c>
      <c r="H92" s="26" t="s">
        <v>4180</v>
      </c>
      <c r="I92" s="113"/>
      <c r="J92" s="91" t="str">
        <f aca="false">IF(I92="","",ROUND(F92*(1+I92/100),2))</f>
        <v/>
      </c>
      <c r="K92" s="93" t="n">
        <v>20</v>
      </c>
      <c r="L92" s="61" t="s">
        <v>95</v>
      </c>
    </row>
    <row r="93" customFormat="false" ht="15" hidden="false" customHeight="false" outlineLevel="0" collapsed="false">
      <c r="A93" s="20" t="s">
        <v>3526</v>
      </c>
      <c r="B93" s="20" t="s">
        <v>3509</v>
      </c>
      <c r="C93" s="19" t="s">
        <v>3356</v>
      </c>
      <c r="D93" s="22" t="s">
        <v>91</v>
      </c>
      <c r="E93" s="20" t="s">
        <v>3309</v>
      </c>
      <c r="F93" s="95" t="n">
        <v>0.8</v>
      </c>
      <c r="G93" s="20" t="s">
        <v>939</v>
      </c>
      <c r="H93" s="22" t="s">
        <v>4180</v>
      </c>
      <c r="I93" s="114"/>
      <c r="J93" s="95" t="str">
        <f aca="false">IF(I93="","",ROUND(F93*(1+I93/100),2))</f>
        <v/>
      </c>
      <c r="K93" s="97" t="n">
        <v>20</v>
      </c>
      <c r="L93" s="55" t="s">
        <v>95</v>
      </c>
    </row>
    <row r="94" customFormat="false" ht="15" hidden="false" customHeight="false" outlineLevel="0" collapsed="false">
      <c r="A94" s="24" t="s">
        <v>3527</v>
      </c>
      <c r="B94" s="24" t="s">
        <v>3509</v>
      </c>
      <c r="C94" s="23" t="s">
        <v>3528</v>
      </c>
      <c r="D94" s="26" t="s">
        <v>91</v>
      </c>
      <c r="E94" s="24" t="s">
        <v>3309</v>
      </c>
      <c r="F94" s="91" t="n">
        <v>13</v>
      </c>
      <c r="G94" s="24" t="s">
        <v>939</v>
      </c>
      <c r="H94" s="26" t="s">
        <v>4180</v>
      </c>
      <c r="I94" s="113"/>
      <c r="J94" s="91" t="str">
        <f aca="false">IF(I94="","",ROUND(F94*(1+I94/100),2))</f>
        <v/>
      </c>
      <c r="K94" s="93" t="n">
        <v>20</v>
      </c>
      <c r="L94" s="61" t="s">
        <v>95</v>
      </c>
    </row>
    <row r="95" customFormat="false" ht="15" hidden="false" customHeight="false" outlineLevel="0" collapsed="false">
      <c r="A95" s="20" t="s">
        <v>3529</v>
      </c>
      <c r="B95" s="20" t="s">
        <v>3509</v>
      </c>
      <c r="C95" s="19" t="s">
        <v>3530</v>
      </c>
      <c r="D95" s="22" t="s">
        <v>91</v>
      </c>
      <c r="E95" s="20" t="s">
        <v>3309</v>
      </c>
      <c r="F95" s="95" t="n">
        <v>21.47</v>
      </c>
      <c r="G95" s="20" t="s">
        <v>939</v>
      </c>
      <c r="H95" s="22" t="s">
        <v>4180</v>
      </c>
      <c r="I95" s="114"/>
      <c r="J95" s="95" t="str">
        <f aca="false">IF(I95="","",ROUND(F95*(1+I95/100),2))</f>
        <v/>
      </c>
      <c r="K95" s="97" t="n">
        <v>20</v>
      </c>
      <c r="L95" s="55" t="s">
        <v>95</v>
      </c>
    </row>
    <row r="96" customFormat="false" ht="15" hidden="false" customHeight="false" outlineLevel="0" collapsed="false">
      <c r="A96" s="24" t="s">
        <v>3531</v>
      </c>
      <c r="B96" s="24" t="s">
        <v>3509</v>
      </c>
      <c r="C96" s="23" t="s">
        <v>3532</v>
      </c>
      <c r="D96" s="26" t="s">
        <v>91</v>
      </c>
      <c r="E96" s="24" t="s">
        <v>3309</v>
      </c>
      <c r="F96" s="91" t="n">
        <v>3.15</v>
      </c>
      <c r="G96" s="24" t="s">
        <v>939</v>
      </c>
      <c r="H96" s="26" t="s">
        <v>4180</v>
      </c>
      <c r="I96" s="113"/>
      <c r="J96" s="91" t="str">
        <f aca="false">IF(I96="","",ROUND(F96*(1+I96/100),2))</f>
        <v/>
      </c>
      <c r="K96" s="93" t="n">
        <v>20</v>
      </c>
      <c r="L96" s="61" t="s">
        <v>95</v>
      </c>
    </row>
    <row r="97" customFormat="false" ht="15" hidden="false" customHeight="false" outlineLevel="0" collapsed="false">
      <c r="A97" s="20" t="s">
        <v>3533</v>
      </c>
      <c r="B97" s="20" t="s">
        <v>3534</v>
      </c>
      <c r="C97" s="19" t="s">
        <v>3536</v>
      </c>
      <c r="D97" s="22" t="s">
        <v>91</v>
      </c>
      <c r="E97" s="20" t="s">
        <v>3309</v>
      </c>
      <c r="F97" s="95" t="n">
        <v>79.25</v>
      </c>
      <c r="G97" s="20" t="s">
        <v>939</v>
      </c>
      <c r="H97" s="22" t="s">
        <v>4180</v>
      </c>
      <c r="I97" s="114"/>
      <c r="J97" s="95" t="str">
        <f aca="false">IF(I97="","",ROUND(F97*(1+I97/100),2))</f>
        <v/>
      </c>
      <c r="K97" s="97" t="n">
        <v>20</v>
      </c>
      <c r="L97" s="55" t="s">
        <v>95</v>
      </c>
    </row>
    <row r="98" customFormat="false" ht="15" hidden="false" customHeight="false" outlineLevel="0" collapsed="false">
      <c r="A98" s="24" t="s">
        <v>3537</v>
      </c>
      <c r="B98" s="24" t="s">
        <v>3534</v>
      </c>
      <c r="C98" s="23" t="s">
        <v>3536</v>
      </c>
      <c r="D98" s="26" t="s">
        <v>91</v>
      </c>
      <c r="E98" s="24" t="s">
        <v>3309</v>
      </c>
      <c r="F98" s="91" t="n">
        <v>114</v>
      </c>
      <c r="G98" s="24" t="s">
        <v>939</v>
      </c>
      <c r="H98" s="26" t="s">
        <v>4180</v>
      </c>
      <c r="I98" s="113"/>
      <c r="J98" s="91" t="str">
        <f aca="false">IF(I98="","",ROUND(F98*(1+I98/100),2))</f>
        <v/>
      </c>
      <c r="K98" s="93" t="n">
        <v>20</v>
      </c>
      <c r="L98" s="61" t="s">
        <v>95</v>
      </c>
    </row>
    <row r="99" customFormat="false" ht="15" hidden="false" customHeight="false" outlineLevel="0" collapsed="false">
      <c r="A99" s="20" t="s">
        <v>3538</v>
      </c>
      <c r="B99" s="20" t="s">
        <v>3534</v>
      </c>
      <c r="C99" s="19" t="s">
        <v>3540</v>
      </c>
      <c r="D99" s="22" t="s">
        <v>91</v>
      </c>
      <c r="E99" s="20" t="s">
        <v>3309</v>
      </c>
      <c r="F99" s="95" t="n">
        <v>74.29</v>
      </c>
      <c r="G99" s="20" t="s">
        <v>939</v>
      </c>
      <c r="H99" s="22" t="s">
        <v>4180</v>
      </c>
      <c r="I99" s="114"/>
      <c r="J99" s="95" t="str">
        <f aca="false">IF(I99="","",ROUND(F99*(1+I99/100),2))</f>
        <v/>
      </c>
      <c r="K99" s="97" t="n">
        <v>20</v>
      </c>
      <c r="L99" s="55" t="s">
        <v>95</v>
      </c>
    </row>
    <row r="100" customFormat="false" ht="15" hidden="false" customHeight="false" outlineLevel="0" collapsed="false">
      <c r="A100" s="24" t="s">
        <v>3541</v>
      </c>
      <c r="B100" s="24" t="s">
        <v>3534</v>
      </c>
      <c r="C100" s="23" t="s">
        <v>3542</v>
      </c>
      <c r="D100" s="26" t="s">
        <v>91</v>
      </c>
      <c r="E100" s="24" t="s">
        <v>3309</v>
      </c>
      <c r="F100" s="91" t="n">
        <v>109</v>
      </c>
      <c r="G100" s="24" t="s">
        <v>939</v>
      </c>
      <c r="H100" s="26" t="s">
        <v>4180</v>
      </c>
      <c r="I100" s="113"/>
      <c r="J100" s="91" t="str">
        <f aca="false">IF(I100="","",ROUND(F100*(1+I100/100),2))</f>
        <v/>
      </c>
      <c r="K100" s="93" t="n">
        <v>20</v>
      </c>
      <c r="L100" s="61" t="s">
        <v>95</v>
      </c>
    </row>
    <row r="101" customFormat="false" ht="15" hidden="false" customHeight="false" outlineLevel="0" collapsed="false">
      <c r="A101" s="20" t="s">
        <v>3543</v>
      </c>
      <c r="B101" s="20" t="s">
        <v>3534</v>
      </c>
      <c r="C101" s="19" t="s">
        <v>3545</v>
      </c>
      <c r="D101" s="22" t="s">
        <v>91</v>
      </c>
      <c r="E101" s="20" t="s">
        <v>3309</v>
      </c>
      <c r="F101" s="95" t="n">
        <v>451.99</v>
      </c>
      <c r="G101" s="20" t="s">
        <v>939</v>
      </c>
      <c r="H101" s="22" t="s">
        <v>4180</v>
      </c>
      <c r="I101" s="114"/>
      <c r="J101" s="95" t="str">
        <f aca="false">IF(I101="","",ROUND(F101*(1+I101/100),2))</f>
        <v/>
      </c>
      <c r="K101" s="97" t="n">
        <v>20</v>
      </c>
      <c r="L101" s="55" t="s">
        <v>95</v>
      </c>
    </row>
    <row r="102" customFormat="false" ht="15" hidden="false" customHeight="false" outlineLevel="0" collapsed="false">
      <c r="A102" s="24" t="s">
        <v>3546</v>
      </c>
      <c r="B102" s="24" t="s">
        <v>3534</v>
      </c>
      <c r="C102" s="23" t="s">
        <v>3548</v>
      </c>
      <c r="D102" s="26" t="s">
        <v>91</v>
      </c>
      <c r="E102" s="24" t="s">
        <v>3309</v>
      </c>
      <c r="F102" s="91" t="n">
        <v>81.82</v>
      </c>
      <c r="G102" s="24" t="s">
        <v>939</v>
      </c>
      <c r="H102" s="26" t="s">
        <v>4180</v>
      </c>
      <c r="I102" s="113"/>
      <c r="J102" s="91" t="str">
        <f aca="false">IF(I102="","",ROUND(F102*(1+I102/100),2))</f>
        <v/>
      </c>
      <c r="K102" s="93" t="n">
        <v>20</v>
      </c>
      <c r="L102" s="61" t="s">
        <v>95</v>
      </c>
    </row>
    <row r="103" customFormat="false" ht="15" hidden="false" customHeight="false" outlineLevel="0" collapsed="false">
      <c r="A103" s="20" t="s">
        <v>3549</v>
      </c>
      <c r="B103" s="20" t="s">
        <v>3534</v>
      </c>
      <c r="C103" s="19" t="s">
        <v>3356</v>
      </c>
      <c r="D103" s="22" t="s">
        <v>91</v>
      </c>
      <c r="E103" s="20" t="s">
        <v>3309</v>
      </c>
      <c r="F103" s="95" t="n">
        <v>0.8</v>
      </c>
      <c r="G103" s="20" t="s">
        <v>939</v>
      </c>
      <c r="H103" s="22" t="s">
        <v>4180</v>
      </c>
      <c r="I103" s="114"/>
      <c r="J103" s="95" t="str">
        <f aca="false">IF(I103="","",ROUND(F103*(1+I103/100),2))</f>
        <v/>
      </c>
      <c r="K103" s="97" t="n">
        <v>20</v>
      </c>
      <c r="L103" s="55" t="s">
        <v>95</v>
      </c>
    </row>
    <row r="104" customFormat="false" ht="15" hidden="false" customHeight="false" outlineLevel="0" collapsed="false">
      <c r="A104" s="24" t="s">
        <v>3550</v>
      </c>
      <c r="B104" s="24" t="s">
        <v>3534</v>
      </c>
      <c r="C104" s="23" t="s">
        <v>3552</v>
      </c>
      <c r="D104" s="26" t="s">
        <v>91</v>
      </c>
      <c r="E104" s="24" t="s">
        <v>3309</v>
      </c>
      <c r="F104" s="91" t="n">
        <v>12.6</v>
      </c>
      <c r="G104" s="24" t="s">
        <v>939</v>
      </c>
      <c r="H104" s="26" t="s">
        <v>4180</v>
      </c>
      <c r="I104" s="113"/>
      <c r="J104" s="91" t="str">
        <f aca="false">IF(I104="","",ROUND(F104*(1+I104/100),2))</f>
        <v/>
      </c>
      <c r="K104" s="93" t="n">
        <v>20</v>
      </c>
      <c r="L104" s="61" t="s">
        <v>95</v>
      </c>
    </row>
    <row r="105" customFormat="false" ht="15" hidden="false" customHeight="false" outlineLevel="0" collapsed="false">
      <c r="A105" s="20" t="s">
        <v>3553</v>
      </c>
      <c r="B105" s="20" t="s">
        <v>3534</v>
      </c>
      <c r="C105" s="19" t="s">
        <v>3555</v>
      </c>
      <c r="D105" s="22" t="s">
        <v>91</v>
      </c>
      <c r="E105" s="20" t="s">
        <v>3309</v>
      </c>
      <c r="F105" s="95" t="n">
        <v>21.28</v>
      </c>
      <c r="G105" s="20" t="s">
        <v>939</v>
      </c>
      <c r="H105" s="22" t="s">
        <v>4180</v>
      </c>
      <c r="I105" s="114"/>
      <c r="J105" s="95" t="str">
        <f aca="false">IF(I105="","",ROUND(F105*(1+I105/100),2))</f>
        <v/>
      </c>
      <c r="K105" s="97" t="n">
        <v>20</v>
      </c>
      <c r="L105" s="55" t="s">
        <v>95</v>
      </c>
    </row>
    <row r="106" customFormat="false" ht="15" hidden="false" customHeight="false" outlineLevel="0" collapsed="false">
      <c r="A106" s="24" t="s">
        <v>3556</v>
      </c>
      <c r="B106" s="24" t="s">
        <v>3534</v>
      </c>
      <c r="C106" s="23" t="s">
        <v>3557</v>
      </c>
      <c r="D106" s="26" t="s">
        <v>91</v>
      </c>
      <c r="E106" s="24" t="s">
        <v>3309</v>
      </c>
      <c r="F106" s="91" t="n">
        <v>7.52</v>
      </c>
      <c r="G106" s="24" t="s">
        <v>939</v>
      </c>
      <c r="H106" s="26" t="s">
        <v>4180</v>
      </c>
      <c r="I106" s="113"/>
      <c r="J106" s="91" t="str">
        <f aca="false">IF(I106="","",ROUND(F106*(1+I106/100),2))</f>
        <v/>
      </c>
      <c r="K106" s="93" t="n">
        <v>20</v>
      </c>
      <c r="L106" s="61" t="s">
        <v>95</v>
      </c>
    </row>
    <row r="107" customFormat="false" ht="15" hidden="false" customHeight="false" outlineLevel="0" collapsed="false">
      <c r="A107" s="20" t="s">
        <v>3558</v>
      </c>
      <c r="B107" s="20" t="s">
        <v>3534</v>
      </c>
      <c r="C107" s="19" t="s">
        <v>3560</v>
      </c>
      <c r="D107" s="22" t="s">
        <v>91</v>
      </c>
      <c r="E107" s="20" t="s">
        <v>3309</v>
      </c>
      <c r="F107" s="95" t="n">
        <v>66.03</v>
      </c>
      <c r="G107" s="20" t="s">
        <v>939</v>
      </c>
      <c r="H107" s="22" t="s">
        <v>4180</v>
      </c>
      <c r="I107" s="114"/>
      <c r="J107" s="95" t="str">
        <f aca="false">IF(I107="","",ROUND(F107*(1+I107/100),2))</f>
        <v/>
      </c>
      <c r="K107" s="97" t="n">
        <v>20</v>
      </c>
      <c r="L107" s="55" t="s">
        <v>95</v>
      </c>
    </row>
    <row r="108" customFormat="false" ht="15" hidden="false" customHeight="false" outlineLevel="0" collapsed="false">
      <c r="A108" s="24" t="s">
        <v>3561</v>
      </c>
      <c r="B108" s="24" t="s">
        <v>3534</v>
      </c>
      <c r="C108" s="23" t="s">
        <v>3563</v>
      </c>
      <c r="D108" s="26" t="s">
        <v>91</v>
      </c>
      <c r="E108" s="24" t="s">
        <v>3309</v>
      </c>
      <c r="F108" s="91" t="n">
        <v>57.69</v>
      </c>
      <c r="G108" s="24" t="s">
        <v>939</v>
      </c>
      <c r="H108" s="26" t="s">
        <v>4180</v>
      </c>
      <c r="I108" s="113"/>
      <c r="J108" s="91" t="str">
        <f aca="false">IF(I108="","",ROUND(F108*(1+I108/100),2))</f>
        <v/>
      </c>
      <c r="K108" s="93" t="n">
        <v>20</v>
      </c>
      <c r="L108" s="61" t="s">
        <v>95</v>
      </c>
    </row>
    <row r="109" customFormat="false" ht="15" hidden="false" customHeight="false" outlineLevel="0" collapsed="false">
      <c r="A109" s="20" t="s">
        <v>3564</v>
      </c>
      <c r="B109" s="20" t="s">
        <v>3534</v>
      </c>
      <c r="C109" s="19" t="s">
        <v>3565</v>
      </c>
      <c r="D109" s="22" t="s">
        <v>91</v>
      </c>
      <c r="E109" s="20" t="s">
        <v>3309</v>
      </c>
      <c r="F109" s="95" t="n">
        <v>91.5</v>
      </c>
      <c r="G109" s="20" t="s">
        <v>939</v>
      </c>
      <c r="H109" s="22" t="s">
        <v>4180</v>
      </c>
      <c r="I109" s="114"/>
      <c r="J109" s="95" t="str">
        <f aca="false">IF(I109="","",ROUND(F109*(1+I109/100),2))</f>
        <v/>
      </c>
      <c r="K109" s="97" t="n">
        <v>20</v>
      </c>
      <c r="L109" s="55" t="s">
        <v>95</v>
      </c>
    </row>
    <row r="110" customFormat="false" ht="15" hidden="false" customHeight="false" outlineLevel="0" collapsed="false">
      <c r="A110" s="24" t="s">
        <v>3566</v>
      </c>
      <c r="B110" s="24" t="s">
        <v>3534</v>
      </c>
      <c r="C110" s="23" t="s">
        <v>3568</v>
      </c>
      <c r="D110" s="26" t="s">
        <v>91</v>
      </c>
      <c r="E110" s="24" t="s">
        <v>3309</v>
      </c>
      <c r="F110" s="91" t="n">
        <v>49.1</v>
      </c>
      <c r="G110" s="24" t="s">
        <v>939</v>
      </c>
      <c r="H110" s="26" t="s">
        <v>4180</v>
      </c>
      <c r="I110" s="113"/>
      <c r="J110" s="91" t="str">
        <f aca="false">IF(I110="","",ROUND(F110*(1+I110/100),2))</f>
        <v/>
      </c>
      <c r="K110" s="93" t="n">
        <v>20</v>
      </c>
      <c r="L110" s="61" t="s">
        <v>95</v>
      </c>
    </row>
    <row r="111" customFormat="false" ht="15" hidden="false" customHeight="false" outlineLevel="0" collapsed="false">
      <c r="A111" s="20" t="s">
        <v>3569</v>
      </c>
      <c r="B111" s="20" t="s">
        <v>3534</v>
      </c>
      <c r="C111" s="19" t="s">
        <v>3571</v>
      </c>
      <c r="D111" s="22" t="s">
        <v>91</v>
      </c>
      <c r="E111" s="20" t="s">
        <v>3309</v>
      </c>
      <c r="F111" s="95" t="n">
        <v>38.41</v>
      </c>
      <c r="G111" s="20" t="s">
        <v>939</v>
      </c>
      <c r="H111" s="22" t="s">
        <v>4180</v>
      </c>
      <c r="I111" s="114"/>
      <c r="J111" s="95" t="str">
        <f aca="false">IF(I111="","",ROUND(F111*(1+I111/100),2))</f>
        <v/>
      </c>
      <c r="K111" s="97" t="n">
        <v>20</v>
      </c>
      <c r="L111" s="55" t="s">
        <v>95</v>
      </c>
    </row>
    <row r="112" customFormat="false" ht="15" hidden="false" customHeight="false" outlineLevel="0" collapsed="false">
      <c r="A112" s="24" t="s">
        <v>3572</v>
      </c>
      <c r="B112" s="24" t="s">
        <v>3534</v>
      </c>
      <c r="C112" s="23" t="s">
        <v>3574</v>
      </c>
      <c r="D112" s="26" t="s">
        <v>91</v>
      </c>
      <c r="E112" s="24" t="s">
        <v>3309</v>
      </c>
      <c r="F112" s="91" t="n">
        <v>90.82</v>
      </c>
      <c r="G112" s="24" t="s">
        <v>939</v>
      </c>
      <c r="H112" s="26" t="s">
        <v>4180</v>
      </c>
      <c r="I112" s="113"/>
      <c r="J112" s="91" t="str">
        <f aca="false">IF(I112="","",ROUND(F112*(1+I112/100),2))</f>
        <v/>
      </c>
      <c r="K112" s="93" t="n">
        <v>20</v>
      </c>
      <c r="L112" s="61" t="s">
        <v>95</v>
      </c>
    </row>
    <row r="113" customFormat="false" ht="15" hidden="false" customHeight="false" outlineLevel="0" collapsed="false">
      <c r="A113" s="20" t="s">
        <v>3575</v>
      </c>
      <c r="B113" s="20" t="s">
        <v>3534</v>
      </c>
      <c r="C113" s="19" t="s">
        <v>3577</v>
      </c>
      <c r="D113" s="22" t="s">
        <v>91</v>
      </c>
      <c r="E113" s="20" t="s">
        <v>3309</v>
      </c>
      <c r="F113" s="95" t="n">
        <v>27.62</v>
      </c>
      <c r="G113" s="20" t="s">
        <v>939</v>
      </c>
      <c r="H113" s="22" t="s">
        <v>4180</v>
      </c>
      <c r="I113" s="114"/>
      <c r="J113" s="95" t="str">
        <f aca="false">IF(I113="","",ROUND(F113*(1+I113/100),2))</f>
        <v/>
      </c>
      <c r="K113" s="97" t="n">
        <v>20</v>
      </c>
      <c r="L113" s="55" t="s">
        <v>95</v>
      </c>
    </row>
    <row r="114" customFormat="false" ht="15" hidden="false" customHeight="false" outlineLevel="0" collapsed="false">
      <c r="A114" s="24" t="s">
        <v>3578</v>
      </c>
      <c r="B114" s="24" t="s">
        <v>3534</v>
      </c>
      <c r="C114" s="23" t="s">
        <v>3580</v>
      </c>
      <c r="D114" s="26" t="s">
        <v>91</v>
      </c>
      <c r="E114" s="24" t="s">
        <v>3309</v>
      </c>
      <c r="F114" s="91" t="n">
        <v>66.03</v>
      </c>
      <c r="G114" s="24" t="s">
        <v>939</v>
      </c>
      <c r="H114" s="26" t="s">
        <v>4180</v>
      </c>
      <c r="I114" s="113"/>
      <c r="J114" s="91" t="str">
        <f aca="false">IF(I114="","",ROUND(F114*(1+I114/100),2))</f>
        <v/>
      </c>
      <c r="K114" s="93" t="n">
        <v>20</v>
      </c>
      <c r="L114" s="61" t="s">
        <v>95</v>
      </c>
    </row>
    <row r="115" customFormat="false" ht="15" hidden="false" customHeight="false" outlineLevel="0" collapsed="false">
      <c r="A115" s="20" t="s">
        <v>3581</v>
      </c>
      <c r="B115" s="20" t="s">
        <v>3534</v>
      </c>
      <c r="C115" s="19" t="s">
        <v>3582</v>
      </c>
      <c r="D115" s="22" t="s">
        <v>91</v>
      </c>
      <c r="E115" s="20" t="s">
        <v>3309</v>
      </c>
      <c r="F115" s="95" t="n">
        <v>6</v>
      </c>
      <c r="G115" s="20" t="s">
        <v>939</v>
      </c>
      <c r="H115" s="22" t="s">
        <v>4180</v>
      </c>
      <c r="I115" s="114"/>
      <c r="J115" s="95" t="str">
        <f aca="false">IF(I115="","",ROUND(F115*(1+I115/100),2))</f>
        <v/>
      </c>
      <c r="K115" s="97" t="n">
        <v>20</v>
      </c>
      <c r="L115" s="55" t="s">
        <v>95</v>
      </c>
    </row>
    <row r="116" customFormat="false" ht="15" hidden="false" customHeight="false" outlineLevel="0" collapsed="false">
      <c r="A116" s="24" t="s">
        <v>3583</v>
      </c>
      <c r="B116" s="24" t="s">
        <v>3584</v>
      </c>
      <c r="C116" s="23" t="s">
        <v>3585</v>
      </c>
      <c r="D116" s="26" t="s">
        <v>91</v>
      </c>
      <c r="E116" s="24" t="s">
        <v>3309</v>
      </c>
      <c r="F116" s="91" t="n">
        <v>12.34</v>
      </c>
      <c r="G116" s="24" t="s">
        <v>939</v>
      </c>
      <c r="H116" s="26" t="s">
        <v>4180</v>
      </c>
      <c r="I116" s="113"/>
      <c r="J116" s="91" t="str">
        <f aca="false">IF(I116="","",ROUND(F116*(1+I116/100),2))</f>
        <v/>
      </c>
      <c r="K116" s="93" t="n">
        <v>20</v>
      </c>
      <c r="L116" s="61" t="s">
        <v>95</v>
      </c>
    </row>
    <row r="117" customFormat="false" ht="15" hidden="false" customHeight="false" outlineLevel="0" collapsed="false">
      <c r="A117" s="20" t="s">
        <v>3586</v>
      </c>
      <c r="B117" s="20" t="s">
        <v>3584</v>
      </c>
      <c r="C117" s="19" t="s">
        <v>3587</v>
      </c>
      <c r="D117" s="22" t="s">
        <v>91</v>
      </c>
      <c r="E117" s="20" t="s">
        <v>3309</v>
      </c>
      <c r="F117" s="95" t="n">
        <v>12.34</v>
      </c>
      <c r="G117" s="20" t="s">
        <v>939</v>
      </c>
      <c r="H117" s="22" t="s">
        <v>4180</v>
      </c>
      <c r="I117" s="114"/>
      <c r="J117" s="95" t="str">
        <f aca="false">IF(I117="","",ROUND(F117*(1+I117/100),2))</f>
        <v/>
      </c>
      <c r="K117" s="97" t="n">
        <v>20</v>
      </c>
      <c r="L117" s="55" t="s">
        <v>95</v>
      </c>
    </row>
    <row r="118" customFormat="false" ht="15" hidden="false" customHeight="false" outlineLevel="0" collapsed="false">
      <c r="A118" s="24" t="s">
        <v>3588</v>
      </c>
      <c r="B118" s="24" t="s">
        <v>3584</v>
      </c>
      <c r="C118" s="23" t="s">
        <v>3590</v>
      </c>
      <c r="D118" s="26" t="s">
        <v>91</v>
      </c>
      <c r="E118" s="24" t="s">
        <v>3309</v>
      </c>
      <c r="F118" s="91" t="n">
        <v>14.28</v>
      </c>
      <c r="G118" s="24" t="s">
        <v>939</v>
      </c>
      <c r="H118" s="26" t="s">
        <v>4180</v>
      </c>
      <c r="I118" s="113"/>
      <c r="J118" s="91" t="str">
        <f aca="false">IF(I118="","",ROUND(F118*(1+I118/100),2))</f>
        <v/>
      </c>
      <c r="K118" s="93" t="n">
        <v>20</v>
      </c>
      <c r="L118" s="61" t="s">
        <v>95</v>
      </c>
    </row>
    <row r="119" customFormat="false" ht="15" hidden="false" customHeight="false" outlineLevel="0" collapsed="false">
      <c r="A119" s="20" t="s">
        <v>3591</v>
      </c>
      <c r="B119" s="20" t="s">
        <v>3584</v>
      </c>
      <c r="C119" s="19" t="s">
        <v>3592</v>
      </c>
      <c r="D119" s="22" t="s">
        <v>91</v>
      </c>
      <c r="E119" s="20" t="s">
        <v>3309</v>
      </c>
      <c r="F119" s="95" t="n">
        <v>9.76</v>
      </c>
      <c r="G119" s="20" t="s">
        <v>939</v>
      </c>
      <c r="H119" s="22" t="s">
        <v>4180</v>
      </c>
      <c r="I119" s="114"/>
      <c r="J119" s="95" t="str">
        <f aca="false">IF(I119="","",ROUND(F119*(1+I119/100),2))</f>
        <v/>
      </c>
      <c r="K119" s="97" t="n">
        <v>20</v>
      </c>
      <c r="L119" s="55" t="s">
        <v>95</v>
      </c>
    </row>
    <row r="120" customFormat="false" ht="15" hidden="false" customHeight="false" outlineLevel="0" collapsed="false">
      <c r="A120" s="24" t="s">
        <v>3593</v>
      </c>
      <c r="B120" s="24" t="s">
        <v>3584</v>
      </c>
      <c r="C120" s="23" t="s">
        <v>3595</v>
      </c>
      <c r="D120" s="26" t="s">
        <v>91</v>
      </c>
      <c r="E120" s="24" t="s">
        <v>3309</v>
      </c>
      <c r="F120" s="91" t="n">
        <v>3.99</v>
      </c>
      <c r="G120" s="24" t="s">
        <v>939</v>
      </c>
      <c r="H120" s="26" t="s">
        <v>4180</v>
      </c>
      <c r="I120" s="113"/>
      <c r="J120" s="91" t="str">
        <f aca="false">IF(I120="","",ROUND(F120*(1+I120/100),2))</f>
        <v/>
      </c>
      <c r="K120" s="93" t="n">
        <v>20</v>
      </c>
      <c r="L120" s="61" t="s">
        <v>95</v>
      </c>
    </row>
    <row r="121" customFormat="false" ht="15" hidden="false" customHeight="false" outlineLevel="0" collapsed="false">
      <c r="A121" s="20" t="s">
        <v>3596</v>
      </c>
      <c r="B121" s="20" t="s">
        <v>3597</v>
      </c>
      <c r="C121" s="19" t="s">
        <v>3598</v>
      </c>
      <c r="D121" s="22" t="s">
        <v>91</v>
      </c>
      <c r="E121" s="20" t="s">
        <v>3309</v>
      </c>
      <c r="F121" s="95" t="n">
        <v>15.55</v>
      </c>
      <c r="G121" s="20" t="s">
        <v>939</v>
      </c>
      <c r="H121" s="22" t="s">
        <v>4180</v>
      </c>
      <c r="I121" s="114"/>
      <c r="J121" s="95" t="str">
        <f aca="false">IF(I121="","",ROUND(F121*(1+I121/100),2))</f>
        <v/>
      </c>
      <c r="K121" s="97" t="n">
        <v>20</v>
      </c>
      <c r="L121" s="55" t="s">
        <v>95</v>
      </c>
    </row>
    <row r="122" customFormat="false" ht="15" hidden="false" customHeight="false" outlineLevel="0" collapsed="false">
      <c r="A122" s="24" t="s">
        <v>3599</v>
      </c>
      <c r="B122" s="24" t="s">
        <v>3597</v>
      </c>
      <c r="C122" s="23" t="s">
        <v>3600</v>
      </c>
      <c r="D122" s="26" t="s">
        <v>91</v>
      </c>
      <c r="E122" s="24" t="s">
        <v>3309</v>
      </c>
      <c r="F122" s="91" t="n">
        <v>31.15</v>
      </c>
      <c r="G122" s="24" t="s">
        <v>939</v>
      </c>
      <c r="H122" s="26" t="s">
        <v>4180</v>
      </c>
      <c r="I122" s="113"/>
      <c r="J122" s="91" t="str">
        <f aca="false">IF(I122="","",ROUND(F122*(1+I122/100),2))</f>
        <v/>
      </c>
      <c r="K122" s="93" t="n">
        <v>20</v>
      </c>
      <c r="L122" s="61" t="s">
        <v>95</v>
      </c>
    </row>
    <row r="123" customFormat="false" ht="15" hidden="false" customHeight="false" outlineLevel="0" collapsed="false">
      <c r="A123" s="20" t="s">
        <v>3601</v>
      </c>
      <c r="B123" s="20" t="s">
        <v>3597</v>
      </c>
      <c r="C123" s="19" t="s">
        <v>3603</v>
      </c>
      <c r="D123" s="22" t="s">
        <v>91</v>
      </c>
      <c r="E123" s="20" t="s">
        <v>3309</v>
      </c>
      <c r="F123" s="95" t="n">
        <v>13.79</v>
      </c>
      <c r="G123" s="20" t="s">
        <v>939</v>
      </c>
      <c r="H123" s="22" t="s">
        <v>4180</v>
      </c>
      <c r="I123" s="114"/>
      <c r="J123" s="95" t="str">
        <f aca="false">IF(I123="","",ROUND(F123*(1+I123/100),2))</f>
        <v/>
      </c>
      <c r="K123" s="97" t="n">
        <v>20</v>
      </c>
      <c r="L123" s="55" t="s">
        <v>95</v>
      </c>
    </row>
    <row r="124" customFormat="false" ht="15" hidden="false" customHeight="false" outlineLevel="0" collapsed="false">
      <c r="A124" s="24" t="s">
        <v>3604</v>
      </c>
      <c r="B124" s="24" t="s">
        <v>3597</v>
      </c>
      <c r="C124" s="23" t="s">
        <v>3606</v>
      </c>
      <c r="D124" s="26" t="s">
        <v>91</v>
      </c>
      <c r="E124" s="24" t="s">
        <v>3309</v>
      </c>
      <c r="F124" s="91" t="n">
        <v>20.58</v>
      </c>
      <c r="G124" s="24" t="s">
        <v>939</v>
      </c>
      <c r="H124" s="26" t="s">
        <v>4180</v>
      </c>
      <c r="I124" s="113"/>
      <c r="J124" s="91" t="str">
        <f aca="false">IF(I124="","",ROUND(F124*(1+I124/100),2))</f>
        <v/>
      </c>
      <c r="K124" s="93" t="n">
        <v>20</v>
      </c>
      <c r="L124" s="61" t="s">
        <v>95</v>
      </c>
    </row>
    <row r="125" customFormat="false" ht="15" hidden="false" customHeight="false" outlineLevel="0" collapsed="false">
      <c r="A125" s="20" t="s">
        <v>3607</v>
      </c>
      <c r="B125" s="20" t="s">
        <v>3597</v>
      </c>
      <c r="C125" s="19" t="s">
        <v>3608</v>
      </c>
      <c r="D125" s="22" t="s">
        <v>91</v>
      </c>
      <c r="E125" s="20" t="s">
        <v>3309</v>
      </c>
      <c r="F125" s="95" t="n">
        <v>199.99</v>
      </c>
      <c r="G125" s="20" t="s">
        <v>939</v>
      </c>
      <c r="H125" s="22" t="s">
        <v>4180</v>
      </c>
      <c r="I125" s="114"/>
      <c r="J125" s="95" t="str">
        <f aca="false">IF(I125="","",ROUND(F125*(1+I125/100),2))</f>
        <v/>
      </c>
      <c r="K125" s="97" t="n">
        <v>20</v>
      </c>
      <c r="L125" s="55" t="s">
        <v>95</v>
      </c>
    </row>
    <row r="126" customFormat="false" ht="15" hidden="false" customHeight="false" outlineLevel="0" collapsed="false">
      <c r="A126" s="24" t="s">
        <v>3609</v>
      </c>
      <c r="B126" s="24" t="s">
        <v>3597</v>
      </c>
      <c r="C126" s="23" t="s">
        <v>3610</v>
      </c>
      <c r="D126" s="26" t="s">
        <v>91</v>
      </c>
      <c r="E126" s="24" t="s">
        <v>3309</v>
      </c>
      <c r="F126" s="91" t="n">
        <v>184.99</v>
      </c>
      <c r="G126" s="24" t="s">
        <v>939</v>
      </c>
      <c r="H126" s="26" t="s">
        <v>4180</v>
      </c>
      <c r="I126" s="113"/>
      <c r="J126" s="91" t="str">
        <f aca="false">IF(I126="","",ROUND(F126*(1+I126/100),2))</f>
        <v/>
      </c>
      <c r="K126" s="93" t="n">
        <v>20</v>
      </c>
      <c r="L126" s="61" t="s">
        <v>95</v>
      </c>
    </row>
    <row r="127" customFormat="false" ht="15" hidden="false" customHeight="false" outlineLevel="0" collapsed="false">
      <c r="A127" s="20" t="s">
        <v>3611</v>
      </c>
      <c r="B127" s="20" t="s">
        <v>3612</v>
      </c>
      <c r="C127" s="19" t="s">
        <v>3613</v>
      </c>
      <c r="D127" s="22" t="s">
        <v>91</v>
      </c>
      <c r="E127" s="20" t="s">
        <v>3309</v>
      </c>
      <c r="F127" s="95" t="n">
        <v>7.09</v>
      </c>
      <c r="G127" s="20" t="s">
        <v>939</v>
      </c>
      <c r="H127" s="22" t="s">
        <v>4180</v>
      </c>
      <c r="I127" s="114"/>
      <c r="J127" s="95" t="str">
        <f aca="false">IF(I127="","",ROUND(F127*(1+I127/100),2))</f>
        <v/>
      </c>
      <c r="K127" s="97" t="n">
        <v>20</v>
      </c>
      <c r="L127" s="55" t="s">
        <v>95</v>
      </c>
    </row>
    <row r="128" customFormat="false" ht="15" hidden="false" customHeight="false" outlineLevel="0" collapsed="false">
      <c r="A128" s="24" t="s">
        <v>3614</v>
      </c>
      <c r="B128" s="24" t="s">
        <v>3612</v>
      </c>
      <c r="C128" s="23" t="s">
        <v>3615</v>
      </c>
      <c r="D128" s="26" t="s">
        <v>91</v>
      </c>
      <c r="E128" s="24" t="s">
        <v>3309</v>
      </c>
      <c r="F128" s="91" t="n">
        <v>8.18</v>
      </c>
      <c r="G128" s="24" t="s">
        <v>939</v>
      </c>
      <c r="H128" s="26" t="s">
        <v>4180</v>
      </c>
      <c r="I128" s="113"/>
      <c r="J128" s="91" t="str">
        <f aca="false">IF(I128="","",ROUND(F128*(1+I128/100),2))</f>
        <v/>
      </c>
      <c r="K128" s="93" t="n">
        <v>20</v>
      </c>
      <c r="L128" s="61" t="s">
        <v>95</v>
      </c>
    </row>
    <row r="129" customFormat="false" ht="15" hidden="false" customHeight="false" outlineLevel="0" collapsed="false">
      <c r="A129" s="20" t="s">
        <v>3616</v>
      </c>
      <c r="B129" s="20" t="s">
        <v>3612</v>
      </c>
      <c r="C129" s="19" t="s">
        <v>3618</v>
      </c>
      <c r="D129" s="22" t="s">
        <v>91</v>
      </c>
      <c r="E129" s="20" t="s">
        <v>3309</v>
      </c>
      <c r="F129" s="95" t="n">
        <v>8.99</v>
      </c>
      <c r="G129" s="20" t="s">
        <v>939</v>
      </c>
      <c r="H129" s="22" t="s">
        <v>4180</v>
      </c>
      <c r="I129" s="114"/>
      <c r="J129" s="95" t="str">
        <f aca="false">IF(I129="","",ROUND(F129*(1+I129/100),2))</f>
        <v/>
      </c>
      <c r="K129" s="97" t="n">
        <v>20</v>
      </c>
      <c r="L129" s="55" t="s">
        <v>95</v>
      </c>
    </row>
    <row r="130" customFormat="false" ht="15" hidden="false" customHeight="false" outlineLevel="0" collapsed="false">
      <c r="A130" s="24" t="s">
        <v>3619</v>
      </c>
      <c r="B130" s="24" t="s">
        <v>3620</v>
      </c>
      <c r="C130" s="23" t="s">
        <v>3334</v>
      </c>
      <c r="D130" s="26" t="s">
        <v>91</v>
      </c>
      <c r="E130" s="24" t="s">
        <v>3309</v>
      </c>
      <c r="F130" s="91" t="n">
        <v>5.05</v>
      </c>
      <c r="G130" s="24" t="s">
        <v>939</v>
      </c>
      <c r="H130" s="26" t="s">
        <v>4180</v>
      </c>
      <c r="I130" s="113"/>
      <c r="J130" s="91" t="str">
        <f aca="false">IF(I130="","",ROUND(F130*(1+I130/100),2))</f>
        <v/>
      </c>
      <c r="K130" s="93" t="n">
        <v>20</v>
      </c>
      <c r="L130" s="61" t="s">
        <v>95</v>
      </c>
    </row>
    <row r="131" customFormat="false" ht="15" hidden="false" customHeight="false" outlineLevel="0" collapsed="false">
      <c r="A131" s="20" t="s">
        <v>3621</v>
      </c>
      <c r="B131" s="20" t="s">
        <v>3620</v>
      </c>
      <c r="C131" s="19" t="s">
        <v>3336</v>
      </c>
      <c r="D131" s="22" t="s">
        <v>91</v>
      </c>
      <c r="E131" s="20" t="s">
        <v>3309</v>
      </c>
      <c r="F131" s="95" t="n">
        <v>8.04</v>
      </c>
      <c r="G131" s="20" t="s">
        <v>939</v>
      </c>
      <c r="H131" s="22" t="s">
        <v>4180</v>
      </c>
      <c r="I131" s="114"/>
      <c r="J131" s="95" t="str">
        <f aca="false">IF(I131="","",ROUND(F131*(1+I131/100),2))</f>
        <v/>
      </c>
      <c r="K131" s="97" t="n">
        <v>20</v>
      </c>
      <c r="L131" s="55" t="s">
        <v>95</v>
      </c>
    </row>
    <row r="132" customFormat="false" ht="15" hidden="false" customHeight="false" outlineLevel="0" collapsed="false">
      <c r="A132" s="24" t="s">
        <v>3622</v>
      </c>
      <c r="B132" s="24" t="s">
        <v>3620</v>
      </c>
      <c r="C132" s="23" t="s">
        <v>3350</v>
      </c>
      <c r="D132" s="26" t="s">
        <v>91</v>
      </c>
      <c r="E132" s="24" t="s">
        <v>3309</v>
      </c>
      <c r="F132" s="91" t="n">
        <v>19.2</v>
      </c>
      <c r="G132" s="24" t="s">
        <v>939</v>
      </c>
      <c r="H132" s="26" t="s">
        <v>4180</v>
      </c>
      <c r="I132" s="113"/>
      <c r="J132" s="91" t="str">
        <f aca="false">IF(I132="","",ROUND(F132*(1+I132/100),2))</f>
        <v/>
      </c>
      <c r="K132" s="93" t="n">
        <v>20</v>
      </c>
      <c r="L132" s="61" t="s">
        <v>95</v>
      </c>
    </row>
    <row r="133" customFormat="false" ht="15" hidden="false" customHeight="false" outlineLevel="0" collapsed="false">
      <c r="A133" s="20" t="s">
        <v>3623</v>
      </c>
      <c r="B133" s="20" t="s">
        <v>3620</v>
      </c>
      <c r="C133" s="19" t="s">
        <v>3434</v>
      </c>
      <c r="D133" s="22" t="s">
        <v>91</v>
      </c>
      <c r="E133" s="20" t="s">
        <v>3309</v>
      </c>
      <c r="F133" s="95" t="n">
        <v>14.67</v>
      </c>
      <c r="G133" s="20" t="s">
        <v>939</v>
      </c>
      <c r="H133" s="22" t="s">
        <v>4180</v>
      </c>
      <c r="I133" s="114"/>
      <c r="J133" s="95" t="str">
        <f aca="false">IF(I133="","",ROUND(F133*(1+I133/100),2))</f>
        <v/>
      </c>
      <c r="K133" s="97" t="n">
        <v>20</v>
      </c>
      <c r="L133" s="55" t="s">
        <v>95</v>
      </c>
    </row>
    <row r="134" customFormat="false" ht="15" hidden="false" customHeight="false" outlineLevel="0" collapsed="false">
      <c r="A134" s="24" t="s">
        <v>3624</v>
      </c>
      <c r="B134" s="24" t="s">
        <v>3620</v>
      </c>
      <c r="C134" s="23" t="s">
        <v>3436</v>
      </c>
      <c r="D134" s="26" t="s">
        <v>91</v>
      </c>
      <c r="E134" s="24" t="s">
        <v>3309</v>
      </c>
      <c r="F134" s="91" t="n">
        <v>15.55</v>
      </c>
      <c r="G134" s="24" t="s">
        <v>939</v>
      </c>
      <c r="H134" s="26" t="s">
        <v>4180</v>
      </c>
      <c r="I134" s="113"/>
      <c r="J134" s="91" t="str">
        <f aca="false">IF(I134="","",ROUND(F134*(1+I134/100),2))</f>
        <v/>
      </c>
      <c r="K134" s="93" t="n">
        <v>20</v>
      </c>
      <c r="L134" s="61" t="s">
        <v>95</v>
      </c>
    </row>
    <row r="135" customFormat="false" ht="15" hidden="false" customHeight="false" outlineLevel="0" collapsed="false">
      <c r="A135" s="20" t="s">
        <v>3625</v>
      </c>
      <c r="B135" s="20" t="s">
        <v>3620</v>
      </c>
      <c r="C135" s="19" t="s">
        <v>3410</v>
      </c>
      <c r="D135" s="22" t="s">
        <v>91</v>
      </c>
      <c r="E135" s="20" t="s">
        <v>3309</v>
      </c>
      <c r="F135" s="95" t="n">
        <v>10.55</v>
      </c>
      <c r="G135" s="20" t="s">
        <v>939</v>
      </c>
      <c r="H135" s="22" t="s">
        <v>4180</v>
      </c>
      <c r="I135" s="114"/>
      <c r="J135" s="95" t="str">
        <f aca="false">IF(I135="","",ROUND(F135*(1+I135/100),2))</f>
        <v/>
      </c>
      <c r="K135" s="97" t="n">
        <v>20</v>
      </c>
      <c r="L135" s="55" t="s">
        <v>95</v>
      </c>
    </row>
    <row r="136" customFormat="false" ht="15" hidden="false" customHeight="false" outlineLevel="0" collapsed="false">
      <c r="A136" s="24" t="s">
        <v>3626</v>
      </c>
      <c r="B136" s="24" t="s">
        <v>3620</v>
      </c>
      <c r="C136" s="23" t="s">
        <v>3412</v>
      </c>
      <c r="D136" s="26" t="s">
        <v>91</v>
      </c>
      <c r="E136" s="24" t="s">
        <v>3309</v>
      </c>
      <c r="F136" s="91" t="n">
        <v>10.95</v>
      </c>
      <c r="G136" s="24" t="s">
        <v>939</v>
      </c>
      <c r="H136" s="26" t="s">
        <v>4180</v>
      </c>
      <c r="I136" s="113"/>
      <c r="J136" s="91" t="str">
        <f aca="false">IF(I136="","",ROUND(F136*(1+I136/100),2))</f>
        <v/>
      </c>
      <c r="K136" s="93" t="n">
        <v>20</v>
      </c>
      <c r="L136" s="61" t="s">
        <v>95</v>
      </c>
    </row>
    <row r="137" customFormat="false" ht="15" hidden="false" customHeight="false" outlineLevel="0" collapsed="false">
      <c r="A137" s="20" t="s">
        <v>3627</v>
      </c>
      <c r="B137" s="20" t="s">
        <v>3620</v>
      </c>
      <c r="C137" s="19" t="s">
        <v>3414</v>
      </c>
      <c r="D137" s="22" t="s">
        <v>91</v>
      </c>
      <c r="E137" s="20" t="s">
        <v>3309</v>
      </c>
      <c r="F137" s="95" t="n">
        <v>9.86</v>
      </c>
      <c r="G137" s="20" t="s">
        <v>939</v>
      </c>
      <c r="H137" s="22" t="s">
        <v>4180</v>
      </c>
      <c r="I137" s="114"/>
      <c r="J137" s="95" t="str">
        <f aca="false">IF(I137="","",ROUND(F137*(1+I137/100),2))</f>
        <v/>
      </c>
      <c r="K137" s="97" t="n">
        <v>20</v>
      </c>
      <c r="L137" s="55" t="s">
        <v>95</v>
      </c>
    </row>
    <row r="138" customFormat="false" ht="15" hidden="false" customHeight="false" outlineLevel="0" collapsed="false">
      <c r="A138" s="24" t="s">
        <v>3628</v>
      </c>
      <c r="B138" s="24" t="s">
        <v>3620</v>
      </c>
      <c r="C138" s="23" t="s">
        <v>3416</v>
      </c>
      <c r="D138" s="26" t="s">
        <v>91</v>
      </c>
      <c r="E138" s="24" t="s">
        <v>3309</v>
      </c>
      <c r="F138" s="91" t="n">
        <v>9.86</v>
      </c>
      <c r="G138" s="24" t="s">
        <v>939</v>
      </c>
      <c r="H138" s="26" t="s">
        <v>4180</v>
      </c>
      <c r="I138" s="113"/>
      <c r="J138" s="91" t="str">
        <f aca="false">IF(I138="","",ROUND(F138*(1+I138/100),2))</f>
        <v/>
      </c>
      <c r="K138" s="93" t="n">
        <v>20</v>
      </c>
      <c r="L138" s="61" t="s">
        <v>95</v>
      </c>
    </row>
    <row r="139" customFormat="false" ht="15" hidden="false" customHeight="false" outlineLevel="0" collapsed="false">
      <c r="A139" s="20" t="s">
        <v>3629</v>
      </c>
      <c r="B139" s="20" t="s">
        <v>3620</v>
      </c>
      <c r="C139" s="19" t="s">
        <v>3418</v>
      </c>
      <c r="D139" s="22" t="s">
        <v>91</v>
      </c>
      <c r="E139" s="20" t="s">
        <v>3309</v>
      </c>
      <c r="F139" s="95" t="n">
        <v>5.87</v>
      </c>
      <c r="G139" s="20" t="s">
        <v>939</v>
      </c>
      <c r="H139" s="22" t="s">
        <v>4180</v>
      </c>
      <c r="I139" s="114"/>
      <c r="J139" s="95" t="str">
        <f aca="false">IF(I139="","",ROUND(F139*(1+I139/100),2))</f>
        <v/>
      </c>
      <c r="K139" s="97" t="n">
        <v>20</v>
      </c>
      <c r="L139" s="55" t="s">
        <v>95</v>
      </c>
    </row>
    <row r="140" customFormat="false" ht="15" hidden="false" customHeight="false" outlineLevel="0" collapsed="false">
      <c r="A140" s="24" t="s">
        <v>3630</v>
      </c>
      <c r="B140" s="24" t="s">
        <v>3620</v>
      </c>
      <c r="C140" s="23" t="s">
        <v>3421</v>
      </c>
      <c r="D140" s="26" t="s">
        <v>91</v>
      </c>
      <c r="E140" s="24" t="s">
        <v>3309</v>
      </c>
      <c r="F140" s="91" t="n">
        <v>13.17</v>
      </c>
      <c r="G140" s="24" t="s">
        <v>939</v>
      </c>
      <c r="H140" s="26" t="s">
        <v>4180</v>
      </c>
      <c r="I140" s="113"/>
      <c r="J140" s="91" t="str">
        <f aca="false">IF(I140="","",ROUND(F140*(1+I140/100),2))</f>
        <v/>
      </c>
      <c r="K140" s="93" t="n">
        <v>20</v>
      </c>
      <c r="L140" s="61" t="s">
        <v>95</v>
      </c>
    </row>
    <row r="141" customFormat="false" ht="15" hidden="false" customHeight="false" outlineLevel="0" collapsed="false">
      <c r="A141" s="20" t="s">
        <v>3631</v>
      </c>
      <c r="B141" s="20" t="s">
        <v>3620</v>
      </c>
      <c r="C141" s="19" t="s">
        <v>3424</v>
      </c>
      <c r="D141" s="22" t="s">
        <v>91</v>
      </c>
      <c r="E141" s="20" t="s">
        <v>3309</v>
      </c>
      <c r="F141" s="95" t="n">
        <v>6.65</v>
      </c>
      <c r="G141" s="20" t="s">
        <v>939</v>
      </c>
      <c r="H141" s="22" t="s">
        <v>4180</v>
      </c>
      <c r="I141" s="114"/>
      <c r="J141" s="95" t="str">
        <f aca="false">IF(I141="","",ROUND(F141*(1+I141/100),2))</f>
        <v/>
      </c>
      <c r="K141" s="97" t="n">
        <v>20</v>
      </c>
      <c r="L141" s="55" t="s">
        <v>95</v>
      </c>
    </row>
    <row r="142" customFormat="false" ht="15" hidden="false" customHeight="false" outlineLevel="0" collapsed="false">
      <c r="A142" s="24" t="s">
        <v>3632</v>
      </c>
      <c r="B142" s="24" t="s">
        <v>3620</v>
      </c>
      <c r="C142" s="23" t="s">
        <v>3366</v>
      </c>
      <c r="D142" s="26" t="s">
        <v>91</v>
      </c>
      <c r="E142" s="24" t="s">
        <v>3309</v>
      </c>
      <c r="F142" s="91" t="n">
        <v>17.48</v>
      </c>
      <c r="G142" s="24" t="s">
        <v>939</v>
      </c>
      <c r="H142" s="26" t="s">
        <v>4180</v>
      </c>
      <c r="I142" s="113"/>
      <c r="J142" s="91" t="str">
        <f aca="false">IF(I142="","",ROUND(F142*(1+I142/100),2))</f>
        <v/>
      </c>
      <c r="K142" s="93" t="n">
        <v>20</v>
      </c>
      <c r="L142" s="61" t="s">
        <v>95</v>
      </c>
    </row>
    <row r="143" customFormat="false" ht="15" hidden="false" customHeight="false" outlineLevel="0" collapsed="false">
      <c r="A143" s="20" t="s">
        <v>3633</v>
      </c>
      <c r="B143" s="20" t="s">
        <v>3620</v>
      </c>
      <c r="C143" s="19" t="s">
        <v>3372</v>
      </c>
      <c r="D143" s="22" t="s">
        <v>91</v>
      </c>
      <c r="E143" s="20" t="s">
        <v>3309</v>
      </c>
      <c r="F143" s="95" t="n">
        <v>15.77</v>
      </c>
      <c r="G143" s="20" t="s">
        <v>939</v>
      </c>
      <c r="H143" s="22" t="s">
        <v>4180</v>
      </c>
      <c r="I143" s="114"/>
      <c r="J143" s="95" t="str">
        <f aca="false">IF(I143="","",ROUND(F143*(1+I143/100),2))</f>
        <v/>
      </c>
      <c r="K143" s="97" t="n">
        <v>20</v>
      </c>
      <c r="L143" s="55" t="s">
        <v>95</v>
      </c>
    </row>
    <row r="144" customFormat="false" ht="15" hidden="false" customHeight="false" outlineLevel="0" collapsed="false">
      <c r="A144" s="24" t="s">
        <v>3634</v>
      </c>
      <c r="B144" s="24" t="s">
        <v>3620</v>
      </c>
      <c r="C144" s="23" t="s">
        <v>3375</v>
      </c>
      <c r="D144" s="26" t="s">
        <v>91</v>
      </c>
      <c r="E144" s="24" t="s">
        <v>3309</v>
      </c>
      <c r="F144" s="91" t="n">
        <v>6.99</v>
      </c>
      <c r="G144" s="24" t="s">
        <v>939</v>
      </c>
      <c r="H144" s="26" t="s">
        <v>4180</v>
      </c>
      <c r="I144" s="113"/>
      <c r="J144" s="91" t="str">
        <f aca="false">IF(I144="","",ROUND(F144*(1+I144/100),2))</f>
        <v/>
      </c>
      <c r="K144" s="93" t="n">
        <v>20</v>
      </c>
      <c r="L144" s="61" t="s">
        <v>95</v>
      </c>
    </row>
    <row r="145" customFormat="false" ht="15" hidden="false" customHeight="false" outlineLevel="0" collapsed="false">
      <c r="A145" s="20" t="s">
        <v>3635</v>
      </c>
      <c r="B145" s="20" t="s">
        <v>3620</v>
      </c>
      <c r="C145" s="19" t="s">
        <v>3378</v>
      </c>
      <c r="D145" s="22" t="s">
        <v>91</v>
      </c>
      <c r="E145" s="20" t="s">
        <v>3309</v>
      </c>
      <c r="F145" s="95" t="n">
        <v>5.69</v>
      </c>
      <c r="G145" s="20" t="s">
        <v>939</v>
      </c>
      <c r="H145" s="22" t="s">
        <v>4180</v>
      </c>
      <c r="I145" s="114"/>
      <c r="J145" s="95" t="str">
        <f aca="false">IF(I145="","",ROUND(F145*(1+I145/100),2))</f>
        <v/>
      </c>
      <c r="K145" s="97" t="n">
        <v>20</v>
      </c>
      <c r="L145" s="55" t="s">
        <v>95</v>
      </c>
    </row>
    <row r="146" customFormat="false" ht="15" hidden="false" customHeight="false" outlineLevel="0" collapsed="false">
      <c r="A146" s="24" t="s">
        <v>3636</v>
      </c>
      <c r="B146" s="24" t="s">
        <v>3620</v>
      </c>
      <c r="C146" s="23" t="s">
        <v>3381</v>
      </c>
      <c r="D146" s="26" t="s">
        <v>91</v>
      </c>
      <c r="E146" s="24" t="s">
        <v>3309</v>
      </c>
      <c r="F146" s="91" t="n">
        <v>10.99</v>
      </c>
      <c r="G146" s="24" t="s">
        <v>939</v>
      </c>
      <c r="H146" s="26" t="s">
        <v>4180</v>
      </c>
      <c r="I146" s="113"/>
      <c r="J146" s="91" t="str">
        <f aca="false">IF(I146="","",ROUND(F146*(1+I146/100),2))</f>
        <v/>
      </c>
      <c r="K146" s="93" t="n">
        <v>20</v>
      </c>
      <c r="L146" s="61" t="s">
        <v>95</v>
      </c>
    </row>
    <row r="147" customFormat="false" ht="15" hidden="false" customHeight="false" outlineLevel="0" collapsed="false">
      <c r="A147" s="20" t="s">
        <v>3637</v>
      </c>
      <c r="B147" s="20" t="s">
        <v>3620</v>
      </c>
      <c r="C147" s="19" t="s">
        <v>3384</v>
      </c>
      <c r="D147" s="22" t="s">
        <v>91</v>
      </c>
      <c r="E147" s="20" t="s">
        <v>3309</v>
      </c>
      <c r="F147" s="95" t="n">
        <v>13.51</v>
      </c>
      <c r="G147" s="20" t="s">
        <v>939</v>
      </c>
      <c r="H147" s="22" t="s">
        <v>4180</v>
      </c>
      <c r="I147" s="114"/>
      <c r="J147" s="95" t="str">
        <f aca="false">IF(I147="","",ROUND(F147*(1+I147/100),2))</f>
        <v/>
      </c>
      <c r="K147" s="97" t="n">
        <v>20</v>
      </c>
      <c r="L147" s="55" t="s">
        <v>95</v>
      </c>
    </row>
    <row r="148" customFormat="false" ht="15" hidden="false" customHeight="false" outlineLevel="0" collapsed="false">
      <c r="A148" s="24" t="s">
        <v>3638</v>
      </c>
      <c r="B148" s="24" t="s">
        <v>3620</v>
      </c>
      <c r="C148" s="23" t="s">
        <v>3387</v>
      </c>
      <c r="D148" s="26" t="s">
        <v>91</v>
      </c>
      <c r="E148" s="24" t="s">
        <v>3309</v>
      </c>
      <c r="F148" s="91" t="n">
        <v>13.81</v>
      </c>
      <c r="G148" s="24" t="s">
        <v>939</v>
      </c>
      <c r="H148" s="26" t="s">
        <v>4180</v>
      </c>
      <c r="I148" s="113"/>
      <c r="J148" s="91" t="str">
        <f aca="false">IF(I148="","",ROUND(F148*(1+I148/100),2))</f>
        <v/>
      </c>
      <c r="K148" s="93" t="n">
        <v>20</v>
      </c>
      <c r="L148" s="61" t="s">
        <v>95</v>
      </c>
    </row>
    <row r="149" customFormat="false" ht="15" hidden="false" customHeight="false" outlineLevel="0" collapsed="false">
      <c r="A149" s="20" t="s">
        <v>3639</v>
      </c>
      <c r="B149" s="20" t="s">
        <v>3620</v>
      </c>
      <c r="C149" s="19" t="s">
        <v>3390</v>
      </c>
      <c r="D149" s="22" t="s">
        <v>91</v>
      </c>
      <c r="E149" s="20" t="s">
        <v>3309</v>
      </c>
      <c r="F149" s="95" t="n">
        <v>4.09</v>
      </c>
      <c r="G149" s="20" t="s">
        <v>939</v>
      </c>
      <c r="H149" s="22" t="s">
        <v>4180</v>
      </c>
      <c r="I149" s="114"/>
      <c r="J149" s="95" t="str">
        <f aca="false">IF(I149="","",ROUND(F149*(1+I149/100),2))</f>
        <v/>
      </c>
      <c r="K149" s="97" t="n">
        <v>20</v>
      </c>
      <c r="L149" s="55" t="s">
        <v>95</v>
      </c>
    </row>
    <row r="150" customFormat="false" ht="15" hidden="false" customHeight="false" outlineLevel="0" collapsed="false">
      <c r="A150" s="24" t="s">
        <v>3640</v>
      </c>
      <c r="B150" s="24" t="s">
        <v>3620</v>
      </c>
      <c r="C150" s="23" t="s">
        <v>3393</v>
      </c>
      <c r="D150" s="26" t="s">
        <v>91</v>
      </c>
      <c r="E150" s="24" t="s">
        <v>3309</v>
      </c>
      <c r="F150" s="91" t="n">
        <v>15.99</v>
      </c>
      <c r="G150" s="24" t="s">
        <v>939</v>
      </c>
      <c r="H150" s="26" t="s">
        <v>4180</v>
      </c>
      <c r="I150" s="113"/>
      <c r="J150" s="91" t="str">
        <f aca="false">IF(I150="","",ROUND(F150*(1+I150/100),2))</f>
        <v/>
      </c>
      <c r="K150" s="93" t="n">
        <v>20</v>
      </c>
      <c r="L150" s="61" t="s">
        <v>95</v>
      </c>
    </row>
    <row r="151" customFormat="false" ht="15" hidden="false" customHeight="false" outlineLevel="0" collapsed="false">
      <c r="A151" s="20" t="s">
        <v>3641</v>
      </c>
      <c r="B151" s="20" t="s">
        <v>3620</v>
      </c>
      <c r="C151" s="19" t="s">
        <v>3643</v>
      </c>
      <c r="D151" s="22" t="s">
        <v>91</v>
      </c>
      <c r="E151" s="20" t="s">
        <v>3309</v>
      </c>
      <c r="F151" s="95" t="n">
        <v>11.86</v>
      </c>
      <c r="G151" s="20" t="s">
        <v>939</v>
      </c>
      <c r="H151" s="22" t="s">
        <v>4180</v>
      </c>
      <c r="I151" s="114"/>
      <c r="J151" s="95" t="str">
        <f aca="false">IF(I151="","",ROUND(F151*(1+I151/100),2))</f>
        <v/>
      </c>
      <c r="K151" s="97" t="n">
        <v>20</v>
      </c>
      <c r="L151" s="55" t="s">
        <v>95</v>
      </c>
    </row>
  </sheetData>
  <autoFilter ref="A1:L151"/>
  <hyperlinks>
    <hyperlink ref="L2" r:id="rId1" display="Voir la fiche"/>
    <hyperlink ref="L3" r:id="rId2" display="Voir la fiche"/>
    <hyperlink ref="L4" r:id="rId3" display="Voir la fiche"/>
    <hyperlink ref="L5" r:id="rId4" display="Voir la fiche"/>
    <hyperlink ref="L6" r:id="rId5" display="Voir la fiche"/>
    <hyperlink ref="L7" r:id="rId6" display="Voir la fiche"/>
    <hyperlink ref="L8" r:id="rId7" display="Voir la fiche"/>
    <hyperlink ref="L9" r:id="rId8" display="Voir la fiche"/>
    <hyperlink ref="L10" r:id="rId9" display="Voir la fiche"/>
    <hyperlink ref="L11" r:id="rId10" display="Voir la fiche"/>
    <hyperlink ref="L12" r:id="rId11" display="Voir la fiche"/>
    <hyperlink ref="L13" r:id="rId12" display="Voir la fiche"/>
    <hyperlink ref="L14" r:id="rId13" display="Voir la fiche"/>
    <hyperlink ref="L15" r:id="rId14" display="Voir la fiche"/>
    <hyperlink ref="L16" r:id="rId15" display="Voir la fiche"/>
    <hyperlink ref="L17" r:id="rId16" display="Voir la fiche"/>
    <hyperlink ref="L18" r:id="rId17" display="Voir la fiche"/>
    <hyperlink ref="L19" r:id="rId18" display="Voir la fiche"/>
    <hyperlink ref="L20" r:id="rId19" display="Voir la fiche"/>
    <hyperlink ref="L21" r:id="rId20" display="Voir la fiche"/>
    <hyperlink ref="L22" r:id="rId21" display="Voir la fiche"/>
    <hyperlink ref="L23" r:id="rId22" display="Voir la fiche"/>
    <hyperlink ref="L24" r:id="rId23" display="Voir la fiche"/>
    <hyperlink ref="L25" r:id="rId24" display="Voir la fiche"/>
    <hyperlink ref="L26" r:id="rId25" display="Voir la fiche"/>
    <hyperlink ref="L27" r:id="rId26" display="Voir la fiche"/>
    <hyperlink ref="L28" r:id="rId27" display="Voir la fiche"/>
    <hyperlink ref="L29" r:id="rId28" display="Voir la fiche"/>
    <hyperlink ref="L30" r:id="rId29" display="Voir la fiche"/>
    <hyperlink ref="L31" r:id="rId30" display="Voir la fiche"/>
    <hyperlink ref="L32" r:id="rId31" display="Voir la fiche"/>
    <hyperlink ref="L33" r:id="rId32" display="Voir la fiche"/>
    <hyperlink ref="L34" r:id="rId33" display="Voir la fiche"/>
    <hyperlink ref="L35" r:id="rId34" display="Voir la fiche"/>
    <hyperlink ref="L36" r:id="rId35" display="Voir la fiche"/>
    <hyperlink ref="L37" r:id="rId36" display="Voir la fiche"/>
    <hyperlink ref="L38" r:id="rId37" display="Voir la fiche"/>
    <hyperlink ref="L39" r:id="rId38" display="Voir la fiche"/>
    <hyperlink ref="L40" r:id="rId39" display="Voir la fiche"/>
    <hyperlink ref="L41" r:id="rId40" display="Voir la fiche"/>
    <hyperlink ref="L42" r:id="rId41" display="Voir la fiche"/>
    <hyperlink ref="L43" r:id="rId42" display="Voir la fiche"/>
    <hyperlink ref="L44" r:id="rId43" display="Voir la fiche"/>
    <hyperlink ref="L45" r:id="rId44" display="Voir la fiche"/>
    <hyperlink ref="L46" r:id="rId45" display="Voir la fiche"/>
    <hyperlink ref="L47" r:id="rId46" display="Voir la fiche"/>
    <hyperlink ref="L48" r:id="rId47" display="Voir la fiche"/>
    <hyperlink ref="L49" r:id="rId48" display="Voir la fiche"/>
    <hyperlink ref="L50" r:id="rId49" display="Voir la fiche"/>
    <hyperlink ref="L51" r:id="rId50" display="Voir la fiche"/>
    <hyperlink ref="L52" r:id="rId51" display="Voir la fiche"/>
    <hyperlink ref="L53" r:id="rId52" display="Voir la fiche"/>
    <hyperlink ref="L54" r:id="rId53" display="Voir la fiche"/>
    <hyperlink ref="L55" r:id="rId54" display="Voir la fiche"/>
    <hyperlink ref="L56" r:id="rId55" display="Voir la fiche"/>
    <hyperlink ref="L57" r:id="rId56" display="Voir la fiche"/>
    <hyperlink ref="L58" r:id="rId57" display="Voir la fiche"/>
    <hyperlink ref="L59" r:id="rId58" display="Voir la fiche"/>
    <hyperlink ref="L60" r:id="rId59" display="Voir la fiche"/>
    <hyperlink ref="L61" r:id="rId60" display="Voir la fiche"/>
    <hyperlink ref="L62" r:id="rId61" display="Voir la fiche"/>
    <hyperlink ref="L63" r:id="rId62" display="Voir la fiche"/>
    <hyperlink ref="L64" r:id="rId63" display="Voir la fiche"/>
    <hyperlink ref="L65" r:id="rId64" display="Voir la fiche"/>
    <hyperlink ref="L66" r:id="rId65" display="Voir la fiche"/>
    <hyperlink ref="L67" r:id="rId66" display="Voir la fiche"/>
    <hyperlink ref="L68" r:id="rId67" display="Voir la fiche"/>
    <hyperlink ref="L69" r:id="rId68" display="Voir la fiche"/>
    <hyperlink ref="L70" r:id="rId69" display="Voir la fiche"/>
    <hyperlink ref="L71" r:id="rId70" display="Voir la fiche"/>
    <hyperlink ref="L72" r:id="rId71" display="Voir la fiche"/>
    <hyperlink ref="L73" r:id="rId72" display="Voir la fiche"/>
    <hyperlink ref="L74" r:id="rId73" display="Voir la fiche"/>
    <hyperlink ref="L75" r:id="rId74" display="Voir la fiche"/>
    <hyperlink ref="L76" r:id="rId75" display="Voir la fiche"/>
    <hyperlink ref="L77" r:id="rId76" display="Voir la fiche"/>
    <hyperlink ref="L78" r:id="rId77" display="Voir la fiche"/>
    <hyperlink ref="L79" r:id="rId78" display="Voir la fiche"/>
    <hyperlink ref="L80" r:id="rId79" display="Voir la fiche"/>
    <hyperlink ref="L81" r:id="rId80" display="Voir la fiche"/>
    <hyperlink ref="L82" r:id="rId81" display="Voir la fiche"/>
    <hyperlink ref="L83" r:id="rId82" display="Voir la fiche"/>
    <hyperlink ref="L84" r:id="rId83" display="Voir la fiche"/>
    <hyperlink ref="L85" r:id="rId84" display="Voir la fiche"/>
    <hyperlink ref="L86" r:id="rId85" display="Voir la fiche"/>
    <hyperlink ref="L87" r:id="rId86" display="Voir la fiche"/>
    <hyperlink ref="L88" r:id="rId87" display="Voir la fiche"/>
    <hyperlink ref="L89" r:id="rId88" display="Voir la fiche"/>
    <hyperlink ref="L90" r:id="rId89" display="Voir la fiche"/>
    <hyperlink ref="L91" r:id="rId90" display="Voir la fiche"/>
    <hyperlink ref="L92" r:id="rId91" display="Voir la fiche"/>
    <hyperlink ref="L93" r:id="rId92" display="Voir la fiche"/>
    <hyperlink ref="L94" r:id="rId93" display="Voir la fiche"/>
    <hyperlink ref="L95" r:id="rId94" display="Voir la fiche"/>
    <hyperlink ref="L96" r:id="rId95" display="Voir la fiche"/>
    <hyperlink ref="L97" r:id="rId96" display="Voir la fiche"/>
    <hyperlink ref="L98" r:id="rId97" display="Voir la fiche"/>
    <hyperlink ref="L99" r:id="rId98" display="Voir la fiche"/>
    <hyperlink ref="L100" r:id="rId99" display="Voir la fiche"/>
    <hyperlink ref="L101" r:id="rId100" display="Voir la fiche"/>
    <hyperlink ref="L102" r:id="rId101" display="Voir la fiche"/>
    <hyperlink ref="L103" r:id="rId102" display="Voir la fiche"/>
    <hyperlink ref="L104" r:id="rId103" display="Voir la fiche"/>
    <hyperlink ref="L105" r:id="rId104" display="Voir la fiche"/>
    <hyperlink ref="L106" r:id="rId105" display="Voir la fiche"/>
    <hyperlink ref="L107" r:id="rId106" display="Voir la fiche"/>
    <hyperlink ref="L108" r:id="rId107" display="Voir la fiche"/>
    <hyperlink ref="L109" r:id="rId108" display="Voir la fiche"/>
    <hyperlink ref="L110" r:id="rId109" display="Voir la fiche"/>
    <hyperlink ref="L111" r:id="rId110" display="Voir la fiche"/>
    <hyperlink ref="L112" r:id="rId111" display="Voir la fiche"/>
    <hyperlink ref="L113" r:id="rId112" display="Voir la fiche"/>
    <hyperlink ref="L114" r:id="rId113" display="Voir la fiche"/>
    <hyperlink ref="L115" r:id="rId114" display="Voir la fiche"/>
    <hyperlink ref="L116" r:id="rId115" display="Voir la fiche"/>
    <hyperlink ref="L117" r:id="rId116" display="Voir la fiche"/>
    <hyperlink ref="L118" r:id="rId117" display="Voir la fiche"/>
    <hyperlink ref="L119" r:id="rId118" display="Voir la fiche"/>
    <hyperlink ref="L120" r:id="rId119" display="Voir la fiche"/>
    <hyperlink ref="L121" r:id="rId120" display="Voir la fiche"/>
    <hyperlink ref="L122" r:id="rId121" display="Voir la fiche"/>
    <hyperlink ref="L123" r:id="rId122" display="Voir la fiche"/>
    <hyperlink ref="L124" r:id="rId123" display="Voir la fiche"/>
    <hyperlink ref="L125" r:id="rId124" display="Voir la fiche"/>
    <hyperlink ref="L126" r:id="rId125" display="Voir la fiche"/>
    <hyperlink ref="L127" r:id="rId126" display="Voir la fiche"/>
    <hyperlink ref="L128" r:id="rId127" display="Voir la fiche"/>
    <hyperlink ref="L129" r:id="rId128" display="Voir la fiche"/>
    <hyperlink ref="L130" r:id="rId129" display="Voir la fiche"/>
    <hyperlink ref="L131" r:id="rId130" display="Voir la fiche"/>
    <hyperlink ref="L132" r:id="rId131" display="Voir la fiche"/>
    <hyperlink ref="L133" r:id="rId132" display="Voir la fiche"/>
    <hyperlink ref="L134" r:id="rId133" display="Voir la fiche"/>
    <hyperlink ref="L135" r:id="rId134" display="Voir la fiche"/>
    <hyperlink ref="L136" r:id="rId135" display="Voir la fiche"/>
    <hyperlink ref="L137" r:id="rId136" display="Voir la fiche"/>
    <hyperlink ref="L138" r:id="rId137" display="Voir la fiche"/>
    <hyperlink ref="L139" r:id="rId138" display="Voir la fiche"/>
    <hyperlink ref="L140" r:id="rId139" display="Voir la fiche"/>
    <hyperlink ref="L141" r:id="rId140" display="Voir la fiche"/>
    <hyperlink ref="L142" r:id="rId141" display="Voir la fiche"/>
    <hyperlink ref="L143" r:id="rId142" display="Voir la fiche"/>
    <hyperlink ref="L144" r:id="rId143" display="Voir la fiche"/>
    <hyperlink ref="L145" r:id="rId144" display="Voir la fiche"/>
    <hyperlink ref="L146" r:id="rId145" display="Voir la fiche"/>
    <hyperlink ref="L147" r:id="rId146" display="Voir la fiche"/>
    <hyperlink ref="L148" r:id="rId147" display="Voir la fiche"/>
    <hyperlink ref="L149" r:id="rId148" display="Voir la fiche"/>
    <hyperlink ref="L150" r:id="rId149" display="Voir la fiche"/>
    <hyperlink ref="L151" r:id="rId150" display="Voir la fich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5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6500"/>
    <pageSetUpPr fitToPage="true"/>
  </sheetPr>
  <dimension ref="A1:I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44"/>
    <col collapsed="false" customWidth="true" hidden="false" outlineLevel="0" max="4" min="4" style="0" width="8"/>
    <col collapsed="false" customWidth="true" hidden="false" outlineLevel="0" max="5" min="5" style="0" width="30"/>
    <col collapsed="false" customWidth="true" hidden="false" outlineLevel="0" max="6" min="6" style="0" width="14"/>
    <col collapsed="false" customWidth="true" hidden="false" outlineLevel="0" max="7" min="7" style="0" width="18"/>
    <col collapsed="false" customWidth="true" hidden="false" outlineLevel="0" max="8" min="8" style="0" width="11"/>
    <col collapsed="false" customWidth="true" hidden="false" outlineLevel="0" max="9" min="9" style="0" width="44"/>
  </cols>
  <sheetData>
    <row r="1" customFormat="false" ht="36" hidden="false" customHeight="true" outlineLevel="0" collapsed="false">
      <c r="A1" s="72" t="s">
        <v>45</v>
      </c>
      <c r="B1" s="72" t="s">
        <v>928</v>
      </c>
      <c r="C1" s="72" t="s">
        <v>36</v>
      </c>
      <c r="D1" s="72" t="s">
        <v>75</v>
      </c>
      <c r="E1" s="72" t="s">
        <v>4501</v>
      </c>
      <c r="F1" s="72" t="s">
        <v>4171</v>
      </c>
      <c r="G1" s="72" t="s">
        <v>4502</v>
      </c>
      <c r="H1" s="72" t="s">
        <v>4503</v>
      </c>
      <c r="I1" s="72" t="s">
        <v>3648</v>
      </c>
    </row>
    <row r="2" customFormat="false" ht="23.85" hidden="false" customHeight="false" outlineLevel="0" collapsed="false">
      <c r="A2" s="85" t="s">
        <v>4504</v>
      </c>
      <c r="B2" s="85" t="s">
        <v>1108</v>
      </c>
      <c r="C2" s="86" t="s">
        <v>893</v>
      </c>
      <c r="D2" s="85" t="s">
        <v>91</v>
      </c>
      <c r="E2" s="86" t="s">
        <v>4505</v>
      </c>
      <c r="F2" s="107"/>
      <c r="G2" s="85"/>
      <c r="H2" s="85"/>
      <c r="I2" s="86" t="s">
        <v>4506</v>
      </c>
    </row>
    <row r="3" customFormat="false" ht="23.85" hidden="false" customHeight="false" outlineLevel="0" collapsed="false">
      <c r="A3" s="85" t="s">
        <v>4504</v>
      </c>
      <c r="B3" s="85" t="s">
        <v>1190</v>
      </c>
      <c r="C3" s="86" t="s">
        <v>897</v>
      </c>
      <c r="D3" s="85" t="s">
        <v>188</v>
      </c>
      <c r="E3" s="86" t="s">
        <v>4505</v>
      </c>
      <c r="F3" s="107"/>
      <c r="G3" s="85"/>
      <c r="H3" s="85"/>
      <c r="I3" s="86" t="s">
        <v>4506</v>
      </c>
    </row>
    <row r="4" customFormat="false" ht="23.85" hidden="false" customHeight="false" outlineLevel="0" collapsed="false">
      <c r="A4" s="85" t="s">
        <v>4507</v>
      </c>
      <c r="B4" s="85" t="s">
        <v>1218</v>
      </c>
      <c r="C4" s="86" t="s">
        <v>898</v>
      </c>
      <c r="D4" s="85" t="s">
        <v>145</v>
      </c>
      <c r="E4" s="86" t="s">
        <v>4505</v>
      </c>
      <c r="F4" s="107"/>
      <c r="G4" s="85"/>
      <c r="H4" s="85"/>
      <c r="I4" s="86" t="s">
        <v>4506</v>
      </c>
    </row>
    <row r="5" customFormat="false" ht="23.85" hidden="false" customHeight="false" outlineLevel="0" collapsed="false">
      <c r="A5" s="85" t="s">
        <v>4507</v>
      </c>
      <c r="B5" s="85" t="s">
        <v>1233</v>
      </c>
      <c r="C5" s="86" t="s">
        <v>899</v>
      </c>
      <c r="D5" s="85" t="s">
        <v>91</v>
      </c>
      <c r="E5" s="86" t="s">
        <v>4505</v>
      </c>
      <c r="F5" s="107"/>
      <c r="G5" s="85"/>
      <c r="H5" s="85"/>
      <c r="I5" s="86" t="s">
        <v>4506</v>
      </c>
    </row>
    <row r="6" customFormat="false" ht="23.85" hidden="false" customHeight="false" outlineLevel="0" collapsed="false">
      <c r="A6" s="85" t="s">
        <v>3923</v>
      </c>
      <c r="B6" s="85" t="s">
        <v>1382</v>
      </c>
      <c r="C6" s="86" t="s">
        <v>904</v>
      </c>
      <c r="D6" s="85" t="s">
        <v>145</v>
      </c>
      <c r="E6" s="86" t="s">
        <v>4508</v>
      </c>
      <c r="F6" s="107"/>
      <c r="G6" s="85"/>
      <c r="H6" s="85"/>
      <c r="I6" s="86" t="s">
        <v>4506</v>
      </c>
    </row>
    <row r="7" customFormat="false" ht="23.85" hidden="false" customHeight="false" outlineLevel="0" collapsed="false">
      <c r="A7" s="85" t="s">
        <v>3964</v>
      </c>
      <c r="B7" s="85" t="s">
        <v>1712</v>
      </c>
      <c r="C7" s="86" t="s">
        <v>905</v>
      </c>
      <c r="D7" s="85" t="s">
        <v>91</v>
      </c>
      <c r="E7" s="86" t="s">
        <v>4508</v>
      </c>
      <c r="F7" s="107"/>
      <c r="G7" s="85"/>
      <c r="H7" s="85"/>
      <c r="I7" s="86" t="s">
        <v>4506</v>
      </c>
    </row>
    <row r="8" customFormat="false" ht="23.85" hidden="false" customHeight="false" outlineLevel="0" collapsed="false">
      <c r="A8" s="85" t="s">
        <v>3964</v>
      </c>
      <c r="B8" s="85" t="s">
        <v>1827</v>
      </c>
      <c r="C8" s="86" t="s">
        <v>906</v>
      </c>
      <c r="D8" s="85" t="s">
        <v>91</v>
      </c>
      <c r="E8" s="86" t="s">
        <v>4508</v>
      </c>
      <c r="F8" s="107"/>
      <c r="G8" s="85"/>
      <c r="H8" s="85"/>
      <c r="I8" s="86" t="s">
        <v>4506</v>
      </c>
    </row>
    <row r="9" customFormat="false" ht="23.85" hidden="false" customHeight="false" outlineLevel="0" collapsed="false">
      <c r="A9" s="85" t="s">
        <v>4005</v>
      </c>
      <c r="B9" s="85" t="s">
        <v>1855</v>
      </c>
      <c r="C9" s="86" t="s">
        <v>907</v>
      </c>
      <c r="D9" s="85" t="s">
        <v>91</v>
      </c>
      <c r="E9" s="86" t="s">
        <v>79</v>
      </c>
      <c r="F9" s="107"/>
      <c r="G9" s="85"/>
      <c r="H9" s="85"/>
      <c r="I9" s="86" t="s">
        <v>4506</v>
      </c>
    </row>
    <row r="10" customFormat="false" ht="23.85" hidden="false" customHeight="false" outlineLevel="0" collapsed="false">
      <c r="A10" s="85" t="s">
        <v>4005</v>
      </c>
      <c r="B10" s="85" t="s">
        <v>2000</v>
      </c>
      <c r="C10" s="86" t="s">
        <v>908</v>
      </c>
      <c r="D10" s="85" t="s">
        <v>137</v>
      </c>
      <c r="E10" s="86" t="s">
        <v>79</v>
      </c>
      <c r="F10" s="107"/>
      <c r="G10" s="85"/>
      <c r="H10" s="85"/>
      <c r="I10" s="86" t="s">
        <v>4506</v>
      </c>
    </row>
    <row r="11" customFormat="false" ht="23.85" hidden="false" customHeight="false" outlineLevel="0" collapsed="false">
      <c r="A11" s="85" t="s">
        <v>4005</v>
      </c>
      <c r="B11" s="85" t="s">
        <v>2032</v>
      </c>
      <c r="C11" s="86" t="s">
        <v>909</v>
      </c>
      <c r="D11" s="85" t="s">
        <v>137</v>
      </c>
      <c r="E11" s="86" t="s">
        <v>79</v>
      </c>
      <c r="F11" s="107"/>
      <c r="G11" s="85"/>
      <c r="H11" s="85"/>
      <c r="I11" s="86" t="s">
        <v>4506</v>
      </c>
    </row>
    <row r="12" customFormat="false" ht="23.85" hidden="false" customHeight="false" outlineLevel="0" collapsed="false">
      <c r="A12" s="85" t="s">
        <v>4509</v>
      </c>
      <c r="B12" s="85" t="s">
        <v>2070</v>
      </c>
      <c r="C12" s="86" t="s">
        <v>910</v>
      </c>
      <c r="D12" s="85" t="s">
        <v>91</v>
      </c>
      <c r="E12" s="86" t="s">
        <v>79</v>
      </c>
      <c r="F12" s="107"/>
      <c r="G12" s="85"/>
      <c r="H12" s="85"/>
      <c r="I12" s="86" t="s">
        <v>4506</v>
      </c>
    </row>
    <row r="13" customFormat="false" ht="23.85" hidden="false" customHeight="false" outlineLevel="0" collapsed="false">
      <c r="A13" s="85" t="s">
        <v>4509</v>
      </c>
      <c r="B13" s="85" t="s">
        <v>2070</v>
      </c>
      <c r="C13" s="86" t="s">
        <v>911</v>
      </c>
      <c r="D13" s="85" t="s">
        <v>91</v>
      </c>
      <c r="E13" s="86" t="s">
        <v>79</v>
      </c>
      <c r="F13" s="107"/>
      <c r="G13" s="85"/>
      <c r="H13" s="85"/>
      <c r="I13" s="86" t="s">
        <v>4506</v>
      </c>
    </row>
    <row r="14" customFormat="false" ht="23.85" hidden="false" customHeight="false" outlineLevel="0" collapsed="false">
      <c r="A14" s="85" t="s">
        <v>4509</v>
      </c>
      <c r="B14" s="85" t="s">
        <v>2099</v>
      </c>
      <c r="C14" s="86" t="s">
        <v>912</v>
      </c>
      <c r="D14" s="85" t="s">
        <v>91</v>
      </c>
      <c r="E14" s="86" t="s">
        <v>79</v>
      </c>
      <c r="F14" s="107"/>
      <c r="G14" s="85"/>
      <c r="H14" s="85"/>
      <c r="I14" s="86" t="s">
        <v>4506</v>
      </c>
    </row>
    <row r="15" customFormat="false" ht="23.85" hidden="false" customHeight="false" outlineLevel="0" collapsed="false">
      <c r="A15" s="85" t="s">
        <v>4509</v>
      </c>
      <c r="B15" s="85" t="s">
        <v>4364</v>
      </c>
      <c r="C15" s="86" t="s">
        <v>913</v>
      </c>
      <c r="D15" s="85" t="s">
        <v>91</v>
      </c>
      <c r="E15" s="86" t="s">
        <v>79</v>
      </c>
      <c r="F15" s="107"/>
      <c r="G15" s="85"/>
      <c r="H15" s="85"/>
      <c r="I15" s="86" t="s">
        <v>4506</v>
      </c>
    </row>
    <row r="16" customFormat="false" ht="23.85" hidden="false" customHeight="false" outlineLevel="0" collapsed="false">
      <c r="A16" s="85" t="s">
        <v>4509</v>
      </c>
      <c r="B16" s="85" t="s">
        <v>4364</v>
      </c>
      <c r="C16" s="86" t="s">
        <v>914</v>
      </c>
      <c r="D16" s="85" t="s">
        <v>137</v>
      </c>
      <c r="E16" s="86" t="s">
        <v>79</v>
      </c>
      <c r="F16" s="107"/>
      <c r="G16" s="85"/>
      <c r="H16" s="85"/>
      <c r="I16" s="86" t="s">
        <v>4506</v>
      </c>
    </row>
    <row r="17" customFormat="false" ht="23.85" hidden="false" customHeight="false" outlineLevel="0" collapsed="false">
      <c r="A17" s="85" t="s">
        <v>4510</v>
      </c>
      <c r="B17" s="85" t="s">
        <v>2559</v>
      </c>
      <c r="C17" s="86" t="s">
        <v>915</v>
      </c>
      <c r="D17" s="85" t="s">
        <v>493</v>
      </c>
      <c r="E17" s="86" t="s">
        <v>79</v>
      </c>
      <c r="F17" s="107"/>
      <c r="G17" s="85"/>
      <c r="H17" s="85"/>
      <c r="I17" s="86" t="s">
        <v>4506</v>
      </c>
    </row>
    <row r="18" customFormat="false" ht="23.85" hidden="false" customHeight="false" outlineLevel="0" collapsed="false">
      <c r="A18" s="85" t="s">
        <v>4510</v>
      </c>
      <c r="B18" s="85" t="s">
        <v>2559</v>
      </c>
      <c r="C18" s="86" t="s">
        <v>916</v>
      </c>
      <c r="D18" s="85" t="s">
        <v>493</v>
      </c>
      <c r="E18" s="86" t="s">
        <v>79</v>
      </c>
      <c r="F18" s="107"/>
      <c r="G18" s="85"/>
      <c r="H18" s="85"/>
      <c r="I18" s="86" t="s">
        <v>4506</v>
      </c>
    </row>
    <row r="19" customFormat="false" ht="23.85" hidden="false" customHeight="false" outlineLevel="0" collapsed="false">
      <c r="A19" s="85" t="s">
        <v>4510</v>
      </c>
      <c r="B19" s="85" t="s">
        <v>2559</v>
      </c>
      <c r="C19" s="86" t="s">
        <v>917</v>
      </c>
      <c r="D19" s="85" t="s">
        <v>556</v>
      </c>
      <c r="E19" s="86" t="s">
        <v>79</v>
      </c>
      <c r="F19" s="107"/>
      <c r="G19" s="85"/>
      <c r="H19" s="85"/>
      <c r="I19" s="86" t="s">
        <v>4506</v>
      </c>
    </row>
    <row r="20" customFormat="false" ht="23.85" hidden="false" customHeight="false" outlineLevel="0" collapsed="false">
      <c r="A20" s="85" t="s">
        <v>4511</v>
      </c>
      <c r="B20" s="85" t="s">
        <v>2703</v>
      </c>
      <c r="C20" s="86" t="s">
        <v>918</v>
      </c>
      <c r="D20" s="85" t="s">
        <v>553</v>
      </c>
      <c r="E20" s="86" t="s">
        <v>79</v>
      </c>
      <c r="F20" s="107"/>
      <c r="G20" s="85"/>
      <c r="H20" s="85"/>
      <c r="I20" s="86" t="s">
        <v>4506</v>
      </c>
    </row>
    <row r="21" customFormat="false" ht="23.85" hidden="false" customHeight="false" outlineLevel="0" collapsed="false">
      <c r="A21" s="85" t="s">
        <v>4127</v>
      </c>
      <c r="B21" s="85" t="s">
        <v>3225</v>
      </c>
      <c r="C21" s="86" t="s">
        <v>919</v>
      </c>
      <c r="D21" s="85" t="s">
        <v>91</v>
      </c>
      <c r="E21" s="86" t="s">
        <v>79</v>
      </c>
      <c r="F21" s="107"/>
      <c r="G21" s="85"/>
      <c r="H21" s="85"/>
      <c r="I21" s="86" t="s">
        <v>4506</v>
      </c>
    </row>
    <row r="22" customFormat="false" ht="23.85" hidden="false" customHeight="false" outlineLevel="0" collapsed="false">
      <c r="A22" s="85" t="s">
        <v>4127</v>
      </c>
      <c r="B22" s="85" t="s">
        <v>3287</v>
      </c>
      <c r="C22" s="86" t="s">
        <v>920</v>
      </c>
      <c r="D22" s="85" t="s">
        <v>91</v>
      </c>
      <c r="E22" s="86" t="s">
        <v>79</v>
      </c>
      <c r="F22" s="107"/>
      <c r="G22" s="85"/>
      <c r="H22" s="85"/>
      <c r="I22" s="86" t="s">
        <v>4506</v>
      </c>
    </row>
  </sheetData>
  <autoFilter ref="A1:I22"/>
  <printOptions headings="false" gridLines="false" gridLinesSet="true" horizontalCentered="false" verticalCentered="false"/>
  <pageMargins left="0.25" right="0.25"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Catalogue TCE ANELEC — 09/09/2026 — document interne&amp;R&amp;8 Page &amp;P /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2026-09-09T19:53:57Z</dcterms:created>
  <dc:creator>openpyxl</dc:creator>
  <dc:description/>
  <dc:language>en-US</dc:language>
  <cp:lastModifiedBy/>
  <dcterms:modified xsi:type="dcterms:W3CDTF">2026-09-09T19:54:28Z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